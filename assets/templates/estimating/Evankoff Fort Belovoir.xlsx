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426"/>
  <workbookPr autoCompressPictures="0"/>
  <bookViews>
    <workbookView xWindow="0" yWindow="240" windowWidth="22280" windowHeight="13220" tabRatio="706"/>
  </bookViews>
  <sheets>
    <sheet name="Building 508" sheetId="12" r:id="rId1"/>
    <sheet name="Building 508 Split" sheetId="11" r:id="rId2"/>
    <sheet name="Sheet2" sheetId="10" r:id="rId3"/>
  </sheets>
  <definedNames>
    <definedName name="check" localSheetId="0">'Building 508'!$AF$101</definedName>
    <definedName name="check" localSheetId="1">'Building 508 Split'!$AF$101</definedName>
    <definedName name="check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2" i="11" l="1"/>
  <c r="H42" i="11"/>
  <c r="B43" i="11"/>
  <c r="H43" i="11"/>
  <c r="H41" i="11"/>
  <c r="D41" i="11"/>
  <c r="D114" i="12"/>
  <c r="AF111" i="12"/>
  <c r="AF109" i="12"/>
  <c r="AF107" i="12"/>
  <c r="AF105" i="12"/>
  <c r="AF103" i="12"/>
  <c r="AE98" i="12"/>
  <c r="AD98" i="12"/>
  <c r="AB98" i="12"/>
  <c r="Z98" i="12"/>
  <c r="X98" i="12"/>
  <c r="V98" i="12"/>
  <c r="T98" i="12"/>
  <c r="R98" i="12"/>
  <c r="P98" i="12"/>
  <c r="N98" i="12"/>
  <c r="L98" i="12"/>
  <c r="J98" i="12"/>
  <c r="H98" i="12"/>
  <c r="F98" i="12"/>
  <c r="D98" i="12"/>
  <c r="AF98" i="12"/>
  <c r="AE97" i="12"/>
  <c r="AD97" i="12"/>
  <c r="AB97" i="12"/>
  <c r="Z97" i="12"/>
  <c r="X97" i="12"/>
  <c r="V97" i="12"/>
  <c r="T97" i="12"/>
  <c r="R97" i="12"/>
  <c r="P97" i="12"/>
  <c r="N97" i="12"/>
  <c r="L97" i="12"/>
  <c r="J97" i="12"/>
  <c r="H97" i="12"/>
  <c r="F97" i="12"/>
  <c r="D97" i="12"/>
  <c r="AF97" i="12"/>
  <c r="AD96" i="12"/>
  <c r="AB96" i="12"/>
  <c r="Z96" i="12"/>
  <c r="X96" i="12"/>
  <c r="V96" i="12"/>
  <c r="T96" i="12"/>
  <c r="R96" i="12"/>
  <c r="P96" i="12"/>
  <c r="N96" i="12"/>
  <c r="L96" i="12"/>
  <c r="J96" i="12"/>
  <c r="H96" i="12"/>
  <c r="F96" i="12"/>
  <c r="D96" i="12"/>
  <c r="AF96" i="12"/>
  <c r="AE95" i="12"/>
  <c r="AD95" i="12"/>
  <c r="AB95" i="12"/>
  <c r="Z95" i="12"/>
  <c r="X95" i="12"/>
  <c r="V95" i="12"/>
  <c r="T95" i="12"/>
  <c r="R95" i="12"/>
  <c r="P95" i="12"/>
  <c r="N95" i="12"/>
  <c r="L95" i="12"/>
  <c r="J95" i="12"/>
  <c r="H95" i="12"/>
  <c r="F95" i="12"/>
  <c r="D95" i="12"/>
  <c r="AF95" i="12"/>
  <c r="AE94" i="12"/>
  <c r="AD94" i="12"/>
  <c r="AB94" i="12"/>
  <c r="Z94" i="12"/>
  <c r="X94" i="12"/>
  <c r="V94" i="12"/>
  <c r="T94" i="12"/>
  <c r="R94" i="12"/>
  <c r="P94" i="12"/>
  <c r="N94" i="12"/>
  <c r="L94" i="12"/>
  <c r="J94" i="12"/>
  <c r="H94" i="12"/>
  <c r="F94" i="12"/>
  <c r="D94" i="12"/>
  <c r="AF94" i="12"/>
  <c r="AE93" i="12"/>
  <c r="AD93" i="12"/>
  <c r="AB93" i="12"/>
  <c r="Z93" i="12"/>
  <c r="X93" i="12"/>
  <c r="V93" i="12"/>
  <c r="T93" i="12"/>
  <c r="R93" i="12"/>
  <c r="P93" i="12"/>
  <c r="N93" i="12"/>
  <c r="L93" i="12"/>
  <c r="J93" i="12"/>
  <c r="H93" i="12"/>
  <c r="F93" i="12"/>
  <c r="D93" i="12"/>
  <c r="AF93" i="12"/>
  <c r="AE92" i="12"/>
  <c r="AD92" i="12"/>
  <c r="AB92" i="12"/>
  <c r="Z92" i="12"/>
  <c r="X92" i="12"/>
  <c r="V92" i="12"/>
  <c r="T92" i="12"/>
  <c r="R92" i="12"/>
  <c r="P92" i="12"/>
  <c r="N92" i="12"/>
  <c r="L92" i="12"/>
  <c r="J92" i="12"/>
  <c r="H92" i="12"/>
  <c r="F92" i="12"/>
  <c r="D92" i="12"/>
  <c r="AF92" i="12"/>
  <c r="AE91" i="12"/>
  <c r="AD91" i="12"/>
  <c r="AB91" i="12"/>
  <c r="Z91" i="12"/>
  <c r="X91" i="12"/>
  <c r="V91" i="12"/>
  <c r="T91" i="12"/>
  <c r="R91" i="12"/>
  <c r="P91" i="12"/>
  <c r="N91" i="12"/>
  <c r="L91" i="12"/>
  <c r="J91" i="12"/>
  <c r="H91" i="12"/>
  <c r="F91" i="12"/>
  <c r="D91" i="12"/>
  <c r="AF91" i="12"/>
  <c r="AE90" i="12"/>
  <c r="AD90" i="12"/>
  <c r="AB90" i="12"/>
  <c r="Z90" i="12"/>
  <c r="X90" i="12"/>
  <c r="V90" i="12"/>
  <c r="T90" i="12"/>
  <c r="R90" i="12"/>
  <c r="P90" i="12"/>
  <c r="N90" i="12"/>
  <c r="L90" i="12"/>
  <c r="J90" i="12"/>
  <c r="H90" i="12"/>
  <c r="F90" i="12"/>
  <c r="D90" i="12"/>
  <c r="AF90" i="12"/>
  <c r="AE89" i="12"/>
  <c r="AD89" i="12"/>
  <c r="AB89" i="12"/>
  <c r="Z89" i="12"/>
  <c r="X89" i="12"/>
  <c r="V89" i="12"/>
  <c r="T89" i="12"/>
  <c r="R89" i="12"/>
  <c r="P89" i="12"/>
  <c r="N89" i="12"/>
  <c r="L89" i="12"/>
  <c r="J89" i="12"/>
  <c r="H89" i="12"/>
  <c r="F89" i="12"/>
  <c r="D89" i="12"/>
  <c r="AF89" i="12"/>
  <c r="AE88" i="12"/>
  <c r="AD88" i="12"/>
  <c r="AB88" i="12"/>
  <c r="Z88" i="12"/>
  <c r="X88" i="12"/>
  <c r="V88" i="12"/>
  <c r="T88" i="12"/>
  <c r="R88" i="12"/>
  <c r="P88" i="12"/>
  <c r="N88" i="12"/>
  <c r="L88" i="12"/>
  <c r="J88" i="12"/>
  <c r="H88" i="12"/>
  <c r="F88" i="12"/>
  <c r="D88" i="12"/>
  <c r="AF88" i="12"/>
  <c r="AE87" i="12"/>
  <c r="AD87" i="12"/>
  <c r="AB87" i="12"/>
  <c r="Z87" i="12"/>
  <c r="X87" i="12"/>
  <c r="V87" i="12"/>
  <c r="T87" i="12"/>
  <c r="R87" i="12"/>
  <c r="P87" i="12"/>
  <c r="N87" i="12"/>
  <c r="L87" i="12"/>
  <c r="J87" i="12"/>
  <c r="H87" i="12"/>
  <c r="F87" i="12"/>
  <c r="D87" i="12"/>
  <c r="AF87" i="12"/>
  <c r="AE86" i="12"/>
  <c r="AD86" i="12"/>
  <c r="AB86" i="12"/>
  <c r="Z86" i="12"/>
  <c r="X86" i="12"/>
  <c r="V86" i="12"/>
  <c r="T86" i="12"/>
  <c r="R86" i="12"/>
  <c r="P86" i="12"/>
  <c r="N86" i="12"/>
  <c r="L86" i="12"/>
  <c r="J86" i="12"/>
  <c r="H86" i="12"/>
  <c r="F86" i="12"/>
  <c r="D86" i="12"/>
  <c r="AF86" i="12"/>
  <c r="AE85" i="12"/>
  <c r="AD85" i="12"/>
  <c r="AB85" i="12"/>
  <c r="Z85" i="12"/>
  <c r="X85" i="12"/>
  <c r="V85" i="12"/>
  <c r="T85" i="12"/>
  <c r="R85" i="12"/>
  <c r="P85" i="12"/>
  <c r="N85" i="12"/>
  <c r="L85" i="12"/>
  <c r="J85" i="12"/>
  <c r="H85" i="12"/>
  <c r="F85" i="12"/>
  <c r="D85" i="12"/>
  <c r="AF85" i="12"/>
  <c r="AE84" i="12"/>
  <c r="AD84" i="12"/>
  <c r="AB84" i="12"/>
  <c r="Z84" i="12"/>
  <c r="X84" i="12"/>
  <c r="V84" i="12"/>
  <c r="T84" i="12"/>
  <c r="R84" i="12"/>
  <c r="P84" i="12"/>
  <c r="N84" i="12"/>
  <c r="L84" i="12"/>
  <c r="J84" i="12"/>
  <c r="H84" i="12"/>
  <c r="F84" i="12"/>
  <c r="D84" i="12"/>
  <c r="AF84" i="12"/>
  <c r="AE83" i="12"/>
  <c r="AD83" i="12"/>
  <c r="AB83" i="12"/>
  <c r="Z83" i="12"/>
  <c r="X83" i="12"/>
  <c r="V83" i="12"/>
  <c r="T83" i="12"/>
  <c r="R83" i="12"/>
  <c r="P83" i="12"/>
  <c r="N83" i="12"/>
  <c r="L83" i="12"/>
  <c r="J83" i="12"/>
  <c r="H83" i="12"/>
  <c r="F83" i="12"/>
  <c r="D83" i="12"/>
  <c r="AF83" i="12"/>
  <c r="AE82" i="12"/>
  <c r="AD82" i="12"/>
  <c r="AB82" i="12"/>
  <c r="Z82" i="12"/>
  <c r="X82" i="12"/>
  <c r="V82" i="12"/>
  <c r="T82" i="12"/>
  <c r="R82" i="12"/>
  <c r="P82" i="12"/>
  <c r="N82" i="12"/>
  <c r="L82" i="12"/>
  <c r="J82" i="12"/>
  <c r="H82" i="12"/>
  <c r="F82" i="12"/>
  <c r="D82" i="12"/>
  <c r="AF82" i="12"/>
  <c r="AE81" i="12"/>
  <c r="AD81" i="12"/>
  <c r="AB81" i="12"/>
  <c r="Z81" i="12"/>
  <c r="X81" i="12"/>
  <c r="V81" i="12"/>
  <c r="T81" i="12"/>
  <c r="R81" i="12"/>
  <c r="P81" i="12"/>
  <c r="N81" i="12"/>
  <c r="L81" i="12"/>
  <c r="J81" i="12"/>
  <c r="H81" i="12"/>
  <c r="F81" i="12"/>
  <c r="D81" i="12"/>
  <c r="AF81" i="12"/>
  <c r="AE80" i="12"/>
  <c r="AD80" i="12"/>
  <c r="AB80" i="12"/>
  <c r="Z80" i="12"/>
  <c r="X80" i="12"/>
  <c r="V80" i="12"/>
  <c r="T80" i="12"/>
  <c r="R80" i="12"/>
  <c r="P80" i="12"/>
  <c r="N80" i="12"/>
  <c r="L80" i="12"/>
  <c r="J80" i="12"/>
  <c r="H80" i="12"/>
  <c r="F80" i="12"/>
  <c r="D80" i="12"/>
  <c r="AF80" i="12"/>
  <c r="AE79" i="12"/>
  <c r="AD79" i="12"/>
  <c r="AB79" i="12"/>
  <c r="Z79" i="12"/>
  <c r="X79" i="12"/>
  <c r="V79" i="12"/>
  <c r="T79" i="12"/>
  <c r="R79" i="12"/>
  <c r="P79" i="12"/>
  <c r="N79" i="12"/>
  <c r="L79" i="12"/>
  <c r="J79" i="12"/>
  <c r="H79" i="12"/>
  <c r="F79" i="12"/>
  <c r="D79" i="12"/>
  <c r="AF79" i="12"/>
  <c r="AE78" i="12"/>
  <c r="AD78" i="12"/>
  <c r="AB78" i="12"/>
  <c r="Z78" i="12"/>
  <c r="X78" i="12"/>
  <c r="V78" i="12"/>
  <c r="T78" i="12"/>
  <c r="R78" i="12"/>
  <c r="P78" i="12"/>
  <c r="N78" i="12"/>
  <c r="L78" i="12"/>
  <c r="J78" i="12"/>
  <c r="H78" i="12"/>
  <c r="F78" i="12"/>
  <c r="D78" i="12"/>
  <c r="AF78" i="12"/>
  <c r="AE77" i="12"/>
  <c r="AD77" i="12"/>
  <c r="AB77" i="12"/>
  <c r="Z77" i="12"/>
  <c r="X77" i="12"/>
  <c r="V77" i="12"/>
  <c r="T77" i="12"/>
  <c r="R77" i="12"/>
  <c r="P77" i="12"/>
  <c r="N77" i="12"/>
  <c r="L77" i="12"/>
  <c r="J77" i="12"/>
  <c r="H77" i="12"/>
  <c r="F77" i="12"/>
  <c r="D77" i="12"/>
  <c r="AF77" i="12"/>
  <c r="AE76" i="12"/>
  <c r="AD76" i="12"/>
  <c r="AB76" i="12"/>
  <c r="Z76" i="12"/>
  <c r="X76" i="12"/>
  <c r="V76" i="12"/>
  <c r="T76" i="12"/>
  <c r="R76" i="12"/>
  <c r="P76" i="12"/>
  <c r="N76" i="12"/>
  <c r="L76" i="12"/>
  <c r="J76" i="12"/>
  <c r="H76" i="12"/>
  <c r="F76" i="12"/>
  <c r="D76" i="12"/>
  <c r="AF76" i="12"/>
  <c r="AE75" i="12"/>
  <c r="AD75" i="12"/>
  <c r="AB75" i="12"/>
  <c r="Z75" i="12"/>
  <c r="X75" i="12"/>
  <c r="V75" i="12"/>
  <c r="T75" i="12"/>
  <c r="R75" i="12"/>
  <c r="P75" i="12"/>
  <c r="N75" i="12"/>
  <c r="L75" i="12"/>
  <c r="J75" i="12"/>
  <c r="H75" i="12"/>
  <c r="F75" i="12"/>
  <c r="D75" i="12"/>
  <c r="AF75" i="12"/>
  <c r="AE74" i="12"/>
  <c r="AD74" i="12"/>
  <c r="AB74" i="12"/>
  <c r="Z74" i="12"/>
  <c r="X74" i="12"/>
  <c r="V74" i="12"/>
  <c r="T74" i="12"/>
  <c r="R74" i="12"/>
  <c r="P74" i="12"/>
  <c r="N74" i="12"/>
  <c r="L74" i="12"/>
  <c r="J74" i="12"/>
  <c r="H74" i="12"/>
  <c r="F74" i="12"/>
  <c r="D74" i="12"/>
  <c r="AF74" i="12"/>
  <c r="AE73" i="12"/>
  <c r="AD73" i="12"/>
  <c r="AB73" i="12"/>
  <c r="Z73" i="12"/>
  <c r="X73" i="12"/>
  <c r="V73" i="12"/>
  <c r="T73" i="12"/>
  <c r="R73" i="12"/>
  <c r="P73" i="12"/>
  <c r="N73" i="12"/>
  <c r="L73" i="12"/>
  <c r="J73" i="12"/>
  <c r="H73" i="12"/>
  <c r="F73" i="12"/>
  <c r="D73" i="12"/>
  <c r="AF73" i="12"/>
  <c r="AE72" i="12"/>
  <c r="AD72" i="12"/>
  <c r="AB72" i="12"/>
  <c r="Z72" i="12"/>
  <c r="X72" i="12"/>
  <c r="V72" i="12"/>
  <c r="T72" i="12"/>
  <c r="R72" i="12"/>
  <c r="P72" i="12"/>
  <c r="N72" i="12"/>
  <c r="L72" i="12"/>
  <c r="J72" i="12"/>
  <c r="H72" i="12"/>
  <c r="F72" i="12"/>
  <c r="D72" i="12"/>
  <c r="AF72" i="12"/>
  <c r="AE71" i="12"/>
  <c r="AD71" i="12"/>
  <c r="AB71" i="12"/>
  <c r="Z71" i="12"/>
  <c r="X71" i="12"/>
  <c r="V71" i="12"/>
  <c r="T71" i="12"/>
  <c r="R71" i="12"/>
  <c r="P71" i="12"/>
  <c r="N71" i="12"/>
  <c r="L71" i="12"/>
  <c r="J71" i="12"/>
  <c r="H71" i="12"/>
  <c r="F71" i="12"/>
  <c r="D71" i="12"/>
  <c r="AF71" i="12"/>
  <c r="AE70" i="12"/>
  <c r="AD70" i="12"/>
  <c r="AB70" i="12"/>
  <c r="Z70" i="12"/>
  <c r="X70" i="12"/>
  <c r="V70" i="12"/>
  <c r="T70" i="12"/>
  <c r="R70" i="12"/>
  <c r="P70" i="12"/>
  <c r="N70" i="12"/>
  <c r="L70" i="12"/>
  <c r="J70" i="12"/>
  <c r="H70" i="12"/>
  <c r="F70" i="12"/>
  <c r="D70" i="12"/>
  <c r="AF70" i="12"/>
  <c r="AE69" i="12"/>
  <c r="AD69" i="12"/>
  <c r="AB69" i="12"/>
  <c r="Z69" i="12"/>
  <c r="X69" i="12"/>
  <c r="V69" i="12"/>
  <c r="T69" i="12"/>
  <c r="R69" i="12"/>
  <c r="P69" i="12"/>
  <c r="N69" i="12"/>
  <c r="L69" i="12"/>
  <c r="J69" i="12"/>
  <c r="H69" i="12"/>
  <c r="F69" i="12"/>
  <c r="D69" i="12"/>
  <c r="AF69" i="12"/>
  <c r="AD68" i="12"/>
  <c r="AB68" i="12"/>
  <c r="Z68" i="12"/>
  <c r="X68" i="12"/>
  <c r="V68" i="12"/>
  <c r="T68" i="12"/>
  <c r="R68" i="12"/>
  <c r="P68" i="12"/>
  <c r="N68" i="12"/>
  <c r="L68" i="12"/>
  <c r="J68" i="12"/>
  <c r="H68" i="12"/>
  <c r="F68" i="12"/>
  <c r="D68" i="12"/>
  <c r="AF68" i="12"/>
  <c r="AE67" i="12"/>
  <c r="AD67" i="12"/>
  <c r="AB67" i="12"/>
  <c r="Z67" i="12"/>
  <c r="X67" i="12"/>
  <c r="V67" i="12"/>
  <c r="T67" i="12"/>
  <c r="R67" i="12"/>
  <c r="P67" i="12"/>
  <c r="N67" i="12"/>
  <c r="L67" i="12"/>
  <c r="J67" i="12"/>
  <c r="H67" i="12"/>
  <c r="F67" i="12"/>
  <c r="D67" i="12"/>
  <c r="AF67" i="12"/>
  <c r="AE66" i="12"/>
  <c r="AD66" i="12"/>
  <c r="AB66" i="12"/>
  <c r="Z66" i="12"/>
  <c r="X66" i="12"/>
  <c r="V66" i="12"/>
  <c r="T66" i="12"/>
  <c r="R66" i="12"/>
  <c r="P66" i="12"/>
  <c r="N66" i="12"/>
  <c r="L66" i="12"/>
  <c r="J66" i="12"/>
  <c r="H66" i="12"/>
  <c r="F66" i="12"/>
  <c r="D66" i="12"/>
  <c r="AF66" i="12"/>
  <c r="AE65" i="12"/>
  <c r="AD65" i="12"/>
  <c r="AB65" i="12"/>
  <c r="Z65" i="12"/>
  <c r="X65" i="12"/>
  <c r="V65" i="12"/>
  <c r="T65" i="12"/>
  <c r="R65" i="12"/>
  <c r="P65" i="12"/>
  <c r="N65" i="12"/>
  <c r="L65" i="12"/>
  <c r="J65" i="12"/>
  <c r="H65" i="12"/>
  <c r="F65" i="12"/>
  <c r="D65" i="12"/>
  <c r="AF65" i="12"/>
  <c r="AE64" i="12"/>
  <c r="AD64" i="12"/>
  <c r="AB64" i="12"/>
  <c r="Z64" i="12"/>
  <c r="X64" i="12"/>
  <c r="V64" i="12"/>
  <c r="T64" i="12"/>
  <c r="R64" i="12"/>
  <c r="P64" i="12"/>
  <c r="N64" i="12"/>
  <c r="L64" i="12"/>
  <c r="J64" i="12"/>
  <c r="H64" i="12"/>
  <c r="F64" i="12"/>
  <c r="D64" i="12"/>
  <c r="AF64" i="12"/>
  <c r="AE63" i="12"/>
  <c r="AD63" i="12"/>
  <c r="AB63" i="12"/>
  <c r="Z63" i="12"/>
  <c r="X63" i="12"/>
  <c r="V63" i="12"/>
  <c r="T63" i="12"/>
  <c r="R63" i="12"/>
  <c r="P63" i="12"/>
  <c r="N63" i="12"/>
  <c r="L63" i="12"/>
  <c r="J63" i="12"/>
  <c r="H63" i="12"/>
  <c r="F63" i="12"/>
  <c r="D63" i="12"/>
  <c r="AF63" i="12"/>
  <c r="AE62" i="12"/>
  <c r="AD62" i="12"/>
  <c r="AB62" i="12"/>
  <c r="Z62" i="12"/>
  <c r="X62" i="12"/>
  <c r="V62" i="12"/>
  <c r="T62" i="12"/>
  <c r="R62" i="12"/>
  <c r="P62" i="12"/>
  <c r="N62" i="12"/>
  <c r="L62" i="12"/>
  <c r="J62" i="12"/>
  <c r="H62" i="12"/>
  <c r="F62" i="12"/>
  <c r="D62" i="12"/>
  <c r="AF62" i="12"/>
  <c r="AE61" i="12"/>
  <c r="AD61" i="12"/>
  <c r="AB61" i="12"/>
  <c r="Z61" i="12"/>
  <c r="X61" i="12"/>
  <c r="V61" i="12"/>
  <c r="T61" i="12"/>
  <c r="R61" i="12"/>
  <c r="P61" i="12"/>
  <c r="N61" i="12"/>
  <c r="L61" i="12"/>
  <c r="J61" i="12"/>
  <c r="H61" i="12"/>
  <c r="F61" i="12"/>
  <c r="D61" i="12"/>
  <c r="AF61" i="12"/>
  <c r="AE60" i="12"/>
  <c r="AD60" i="12"/>
  <c r="AB60" i="12"/>
  <c r="Z60" i="12"/>
  <c r="X60" i="12"/>
  <c r="V60" i="12"/>
  <c r="T60" i="12"/>
  <c r="R60" i="12"/>
  <c r="P60" i="12"/>
  <c r="N60" i="12"/>
  <c r="L60" i="12"/>
  <c r="J60" i="12"/>
  <c r="H60" i="12"/>
  <c r="F60" i="12"/>
  <c r="D60" i="12"/>
  <c r="AF60" i="12"/>
  <c r="AE59" i="12"/>
  <c r="AD59" i="12"/>
  <c r="AB59" i="12"/>
  <c r="Z59" i="12"/>
  <c r="X59" i="12"/>
  <c r="V59" i="12"/>
  <c r="T59" i="12"/>
  <c r="R59" i="12"/>
  <c r="P59" i="12"/>
  <c r="N59" i="12"/>
  <c r="L59" i="12"/>
  <c r="J59" i="12"/>
  <c r="H59" i="12"/>
  <c r="F59" i="12"/>
  <c r="D59" i="12"/>
  <c r="AF59" i="12"/>
  <c r="AE58" i="12"/>
  <c r="AD58" i="12"/>
  <c r="AB58" i="12"/>
  <c r="Z58" i="12"/>
  <c r="X58" i="12"/>
  <c r="V58" i="12"/>
  <c r="T58" i="12"/>
  <c r="R58" i="12"/>
  <c r="P58" i="12"/>
  <c r="N58" i="12"/>
  <c r="L58" i="12"/>
  <c r="J58" i="12"/>
  <c r="H58" i="12"/>
  <c r="F58" i="12"/>
  <c r="D58" i="12"/>
  <c r="AF58" i="12"/>
  <c r="AE57" i="12"/>
  <c r="AD57" i="12"/>
  <c r="AB57" i="12"/>
  <c r="Z57" i="12"/>
  <c r="X57" i="12"/>
  <c r="V57" i="12"/>
  <c r="T57" i="12"/>
  <c r="R57" i="12"/>
  <c r="P57" i="12"/>
  <c r="N57" i="12"/>
  <c r="L57" i="12"/>
  <c r="J57" i="12"/>
  <c r="H57" i="12"/>
  <c r="F57" i="12"/>
  <c r="D57" i="12"/>
  <c r="AF57" i="12"/>
  <c r="AE56" i="12"/>
  <c r="AD56" i="12"/>
  <c r="AB56" i="12"/>
  <c r="Z56" i="12"/>
  <c r="X56" i="12"/>
  <c r="V56" i="12"/>
  <c r="T56" i="12"/>
  <c r="R56" i="12"/>
  <c r="P56" i="12"/>
  <c r="N56" i="12"/>
  <c r="L56" i="12"/>
  <c r="J56" i="12"/>
  <c r="H56" i="12"/>
  <c r="F56" i="12"/>
  <c r="D56" i="12"/>
  <c r="AF56" i="12"/>
  <c r="AE55" i="12"/>
  <c r="AD55" i="12"/>
  <c r="AB55" i="12"/>
  <c r="Z55" i="12"/>
  <c r="X55" i="12"/>
  <c r="V55" i="12"/>
  <c r="T55" i="12"/>
  <c r="R55" i="12"/>
  <c r="P55" i="12"/>
  <c r="N55" i="12"/>
  <c r="L55" i="12"/>
  <c r="J55" i="12"/>
  <c r="H55" i="12"/>
  <c r="F55" i="12"/>
  <c r="D55" i="12"/>
  <c r="AF55" i="12"/>
  <c r="AE54" i="12"/>
  <c r="AD54" i="12"/>
  <c r="AB54" i="12"/>
  <c r="Z54" i="12"/>
  <c r="X54" i="12"/>
  <c r="V54" i="12"/>
  <c r="T54" i="12"/>
  <c r="R54" i="12"/>
  <c r="P54" i="12"/>
  <c r="N54" i="12"/>
  <c r="L54" i="12"/>
  <c r="J54" i="12"/>
  <c r="H54" i="12"/>
  <c r="F54" i="12"/>
  <c r="D54" i="12"/>
  <c r="AF54" i="12"/>
  <c r="AE53" i="12"/>
  <c r="AD53" i="12"/>
  <c r="AB53" i="12"/>
  <c r="Z53" i="12"/>
  <c r="X53" i="12"/>
  <c r="V53" i="12"/>
  <c r="T53" i="12"/>
  <c r="R53" i="12"/>
  <c r="P53" i="12"/>
  <c r="N53" i="12"/>
  <c r="L53" i="12"/>
  <c r="J53" i="12"/>
  <c r="H53" i="12"/>
  <c r="F53" i="12"/>
  <c r="D53" i="12"/>
  <c r="AF53" i="12"/>
  <c r="AE52" i="12"/>
  <c r="AD52" i="12"/>
  <c r="AB52" i="12"/>
  <c r="Z52" i="12"/>
  <c r="X52" i="12"/>
  <c r="V52" i="12"/>
  <c r="T52" i="12"/>
  <c r="R52" i="12"/>
  <c r="P52" i="12"/>
  <c r="N52" i="12"/>
  <c r="L52" i="12"/>
  <c r="J52" i="12"/>
  <c r="H52" i="12"/>
  <c r="F52" i="12"/>
  <c r="D52" i="12"/>
  <c r="AF52" i="12"/>
  <c r="AE51" i="12"/>
  <c r="AD51" i="12"/>
  <c r="AB51" i="12"/>
  <c r="Z51" i="12"/>
  <c r="X51" i="12"/>
  <c r="V51" i="12"/>
  <c r="T51" i="12"/>
  <c r="R51" i="12"/>
  <c r="P51" i="12"/>
  <c r="N51" i="12"/>
  <c r="L51" i="12"/>
  <c r="J51" i="12"/>
  <c r="H51" i="12"/>
  <c r="F51" i="12"/>
  <c r="D51" i="12"/>
  <c r="AF51" i="12"/>
  <c r="AE50" i="12"/>
  <c r="AD50" i="12"/>
  <c r="AB50" i="12"/>
  <c r="Z50" i="12"/>
  <c r="X50" i="12"/>
  <c r="V50" i="12"/>
  <c r="T50" i="12"/>
  <c r="R50" i="12"/>
  <c r="P50" i="12"/>
  <c r="N50" i="12"/>
  <c r="L50" i="12"/>
  <c r="J50" i="12"/>
  <c r="H50" i="12"/>
  <c r="F50" i="12"/>
  <c r="D50" i="12"/>
  <c r="AF50" i="12"/>
  <c r="AE49" i="12"/>
  <c r="AD49" i="12"/>
  <c r="AB49" i="12"/>
  <c r="Z49" i="12"/>
  <c r="X49" i="12"/>
  <c r="V49" i="12"/>
  <c r="T49" i="12"/>
  <c r="R49" i="12"/>
  <c r="P49" i="12"/>
  <c r="N49" i="12"/>
  <c r="L49" i="12"/>
  <c r="J49" i="12"/>
  <c r="H49" i="12"/>
  <c r="F49" i="12"/>
  <c r="D49" i="12"/>
  <c r="AF49" i="12"/>
  <c r="AE48" i="12"/>
  <c r="AD48" i="12"/>
  <c r="AB48" i="12"/>
  <c r="Z48" i="12"/>
  <c r="X48" i="12"/>
  <c r="V48" i="12"/>
  <c r="T48" i="12"/>
  <c r="R48" i="12"/>
  <c r="P48" i="12"/>
  <c r="N48" i="12"/>
  <c r="L48" i="12"/>
  <c r="J48" i="12"/>
  <c r="H48" i="12"/>
  <c r="F48" i="12"/>
  <c r="D48" i="12"/>
  <c r="AF48" i="12"/>
  <c r="AE47" i="12"/>
  <c r="AD47" i="12"/>
  <c r="AB47" i="12"/>
  <c r="Z47" i="12"/>
  <c r="X47" i="12"/>
  <c r="V47" i="12"/>
  <c r="T47" i="12"/>
  <c r="R47" i="12"/>
  <c r="P47" i="12"/>
  <c r="N47" i="12"/>
  <c r="L47" i="12"/>
  <c r="J47" i="12"/>
  <c r="H47" i="12"/>
  <c r="F47" i="12"/>
  <c r="D47" i="12"/>
  <c r="AF47" i="12"/>
  <c r="AF46" i="12"/>
  <c r="AE46" i="12"/>
  <c r="AE45" i="12"/>
  <c r="Z45" i="12"/>
  <c r="X45" i="12"/>
  <c r="AD45" i="12"/>
  <c r="V45" i="12"/>
  <c r="AB45" i="12"/>
  <c r="T45" i="12"/>
  <c r="R45" i="12"/>
  <c r="P45" i="12"/>
  <c r="N45" i="12"/>
  <c r="L45" i="12"/>
  <c r="J45" i="12"/>
  <c r="H45" i="12"/>
  <c r="F45" i="12"/>
  <c r="D45" i="12"/>
  <c r="AF45" i="12"/>
  <c r="AE43" i="12"/>
  <c r="AD43" i="12"/>
  <c r="Z43" i="12"/>
  <c r="X43" i="12"/>
  <c r="V43" i="12"/>
  <c r="T43" i="12"/>
  <c r="R43" i="12"/>
  <c r="P43" i="12"/>
  <c r="N43" i="12"/>
  <c r="L43" i="12"/>
  <c r="J43" i="12"/>
  <c r="F43" i="12"/>
  <c r="B43" i="12"/>
  <c r="AB43" i="12"/>
  <c r="AE42" i="12"/>
  <c r="AD42" i="12"/>
  <c r="Z42" i="12"/>
  <c r="X42" i="12"/>
  <c r="V42" i="12"/>
  <c r="T42" i="12"/>
  <c r="R42" i="12"/>
  <c r="P42" i="12"/>
  <c r="N42" i="12"/>
  <c r="L42" i="12"/>
  <c r="J42" i="12"/>
  <c r="B42" i="12"/>
  <c r="H42" i="12"/>
  <c r="F42" i="12"/>
  <c r="D42" i="12"/>
  <c r="AB42" i="12"/>
  <c r="AE41" i="12"/>
  <c r="AD41" i="12"/>
  <c r="AB41" i="12"/>
  <c r="Z41" i="12"/>
  <c r="X41" i="12"/>
  <c r="V41" i="12"/>
  <c r="T41" i="12"/>
  <c r="R41" i="12"/>
  <c r="P41" i="12"/>
  <c r="N41" i="12"/>
  <c r="L41" i="12"/>
  <c r="J41" i="12"/>
  <c r="H41" i="12"/>
  <c r="F41" i="12"/>
  <c r="D41" i="12"/>
  <c r="AF41" i="12"/>
  <c r="AE40" i="12"/>
  <c r="AD40" i="12"/>
  <c r="AB40" i="12"/>
  <c r="Z40" i="12"/>
  <c r="X40" i="12"/>
  <c r="V40" i="12"/>
  <c r="T40" i="12"/>
  <c r="R40" i="12"/>
  <c r="P40" i="12"/>
  <c r="N40" i="12"/>
  <c r="L40" i="12"/>
  <c r="J40" i="12"/>
  <c r="H40" i="12"/>
  <c r="F40" i="12"/>
  <c r="D40" i="12"/>
  <c r="AF40" i="12"/>
  <c r="AF38" i="12"/>
  <c r="AE38" i="12"/>
  <c r="AE37" i="12"/>
  <c r="AD37" i="12"/>
  <c r="AB37" i="12"/>
  <c r="Z37" i="12"/>
  <c r="X37" i="12"/>
  <c r="V37" i="12"/>
  <c r="T37" i="12"/>
  <c r="R37" i="12"/>
  <c r="P37" i="12"/>
  <c r="N37" i="12"/>
  <c r="L37" i="12"/>
  <c r="J37" i="12"/>
  <c r="H37" i="12"/>
  <c r="F37" i="12"/>
  <c r="D37" i="12"/>
  <c r="AF37" i="12"/>
  <c r="AE36" i="12"/>
  <c r="AD36" i="12"/>
  <c r="AB36" i="12"/>
  <c r="Z36" i="12"/>
  <c r="X36" i="12"/>
  <c r="V36" i="12"/>
  <c r="T36" i="12"/>
  <c r="R36" i="12"/>
  <c r="P36" i="12"/>
  <c r="N36" i="12"/>
  <c r="L36" i="12"/>
  <c r="J36" i="12"/>
  <c r="H36" i="12"/>
  <c r="F36" i="12"/>
  <c r="D36" i="12"/>
  <c r="AF36" i="12"/>
  <c r="AE35" i="12"/>
  <c r="AD35" i="12"/>
  <c r="AB35" i="12"/>
  <c r="Z35" i="12"/>
  <c r="X35" i="12"/>
  <c r="V35" i="12"/>
  <c r="T35" i="12"/>
  <c r="R35" i="12"/>
  <c r="P35" i="12"/>
  <c r="N35" i="12"/>
  <c r="L35" i="12"/>
  <c r="J35" i="12"/>
  <c r="H35" i="12"/>
  <c r="F35" i="12"/>
  <c r="D35" i="12"/>
  <c r="AF35" i="12"/>
  <c r="AE34" i="12"/>
  <c r="AD34" i="12"/>
  <c r="AB34" i="12"/>
  <c r="Z34" i="12"/>
  <c r="X34" i="12"/>
  <c r="V34" i="12"/>
  <c r="T34" i="12"/>
  <c r="R34" i="12"/>
  <c r="P34" i="12"/>
  <c r="N34" i="12"/>
  <c r="L34" i="12"/>
  <c r="J34" i="12"/>
  <c r="H34" i="12"/>
  <c r="F34" i="12"/>
  <c r="D34" i="12"/>
  <c r="AF34" i="12"/>
  <c r="AE33" i="12"/>
  <c r="AD33" i="12"/>
  <c r="AB33" i="12"/>
  <c r="Z33" i="12"/>
  <c r="X33" i="12"/>
  <c r="V33" i="12"/>
  <c r="T33" i="12"/>
  <c r="R33" i="12"/>
  <c r="P33" i="12"/>
  <c r="N33" i="12"/>
  <c r="L33" i="12"/>
  <c r="J33" i="12"/>
  <c r="H33" i="12"/>
  <c r="F33" i="12"/>
  <c r="D33" i="12"/>
  <c r="AF33" i="12"/>
  <c r="AE32" i="12"/>
  <c r="AD32" i="12"/>
  <c r="AB32" i="12"/>
  <c r="Z32" i="12"/>
  <c r="X32" i="12"/>
  <c r="V32" i="12"/>
  <c r="T32" i="12"/>
  <c r="R32" i="12"/>
  <c r="P32" i="12"/>
  <c r="N32" i="12"/>
  <c r="L32" i="12"/>
  <c r="J32" i="12"/>
  <c r="H32" i="12"/>
  <c r="F32" i="12"/>
  <c r="D32" i="12"/>
  <c r="AF32" i="12"/>
  <c r="AF31" i="12"/>
  <c r="AF30" i="12"/>
  <c r="AE30" i="12"/>
  <c r="Z30" i="12"/>
  <c r="X30" i="12"/>
  <c r="V30" i="12"/>
  <c r="T30" i="12"/>
  <c r="R30" i="12"/>
  <c r="P30" i="12"/>
  <c r="N30" i="12"/>
  <c r="L30" i="12"/>
  <c r="J30" i="12"/>
  <c r="AE29" i="12"/>
  <c r="AD29" i="12"/>
  <c r="AB29" i="12"/>
  <c r="Z29" i="12"/>
  <c r="X29" i="12"/>
  <c r="V29" i="12"/>
  <c r="T29" i="12"/>
  <c r="R29" i="12"/>
  <c r="P29" i="12"/>
  <c r="N29" i="12"/>
  <c r="L29" i="12"/>
  <c r="J29" i="12"/>
  <c r="H29" i="12"/>
  <c r="D29" i="12"/>
  <c r="AE28" i="12"/>
  <c r="AD28" i="12"/>
  <c r="AB28" i="12"/>
  <c r="Z28" i="12"/>
  <c r="Z99" i="12"/>
  <c r="Z100" i="12"/>
  <c r="X28" i="12"/>
  <c r="X99" i="12"/>
  <c r="X100" i="12"/>
  <c r="V28" i="12"/>
  <c r="V99" i="12"/>
  <c r="V100" i="12"/>
  <c r="T28" i="12"/>
  <c r="T99" i="12"/>
  <c r="T100" i="12"/>
  <c r="R28" i="12"/>
  <c r="R99" i="12"/>
  <c r="R100" i="12"/>
  <c r="P28" i="12"/>
  <c r="P99" i="12"/>
  <c r="P100" i="12"/>
  <c r="N28" i="12"/>
  <c r="N99" i="12"/>
  <c r="N100" i="12"/>
  <c r="L28" i="12"/>
  <c r="L99" i="12"/>
  <c r="L100" i="12"/>
  <c r="J28" i="12"/>
  <c r="J99" i="12"/>
  <c r="J100" i="12"/>
  <c r="H28" i="12"/>
  <c r="F28" i="12"/>
  <c r="D28" i="12"/>
  <c r="AF28" i="12"/>
  <c r="AF27" i="12"/>
  <c r="AF26" i="12"/>
  <c r="AA25" i="12"/>
  <c r="AF24" i="12"/>
  <c r="AE24" i="12"/>
  <c r="AF22" i="12"/>
  <c r="AE22" i="12"/>
  <c r="AC21" i="12"/>
  <c r="AC25" i="12"/>
  <c r="Y21" i="12"/>
  <c r="Y25" i="12"/>
  <c r="W21" i="12"/>
  <c r="W25" i="12"/>
  <c r="U21" i="12"/>
  <c r="U25" i="12"/>
  <c r="S21" i="12"/>
  <c r="S25" i="12"/>
  <c r="Q21" i="12"/>
  <c r="Q25" i="12"/>
  <c r="O21" i="12"/>
  <c r="O25" i="12"/>
  <c r="M21" i="12"/>
  <c r="M25" i="12"/>
  <c r="K21" i="12"/>
  <c r="K25" i="12"/>
  <c r="I21" i="12"/>
  <c r="I25" i="12"/>
  <c r="G21" i="12"/>
  <c r="G25" i="12"/>
  <c r="E21" i="12"/>
  <c r="E25" i="12"/>
  <c r="C21" i="12"/>
  <c r="C25" i="12"/>
  <c r="AE25" i="12"/>
  <c r="AF20" i="12"/>
  <c r="AD19" i="12"/>
  <c r="AB19" i="12"/>
  <c r="Z19" i="12"/>
  <c r="X19" i="12"/>
  <c r="V19" i="12"/>
  <c r="T19" i="12"/>
  <c r="R19" i="12"/>
  <c r="P19" i="12"/>
  <c r="N19" i="12"/>
  <c r="L19" i="12"/>
  <c r="J19" i="12"/>
  <c r="H19" i="12"/>
  <c r="F19" i="12"/>
  <c r="D19" i="12"/>
  <c r="AF19" i="12"/>
  <c r="AD18" i="12"/>
  <c r="AB18" i="12"/>
  <c r="Z18" i="12"/>
  <c r="X18" i="12"/>
  <c r="V18" i="12"/>
  <c r="T18" i="12"/>
  <c r="R18" i="12"/>
  <c r="P18" i="12"/>
  <c r="N18" i="12"/>
  <c r="L18" i="12"/>
  <c r="J18" i="12"/>
  <c r="H18" i="12"/>
  <c r="F18" i="12"/>
  <c r="D18" i="12"/>
  <c r="AF18" i="12"/>
  <c r="AD17" i="12"/>
  <c r="AB17" i="12"/>
  <c r="Z17" i="12"/>
  <c r="X17" i="12"/>
  <c r="V17" i="12"/>
  <c r="T17" i="12"/>
  <c r="R17" i="12"/>
  <c r="P17" i="12"/>
  <c r="N17" i="12"/>
  <c r="L17" i="12"/>
  <c r="J17" i="12"/>
  <c r="H17" i="12"/>
  <c r="F17" i="12"/>
  <c r="D17" i="12"/>
  <c r="AF17" i="12"/>
  <c r="AD16" i="12"/>
  <c r="AB16" i="12"/>
  <c r="Z16" i="12"/>
  <c r="X16" i="12"/>
  <c r="V16" i="12"/>
  <c r="T16" i="12"/>
  <c r="R16" i="12"/>
  <c r="P16" i="12"/>
  <c r="N16" i="12"/>
  <c r="L16" i="12"/>
  <c r="J16" i="12"/>
  <c r="H16" i="12"/>
  <c r="F16" i="12"/>
  <c r="D16" i="12"/>
  <c r="AF16" i="12"/>
  <c r="AD15" i="12"/>
  <c r="AB15" i="12"/>
  <c r="Z15" i="12"/>
  <c r="X15" i="12"/>
  <c r="V15" i="12"/>
  <c r="T15" i="12"/>
  <c r="R15" i="12"/>
  <c r="P15" i="12"/>
  <c r="N15" i="12"/>
  <c r="L15" i="12"/>
  <c r="J15" i="12"/>
  <c r="H15" i="12"/>
  <c r="F15" i="12"/>
  <c r="D15" i="12"/>
  <c r="AF15" i="12"/>
  <c r="AF14" i="12"/>
  <c r="AF13" i="12"/>
  <c r="AE12" i="12"/>
  <c r="AD12" i="12"/>
  <c r="AB12" i="12"/>
  <c r="Z12" i="12"/>
  <c r="X12" i="12"/>
  <c r="V12" i="12"/>
  <c r="T12" i="12"/>
  <c r="R12" i="12"/>
  <c r="P12" i="12"/>
  <c r="N12" i="12"/>
  <c r="L12" i="12"/>
  <c r="J12" i="12"/>
  <c r="H12" i="12"/>
  <c r="F12" i="12"/>
  <c r="D12" i="12"/>
  <c r="AF12" i="12"/>
  <c r="AE11" i="12"/>
  <c r="AD11" i="12"/>
  <c r="AB11" i="12"/>
  <c r="Z11" i="12"/>
  <c r="X11" i="12"/>
  <c r="V11" i="12"/>
  <c r="T11" i="12"/>
  <c r="R11" i="12"/>
  <c r="P11" i="12"/>
  <c r="N11" i="12"/>
  <c r="L11" i="12"/>
  <c r="J11" i="12"/>
  <c r="H11" i="12"/>
  <c r="F11" i="12"/>
  <c r="D11" i="12"/>
  <c r="AF11" i="12"/>
  <c r="AE10" i="12"/>
  <c r="AD10" i="12"/>
  <c r="AB10" i="12"/>
  <c r="Z10" i="12"/>
  <c r="X10" i="12"/>
  <c r="V10" i="12"/>
  <c r="T10" i="12"/>
  <c r="R10" i="12"/>
  <c r="P10" i="12"/>
  <c r="N10" i="12"/>
  <c r="L10" i="12"/>
  <c r="J10" i="12"/>
  <c r="H10" i="12"/>
  <c r="F10" i="12"/>
  <c r="D10" i="12"/>
  <c r="AF10" i="12"/>
  <c r="AE9" i="12"/>
  <c r="AD9" i="12"/>
  <c r="AD21" i="12"/>
  <c r="AB9" i="12"/>
  <c r="AB21" i="12"/>
  <c r="Z9" i="12"/>
  <c r="Z21" i="12"/>
  <c r="X9" i="12"/>
  <c r="X21" i="12"/>
  <c r="V9" i="12"/>
  <c r="V21" i="12"/>
  <c r="T9" i="12"/>
  <c r="T21" i="12"/>
  <c r="R9" i="12"/>
  <c r="R21" i="12"/>
  <c r="P9" i="12"/>
  <c r="P21" i="12"/>
  <c r="N9" i="12"/>
  <c r="N21" i="12"/>
  <c r="L9" i="12"/>
  <c r="L21" i="12"/>
  <c r="J9" i="12"/>
  <c r="J21" i="12"/>
  <c r="H9" i="12"/>
  <c r="F9" i="12"/>
  <c r="F21" i="12"/>
  <c r="D9" i="12"/>
  <c r="H40" i="11"/>
  <c r="H21" i="12"/>
  <c r="D21" i="12"/>
  <c r="F29" i="12"/>
  <c r="F99" i="12"/>
  <c r="F23" i="12"/>
  <c r="F25" i="12"/>
  <c r="F100" i="12"/>
  <c r="AF21" i="12"/>
  <c r="D23" i="12"/>
  <c r="D25" i="12"/>
  <c r="H23" i="12"/>
  <c r="H25" i="12"/>
  <c r="L23" i="12"/>
  <c r="L25" i="12"/>
  <c r="P23" i="12"/>
  <c r="P25" i="12"/>
  <c r="T23" i="12"/>
  <c r="T25" i="12"/>
  <c r="X23" i="12"/>
  <c r="X25" i="12"/>
  <c r="AB23" i="12"/>
  <c r="AB25" i="12"/>
  <c r="AF42" i="12"/>
  <c r="J23" i="12"/>
  <c r="J25" i="12"/>
  <c r="N23" i="12"/>
  <c r="N25" i="12"/>
  <c r="R23" i="12"/>
  <c r="R25" i="12"/>
  <c r="V23" i="12"/>
  <c r="V25" i="12"/>
  <c r="Z23" i="12"/>
  <c r="Z25" i="12"/>
  <c r="AD23" i="12"/>
  <c r="AD25" i="12"/>
  <c r="AF9" i="12"/>
  <c r="AE21" i="12"/>
  <c r="J101" i="12"/>
  <c r="J102" i="12"/>
  <c r="N101" i="12"/>
  <c r="N102" i="12"/>
  <c r="R101" i="12"/>
  <c r="R102" i="12"/>
  <c r="V101" i="12"/>
  <c r="V102" i="12"/>
  <c r="Z101" i="12"/>
  <c r="Z102" i="12"/>
  <c r="AD99" i="12"/>
  <c r="AD100" i="12"/>
  <c r="D43" i="12"/>
  <c r="D99" i="12"/>
  <c r="L101" i="12"/>
  <c r="L102" i="12"/>
  <c r="P101" i="12"/>
  <c r="P102" i="12"/>
  <c r="T101" i="12"/>
  <c r="T102" i="12"/>
  <c r="X101" i="12"/>
  <c r="X102" i="12"/>
  <c r="AB99" i="12"/>
  <c r="AB100" i="12"/>
  <c r="H43" i="12"/>
  <c r="H99" i="12"/>
  <c r="AB42" i="11"/>
  <c r="AE42" i="11"/>
  <c r="AD42" i="11"/>
  <c r="Z42" i="11"/>
  <c r="X42" i="11"/>
  <c r="V42" i="11"/>
  <c r="T42" i="11"/>
  <c r="R42" i="11"/>
  <c r="P42" i="11"/>
  <c r="N42" i="11"/>
  <c r="L42" i="11"/>
  <c r="J42" i="11"/>
  <c r="D42" i="11"/>
  <c r="AF111" i="11"/>
  <c r="AF109" i="11"/>
  <c r="AF107" i="11"/>
  <c r="AF105" i="11"/>
  <c r="AF103" i="11"/>
  <c r="AE98" i="11"/>
  <c r="AD98" i="11"/>
  <c r="AB98" i="11"/>
  <c r="Z98" i="11"/>
  <c r="X98" i="11"/>
  <c r="V98" i="11"/>
  <c r="T98" i="11"/>
  <c r="R98" i="11"/>
  <c r="P98" i="11"/>
  <c r="N98" i="11"/>
  <c r="L98" i="11"/>
  <c r="J98" i="11"/>
  <c r="H98" i="11"/>
  <c r="F98" i="11"/>
  <c r="D98" i="11"/>
  <c r="AF98" i="11"/>
  <c r="AE97" i="11"/>
  <c r="AD97" i="11"/>
  <c r="AB97" i="11"/>
  <c r="Z97" i="11"/>
  <c r="X97" i="11"/>
  <c r="V97" i="11"/>
  <c r="T97" i="11"/>
  <c r="R97" i="11"/>
  <c r="P97" i="11"/>
  <c r="N97" i="11"/>
  <c r="L97" i="11"/>
  <c r="J97" i="11"/>
  <c r="H97" i="11"/>
  <c r="F97" i="11"/>
  <c r="D97" i="11"/>
  <c r="AF97" i="11"/>
  <c r="AD96" i="11"/>
  <c r="AB96" i="11"/>
  <c r="Z96" i="11"/>
  <c r="X96" i="11"/>
  <c r="V96" i="11"/>
  <c r="T96" i="11"/>
  <c r="R96" i="11"/>
  <c r="P96" i="11"/>
  <c r="N96" i="11"/>
  <c r="L96" i="11"/>
  <c r="J96" i="11"/>
  <c r="H96" i="11"/>
  <c r="F96" i="11"/>
  <c r="D96" i="11"/>
  <c r="AF96" i="11"/>
  <c r="AE95" i="11"/>
  <c r="AD95" i="11"/>
  <c r="AB95" i="11"/>
  <c r="Z95" i="11"/>
  <c r="X95" i="11"/>
  <c r="V95" i="11"/>
  <c r="T95" i="11"/>
  <c r="R95" i="11"/>
  <c r="P95" i="11"/>
  <c r="N95" i="11"/>
  <c r="L95" i="11"/>
  <c r="J95" i="11"/>
  <c r="H95" i="11"/>
  <c r="F95" i="11"/>
  <c r="D95" i="11"/>
  <c r="AF95" i="11"/>
  <c r="AE94" i="11"/>
  <c r="AD94" i="11"/>
  <c r="AB94" i="11"/>
  <c r="Z94" i="11"/>
  <c r="X94" i="11"/>
  <c r="V94" i="11"/>
  <c r="T94" i="11"/>
  <c r="R94" i="11"/>
  <c r="P94" i="11"/>
  <c r="N94" i="11"/>
  <c r="L94" i="11"/>
  <c r="J94" i="11"/>
  <c r="H94" i="11"/>
  <c r="F94" i="11"/>
  <c r="D94" i="11"/>
  <c r="AE93" i="11"/>
  <c r="AD93" i="11"/>
  <c r="AB93" i="11"/>
  <c r="Z93" i="11"/>
  <c r="X93" i="11"/>
  <c r="V93" i="11"/>
  <c r="T93" i="11"/>
  <c r="R93" i="11"/>
  <c r="P93" i="11"/>
  <c r="N93" i="11"/>
  <c r="L93" i="11"/>
  <c r="J93" i="11"/>
  <c r="H93" i="11"/>
  <c r="F93" i="11"/>
  <c r="D93" i="11"/>
  <c r="AE92" i="11"/>
  <c r="AD92" i="11"/>
  <c r="AB92" i="11"/>
  <c r="Z92" i="11"/>
  <c r="X92" i="11"/>
  <c r="V92" i="11"/>
  <c r="T92" i="11"/>
  <c r="R92" i="11"/>
  <c r="P92" i="11"/>
  <c r="N92" i="11"/>
  <c r="L92" i="11"/>
  <c r="J92" i="11"/>
  <c r="H92" i="11"/>
  <c r="F92" i="11"/>
  <c r="D92" i="11"/>
  <c r="AE91" i="11"/>
  <c r="AD91" i="11"/>
  <c r="AB91" i="11"/>
  <c r="Z91" i="11"/>
  <c r="X91" i="11"/>
  <c r="V91" i="11"/>
  <c r="T91" i="11"/>
  <c r="R91" i="11"/>
  <c r="P91" i="11"/>
  <c r="N91" i="11"/>
  <c r="L91" i="11"/>
  <c r="J91" i="11"/>
  <c r="H91" i="11"/>
  <c r="F91" i="11"/>
  <c r="D91" i="11"/>
  <c r="AF91" i="11"/>
  <c r="AE90" i="11"/>
  <c r="AD90" i="11"/>
  <c r="AB90" i="11"/>
  <c r="Z90" i="11"/>
  <c r="X90" i="11"/>
  <c r="V90" i="11"/>
  <c r="T90" i="11"/>
  <c r="R90" i="11"/>
  <c r="P90" i="11"/>
  <c r="N90" i="11"/>
  <c r="L90" i="11"/>
  <c r="J90" i="11"/>
  <c r="H90" i="11"/>
  <c r="F90" i="11"/>
  <c r="D90" i="11"/>
  <c r="AF90" i="11"/>
  <c r="AE89" i="11"/>
  <c r="AD89" i="11"/>
  <c r="AB89" i="11"/>
  <c r="Z89" i="11"/>
  <c r="X89" i="11"/>
  <c r="V89" i="11"/>
  <c r="T89" i="11"/>
  <c r="R89" i="11"/>
  <c r="P89" i="11"/>
  <c r="N89" i="11"/>
  <c r="L89" i="11"/>
  <c r="J89" i="11"/>
  <c r="H89" i="11"/>
  <c r="F89" i="11"/>
  <c r="D89" i="11"/>
  <c r="AE88" i="11"/>
  <c r="AD88" i="11"/>
  <c r="AB88" i="11"/>
  <c r="Z88" i="11"/>
  <c r="X88" i="11"/>
  <c r="V88" i="11"/>
  <c r="T88" i="11"/>
  <c r="R88" i="11"/>
  <c r="P88" i="11"/>
  <c r="N88" i="11"/>
  <c r="L88" i="11"/>
  <c r="J88" i="11"/>
  <c r="H88" i="11"/>
  <c r="F88" i="11"/>
  <c r="D88" i="11"/>
  <c r="AF88" i="11"/>
  <c r="AE87" i="11"/>
  <c r="AD87" i="11"/>
  <c r="AB87" i="11"/>
  <c r="Z87" i="11"/>
  <c r="X87" i="11"/>
  <c r="V87" i="11"/>
  <c r="T87" i="11"/>
  <c r="R87" i="11"/>
  <c r="P87" i="11"/>
  <c r="N87" i="11"/>
  <c r="L87" i="11"/>
  <c r="J87" i="11"/>
  <c r="H87" i="11"/>
  <c r="F87" i="11"/>
  <c r="D87" i="11"/>
  <c r="AF87" i="11"/>
  <c r="AE86" i="11"/>
  <c r="AD86" i="11"/>
  <c r="AB86" i="11"/>
  <c r="Z86" i="11"/>
  <c r="X86" i="11"/>
  <c r="V86" i="11"/>
  <c r="T86" i="11"/>
  <c r="R86" i="11"/>
  <c r="P86" i="11"/>
  <c r="N86" i="11"/>
  <c r="L86" i="11"/>
  <c r="J86" i="11"/>
  <c r="H86" i="11"/>
  <c r="F86" i="11"/>
  <c r="D86" i="11"/>
  <c r="AF86" i="11"/>
  <c r="AE85" i="11"/>
  <c r="AD85" i="11"/>
  <c r="AB85" i="11"/>
  <c r="Z85" i="11"/>
  <c r="X85" i="11"/>
  <c r="V85" i="11"/>
  <c r="T85" i="11"/>
  <c r="R85" i="11"/>
  <c r="P85" i="11"/>
  <c r="N85" i="11"/>
  <c r="L85" i="11"/>
  <c r="J85" i="11"/>
  <c r="H85" i="11"/>
  <c r="F85" i="11"/>
  <c r="D85" i="11"/>
  <c r="AF85" i="11"/>
  <c r="AE84" i="11"/>
  <c r="AD84" i="11"/>
  <c r="AB84" i="11"/>
  <c r="Z84" i="11"/>
  <c r="X84" i="11"/>
  <c r="V84" i="11"/>
  <c r="T84" i="11"/>
  <c r="R84" i="11"/>
  <c r="P84" i="11"/>
  <c r="N84" i="11"/>
  <c r="L84" i="11"/>
  <c r="J84" i="11"/>
  <c r="H84" i="11"/>
  <c r="F84" i="11"/>
  <c r="D84" i="11"/>
  <c r="AF84" i="11"/>
  <c r="AE83" i="11"/>
  <c r="AD83" i="11"/>
  <c r="AB83" i="11"/>
  <c r="Z83" i="11"/>
  <c r="X83" i="11"/>
  <c r="V83" i="11"/>
  <c r="T83" i="11"/>
  <c r="R83" i="11"/>
  <c r="P83" i="11"/>
  <c r="N83" i="11"/>
  <c r="L83" i="11"/>
  <c r="J83" i="11"/>
  <c r="H83" i="11"/>
  <c r="F83" i="11"/>
  <c r="D83" i="11"/>
  <c r="AF83" i="11"/>
  <c r="AE82" i="11"/>
  <c r="AD82" i="11"/>
  <c r="AB82" i="11"/>
  <c r="Z82" i="11"/>
  <c r="X82" i="11"/>
  <c r="V82" i="11"/>
  <c r="T82" i="11"/>
  <c r="R82" i="11"/>
  <c r="P82" i="11"/>
  <c r="N82" i="11"/>
  <c r="L82" i="11"/>
  <c r="J82" i="11"/>
  <c r="H82" i="11"/>
  <c r="F82" i="11"/>
  <c r="D82" i="11"/>
  <c r="AF82" i="11"/>
  <c r="AE81" i="11"/>
  <c r="AD81" i="11"/>
  <c r="AB81" i="11"/>
  <c r="Z81" i="11"/>
  <c r="X81" i="11"/>
  <c r="V81" i="11"/>
  <c r="T81" i="11"/>
  <c r="R81" i="11"/>
  <c r="P81" i="11"/>
  <c r="N81" i="11"/>
  <c r="L81" i="11"/>
  <c r="J81" i="11"/>
  <c r="H81" i="11"/>
  <c r="F81" i="11"/>
  <c r="D81" i="11"/>
  <c r="AF81" i="11"/>
  <c r="AE80" i="11"/>
  <c r="AD80" i="11"/>
  <c r="AB80" i="11"/>
  <c r="Z80" i="11"/>
  <c r="X80" i="11"/>
  <c r="V80" i="11"/>
  <c r="T80" i="11"/>
  <c r="R80" i="11"/>
  <c r="P80" i="11"/>
  <c r="N80" i="11"/>
  <c r="L80" i="11"/>
  <c r="J80" i="11"/>
  <c r="H80" i="11"/>
  <c r="F80" i="11"/>
  <c r="D80" i="11"/>
  <c r="AF80" i="11"/>
  <c r="AE79" i="11"/>
  <c r="AD79" i="11"/>
  <c r="AB79" i="11"/>
  <c r="Z79" i="11"/>
  <c r="X79" i="11"/>
  <c r="V79" i="11"/>
  <c r="T79" i="11"/>
  <c r="R79" i="11"/>
  <c r="P79" i="11"/>
  <c r="N79" i="11"/>
  <c r="L79" i="11"/>
  <c r="J79" i="11"/>
  <c r="H79" i="11"/>
  <c r="F79" i="11"/>
  <c r="D79" i="11"/>
  <c r="AE78" i="11"/>
  <c r="AD78" i="11"/>
  <c r="AB78" i="11"/>
  <c r="Z78" i="11"/>
  <c r="X78" i="11"/>
  <c r="V78" i="11"/>
  <c r="T78" i="11"/>
  <c r="R78" i="11"/>
  <c r="P78" i="11"/>
  <c r="N78" i="11"/>
  <c r="L78" i="11"/>
  <c r="J78" i="11"/>
  <c r="H78" i="11"/>
  <c r="F78" i="11"/>
  <c r="D78" i="11"/>
  <c r="AF78" i="11"/>
  <c r="AE77" i="11"/>
  <c r="AD77" i="11"/>
  <c r="AB77" i="11"/>
  <c r="Z77" i="11"/>
  <c r="X77" i="11"/>
  <c r="V77" i="11"/>
  <c r="T77" i="11"/>
  <c r="R77" i="11"/>
  <c r="P77" i="11"/>
  <c r="N77" i="11"/>
  <c r="L77" i="11"/>
  <c r="J77" i="11"/>
  <c r="H77" i="11"/>
  <c r="F77" i="11"/>
  <c r="D77" i="11"/>
  <c r="AE76" i="11"/>
  <c r="AD76" i="11"/>
  <c r="AB76" i="11"/>
  <c r="Z76" i="11"/>
  <c r="X76" i="11"/>
  <c r="V76" i="11"/>
  <c r="T76" i="11"/>
  <c r="R76" i="11"/>
  <c r="P76" i="11"/>
  <c r="N76" i="11"/>
  <c r="L76" i="11"/>
  <c r="J76" i="11"/>
  <c r="H76" i="11"/>
  <c r="F76" i="11"/>
  <c r="D76" i="11"/>
  <c r="AF76" i="11"/>
  <c r="AE75" i="11"/>
  <c r="AD75" i="11"/>
  <c r="AB75" i="11"/>
  <c r="Z75" i="11"/>
  <c r="X75" i="11"/>
  <c r="V75" i="11"/>
  <c r="T75" i="11"/>
  <c r="R75" i="11"/>
  <c r="P75" i="11"/>
  <c r="N75" i="11"/>
  <c r="L75" i="11"/>
  <c r="J75" i="11"/>
  <c r="H75" i="11"/>
  <c r="F75" i="11"/>
  <c r="D75" i="11"/>
  <c r="AE74" i="11"/>
  <c r="AD74" i="11"/>
  <c r="AB74" i="11"/>
  <c r="Z74" i="11"/>
  <c r="X74" i="11"/>
  <c r="V74" i="11"/>
  <c r="T74" i="11"/>
  <c r="R74" i="11"/>
  <c r="P74" i="11"/>
  <c r="N74" i="11"/>
  <c r="L74" i="11"/>
  <c r="J74" i="11"/>
  <c r="H74" i="11"/>
  <c r="F74" i="11"/>
  <c r="D74" i="11"/>
  <c r="AE73" i="11"/>
  <c r="AD73" i="11"/>
  <c r="AB73" i="11"/>
  <c r="Z73" i="11"/>
  <c r="X73" i="11"/>
  <c r="V73" i="11"/>
  <c r="T73" i="11"/>
  <c r="R73" i="11"/>
  <c r="P73" i="11"/>
  <c r="N73" i="11"/>
  <c r="L73" i="11"/>
  <c r="J73" i="11"/>
  <c r="H73" i="11"/>
  <c r="F73" i="11"/>
  <c r="D73" i="11"/>
  <c r="AF73" i="11"/>
  <c r="AE72" i="11"/>
  <c r="AD72" i="11"/>
  <c r="AB72" i="11"/>
  <c r="Z72" i="11"/>
  <c r="X72" i="11"/>
  <c r="V72" i="11"/>
  <c r="T72" i="11"/>
  <c r="R72" i="11"/>
  <c r="P72" i="11"/>
  <c r="N72" i="11"/>
  <c r="L72" i="11"/>
  <c r="J72" i="11"/>
  <c r="H72" i="11"/>
  <c r="F72" i="11"/>
  <c r="D72" i="11"/>
  <c r="AF72" i="11"/>
  <c r="AE71" i="11"/>
  <c r="AD71" i="11"/>
  <c r="AB71" i="11"/>
  <c r="Z71" i="11"/>
  <c r="X71" i="11"/>
  <c r="V71" i="11"/>
  <c r="T71" i="11"/>
  <c r="R71" i="11"/>
  <c r="P71" i="11"/>
  <c r="N71" i="11"/>
  <c r="L71" i="11"/>
  <c r="J71" i="11"/>
  <c r="H71" i="11"/>
  <c r="F71" i="11"/>
  <c r="D71" i="11"/>
  <c r="AF71" i="11"/>
  <c r="AE70" i="11"/>
  <c r="AD70" i="11"/>
  <c r="AB70" i="11"/>
  <c r="Z70" i="11"/>
  <c r="X70" i="11"/>
  <c r="V70" i="11"/>
  <c r="T70" i="11"/>
  <c r="R70" i="11"/>
  <c r="P70" i="11"/>
  <c r="N70" i="11"/>
  <c r="L70" i="11"/>
  <c r="J70" i="11"/>
  <c r="H70" i="11"/>
  <c r="F70" i="11"/>
  <c r="D70" i="11"/>
  <c r="AF70" i="11"/>
  <c r="AE69" i="11"/>
  <c r="AD69" i="11"/>
  <c r="AB69" i="11"/>
  <c r="Z69" i="11"/>
  <c r="X69" i="11"/>
  <c r="V69" i="11"/>
  <c r="T69" i="11"/>
  <c r="R69" i="11"/>
  <c r="P69" i="11"/>
  <c r="N69" i="11"/>
  <c r="L69" i="11"/>
  <c r="J69" i="11"/>
  <c r="H69" i="11"/>
  <c r="F69" i="11"/>
  <c r="D69" i="11"/>
  <c r="AF69" i="11"/>
  <c r="AD68" i="11"/>
  <c r="AB68" i="11"/>
  <c r="Z68" i="11"/>
  <c r="X68" i="11"/>
  <c r="V68" i="11"/>
  <c r="T68" i="11"/>
  <c r="R68" i="11"/>
  <c r="P68" i="11"/>
  <c r="N68" i="11"/>
  <c r="L68" i="11"/>
  <c r="J68" i="11"/>
  <c r="H68" i="11"/>
  <c r="F68" i="11"/>
  <c r="D68" i="11"/>
  <c r="AF68" i="11"/>
  <c r="AE67" i="11"/>
  <c r="AD67" i="11"/>
  <c r="AB67" i="11"/>
  <c r="Z67" i="11"/>
  <c r="X67" i="11"/>
  <c r="V67" i="11"/>
  <c r="T67" i="11"/>
  <c r="R67" i="11"/>
  <c r="P67" i="11"/>
  <c r="N67" i="11"/>
  <c r="L67" i="11"/>
  <c r="J67" i="11"/>
  <c r="H67" i="11"/>
  <c r="F67" i="11"/>
  <c r="D67" i="11"/>
  <c r="AE66" i="11"/>
  <c r="AD66" i="11"/>
  <c r="AB66" i="11"/>
  <c r="Z66" i="11"/>
  <c r="X66" i="11"/>
  <c r="V66" i="11"/>
  <c r="T66" i="11"/>
  <c r="R66" i="11"/>
  <c r="P66" i="11"/>
  <c r="N66" i="11"/>
  <c r="L66" i="11"/>
  <c r="J66" i="11"/>
  <c r="H66" i="11"/>
  <c r="F66" i="11"/>
  <c r="D66" i="11"/>
  <c r="AE65" i="11"/>
  <c r="AD65" i="11"/>
  <c r="AB65" i="11"/>
  <c r="Z65" i="11"/>
  <c r="X65" i="11"/>
  <c r="V65" i="11"/>
  <c r="T65" i="11"/>
  <c r="R65" i="11"/>
  <c r="P65" i="11"/>
  <c r="N65" i="11"/>
  <c r="L65" i="11"/>
  <c r="J65" i="11"/>
  <c r="H65" i="11"/>
  <c r="F65" i="11"/>
  <c r="D65" i="11"/>
  <c r="AE64" i="11"/>
  <c r="AD64" i="11"/>
  <c r="AB64" i="11"/>
  <c r="Z64" i="11"/>
  <c r="X64" i="11"/>
  <c r="V64" i="11"/>
  <c r="T64" i="11"/>
  <c r="R64" i="11"/>
  <c r="P64" i="11"/>
  <c r="N64" i="11"/>
  <c r="L64" i="11"/>
  <c r="J64" i="11"/>
  <c r="H64" i="11"/>
  <c r="F64" i="11"/>
  <c r="D64" i="11"/>
  <c r="AF64" i="11"/>
  <c r="AE63" i="11"/>
  <c r="AD63" i="11"/>
  <c r="AB63" i="11"/>
  <c r="Z63" i="11"/>
  <c r="X63" i="11"/>
  <c r="V63" i="11"/>
  <c r="T63" i="11"/>
  <c r="R63" i="11"/>
  <c r="P63" i="11"/>
  <c r="N63" i="11"/>
  <c r="L63" i="11"/>
  <c r="J63" i="11"/>
  <c r="H63" i="11"/>
  <c r="F63" i="11"/>
  <c r="D63" i="11"/>
  <c r="AE62" i="11"/>
  <c r="AD62" i="11"/>
  <c r="AB62" i="11"/>
  <c r="Z62" i="11"/>
  <c r="X62" i="11"/>
  <c r="V62" i="11"/>
  <c r="T62" i="11"/>
  <c r="R62" i="11"/>
  <c r="P62" i="11"/>
  <c r="N62" i="11"/>
  <c r="L62" i="11"/>
  <c r="J62" i="11"/>
  <c r="H62" i="11"/>
  <c r="F62" i="11"/>
  <c r="D62" i="11"/>
  <c r="AE61" i="11"/>
  <c r="AD61" i="11"/>
  <c r="AB61" i="11"/>
  <c r="Z61" i="11"/>
  <c r="X61" i="11"/>
  <c r="V61" i="11"/>
  <c r="T61" i="11"/>
  <c r="R61" i="11"/>
  <c r="P61" i="11"/>
  <c r="N61" i="11"/>
  <c r="L61" i="11"/>
  <c r="J61" i="11"/>
  <c r="H61" i="11"/>
  <c r="F61" i="11"/>
  <c r="D61" i="11"/>
  <c r="AE60" i="11"/>
  <c r="AD60" i="11"/>
  <c r="AB60" i="11"/>
  <c r="Z60" i="11"/>
  <c r="X60" i="11"/>
  <c r="V60" i="11"/>
  <c r="T60" i="11"/>
  <c r="R60" i="11"/>
  <c r="P60" i="11"/>
  <c r="N60" i="11"/>
  <c r="L60" i="11"/>
  <c r="J60" i="11"/>
  <c r="H60" i="11"/>
  <c r="F60" i="11"/>
  <c r="D60" i="11"/>
  <c r="AF60" i="11"/>
  <c r="AE59" i="11"/>
  <c r="AD59" i="11"/>
  <c r="AB59" i="11"/>
  <c r="Z59" i="11"/>
  <c r="X59" i="11"/>
  <c r="V59" i="11"/>
  <c r="T59" i="11"/>
  <c r="R59" i="11"/>
  <c r="P59" i="11"/>
  <c r="N59" i="11"/>
  <c r="L59" i="11"/>
  <c r="J59" i="11"/>
  <c r="H59" i="11"/>
  <c r="F59" i="11"/>
  <c r="D59" i="11"/>
  <c r="AE58" i="11"/>
  <c r="AD58" i="11"/>
  <c r="AB58" i="11"/>
  <c r="Z58" i="11"/>
  <c r="X58" i="11"/>
  <c r="V58" i="11"/>
  <c r="T58" i="11"/>
  <c r="R58" i="11"/>
  <c r="P58" i="11"/>
  <c r="N58" i="11"/>
  <c r="L58" i="11"/>
  <c r="J58" i="11"/>
  <c r="H58" i="11"/>
  <c r="F58" i="11"/>
  <c r="D58" i="11"/>
  <c r="AF58" i="11"/>
  <c r="AE57" i="11"/>
  <c r="AD57" i="11"/>
  <c r="AB57" i="11"/>
  <c r="Z57" i="11"/>
  <c r="X57" i="11"/>
  <c r="V57" i="11"/>
  <c r="T57" i="11"/>
  <c r="R57" i="11"/>
  <c r="P57" i="11"/>
  <c r="N57" i="11"/>
  <c r="L57" i="11"/>
  <c r="J57" i="11"/>
  <c r="H57" i="11"/>
  <c r="F57" i="11"/>
  <c r="D57" i="11"/>
  <c r="AE56" i="11"/>
  <c r="AD56" i="11"/>
  <c r="AB56" i="11"/>
  <c r="Z56" i="11"/>
  <c r="X56" i="11"/>
  <c r="V56" i="11"/>
  <c r="T56" i="11"/>
  <c r="R56" i="11"/>
  <c r="P56" i="11"/>
  <c r="N56" i="11"/>
  <c r="L56" i="11"/>
  <c r="J56" i="11"/>
  <c r="H56" i="11"/>
  <c r="F56" i="11"/>
  <c r="D56" i="11"/>
  <c r="AF56" i="11"/>
  <c r="AE55" i="11"/>
  <c r="AD55" i="11"/>
  <c r="AB55" i="11"/>
  <c r="Z55" i="11"/>
  <c r="X55" i="11"/>
  <c r="V55" i="11"/>
  <c r="T55" i="11"/>
  <c r="R55" i="11"/>
  <c r="P55" i="11"/>
  <c r="N55" i="11"/>
  <c r="L55" i="11"/>
  <c r="J55" i="11"/>
  <c r="H55" i="11"/>
  <c r="F55" i="11"/>
  <c r="D55" i="11"/>
  <c r="AE54" i="11"/>
  <c r="AD54" i="11"/>
  <c r="AB54" i="11"/>
  <c r="Z54" i="11"/>
  <c r="X54" i="11"/>
  <c r="V54" i="11"/>
  <c r="T54" i="11"/>
  <c r="R54" i="11"/>
  <c r="P54" i="11"/>
  <c r="N54" i="11"/>
  <c r="L54" i="11"/>
  <c r="J54" i="11"/>
  <c r="H54" i="11"/>
  <c r="F54" i="11"/>
  <c r="D54" i="11"/>
  <c r="AE53" i="11"/>
  <c r="AD53" i="11"/>
  <c r="AB53" i="11"/>
  <c r="Z53" i="11"/>
  <c r="X53" i="11"/>
  <c r="V53" i="11"/>
  <c r="T53" i="11"/>
  <c r="R53" i="11"/>
  <c r="P53" i="11"/>
  <c r="N53" i="11"/>
  <c r="L53" i="11"/>
  <c r="J53" i="11"/>
  <c r="H53" i="11"/>
  <c r="F53" i="11"/>
  <c r="D53" i="11"/>
  <c r="AE52" i="11"/>
  <c r="AD52" i="11"/>
  <c r="AB52" i="11"/>
  <c r="Z52" i="11"/>
  <c r="X52" i="11"/>
  <c r="V52" i="11"/>
  <c r="T52" i="11"/>
  <c r="R52" i="11"/>
  <c r="P52" i="11"/>
  <c r="N52" i="11"/>
  <c r="L52" i="11"/>
  <c r="J52" i="11"/>
  <c r="H52" i="11"/>
  <c r="F52" i="11"/>
  <c r="D52" i="11"/>
  <c r="AF52" i="11"/>
  <c r="AE51" i="11"/>
  <c r="AD51" i="11"/>
  <c r="AB51" i="11"/>
  <c r="Z51" i="11"/>
  <c r="X51" i="11"/>
  <c r="V51" i="11"/>
  <c r="T51" i="11"/>
  <c r="R51" i="11"/>
  <c r="P51" i="11"/>
  <c r="N51" i="11"/>
  <c r="L51" i="11"/>
  <c r="J51" i="11"/>
  <c r="H51" i="11"/>
  <c r="F51" i="11"/>
  <c r="D51" i="11"/>
  <c r="AE50" i="11"/>
  <c r="AD50" i="11"/>
  <c r="AB50" i="11"/>
  <c r="Z50" i="11"/>
  <c r="X50" i="11"/>
  <c r="V50" i="11"/>
  <c r="T50" i="11"/>
  <c r="R50" i="11"/>
  <c r="P50" i="11"/>
  <c r="N50" i="11"/>
  <c r="L50" i="11"/>
  <c r="J50" i="11"/>
  <c r="H50" i="11"/>
  <c r="F50" i="11"/>
  <c r="D50" i="11"/>
  <c r="AF50" i="11"/>
  <c r="AE49" i="11"/>
  <c r="AD49" i="11"/>
  <c r="AB49" i="11"/>
  <c r="Z49" i="11"/>
  <c r="X49" i="11"/>
  <c r="V49" i="11"/>
  <c r="T49" i="11"/>
  <c r="R49" i="11"/>
  <c r="P49" i="11"/>
  <c r="N49" i="11"/>
  <c r="L49" i="11"/>
  <c r="J49" i="11"/>
  <c r="H49" i="11"/>
  <c r="F49" i="11"/>
  <c r="D49" i="11"/>
  <c r="AE48" i="11"/>
  <c r="AD48" i="11"/>
  <c r="AB48" i="11"/>
  <c r="Z48" i="11"/>
  <c r="X48" i="11"/>
  <c r="V48" i="11"/>
  <c r="T48" i="11"/>
  <c r="R48" i="11"/>
  <c r="P48" i="11"/>
  <c r="N48" i="11"/>
  <c r="L48" i="11"/>
  <c r="J48" i="11"/>
  <c r="H48" i="11"/>
  <c r="F48" i="11"/>
  <c r="D48" i="11"/>
  <c r="AF48" i="11"/>
  <c r="AE47" i="11"/>
  <c r="AD47" i="11"/>
  <c r="AB47" i="11"/>
  <c r="Z47" i="11"/>
  <c r="X47" i="11"/>
  <c r="V47" i="11"/>
  <c r="T47" i="11"/>
  <c r="R47" i="11"/>
  <c r="P47" i="11"/>
  <c r="N47" i="11"/>
  <c r="L47" i="11"/>
  <c r="J47" i="11"/>
  <c r="H47" i="11"/>
  <c r="F47" i="11"/>
  <c r="D47" i="11"/>
  <c r="AF46" i="11"/>
  <c r="AE46" i="11"/>
  <c r="AE45" i="11"/>
  <c r="Z45" i="11"/>
  <c r="X45" i="11"/>
  <c r="AD45" i="11"/>
  <c r="V45" i="11"/>
  <c r="AB45" i="11"/>
  <c r="T45" i="11"/>
  <c r="R45" i="11"/>
  <c r="P45" i="11"/>
  <c r="N45" i="11"/>
  <c r="L45" i="11"/>
  <c r="J45" i="11"/>
  <c r="H45" i="11"/>
  <c r="F45" i="11"/>
  <c r="D45" i="11"/>
  <c r="AE43" i="11"/>
  <c r="AD43" i="11"/>
  <c r="Z43" i="11"/>
  <c r="X43" i="11"/>
  <c r="V43" i="11"/>
  <c r="T43" i="11"/>
  <c r="R43" i="11"/>
  <c r="P43" i="11"/>
  <c r="N43" i="11"/>
  <c r="L43" i="11"/>
  <c r="J43" i="11"/>
  <c r="AB43" i="11"/>
  <c r="AE41" i="11"/>
  <c r="AD41" i="11"/>
  <c r="AB41" i="11"/>
  <c r="Z41" i="11"/>
  <c r="X41" i="11"/>
  <c r="V41" i="11"/>
  <c r="T41" i="11"/>
  <c r="R41" i="11"/>
  <c r="P41" i="11"/>
  <c r="N41" i="11"/>
  <c r="L41" i="11"/>
  <c r="J41" i="11"/>
  <c r="AF41" i="11"/>
  <c r="AE40" i="11"/>
  <c r="AD40" i="11"/>
  <c r="AB40" i="11"/>
  <c r="Z40" i="11"/>
  <c r="X40" i="11"/>
  <c r="V40" i="11"/>
  <c r="T40" i="11"/>
  <c r="R40" i="11"/>
  <c r="P40" i="11"/>
  <c r="N40" i="11"/>
  <c r="L40" i="11"/>
  <c r="J40" i="11"/>
  <c r="F40" i="11"/>
  <c r="D40" i="11"/>
  <c r="AF38" i="11"/>
  <c r="AE38" i="11"/>
  <c r="AE37" i="11"/>
  <c r="AD37" i="11"/>
  <c r="AB37" i="11"/>
  <c r="Z37" i="11"/>
  <c r="X37" i="11"/>
  <c r="V37" i="11"/>
  <c r="T37" i="11"/>
  <c r="R37" i="11"/>
  <c r="P37" i="11"/>
  <c r="N37" i="11"/>
  <c r="L37" i="11"/>
  <c r="J37" i="11"/>
  <c r="H37" i="11"/>
  <c r="F37" i="11"/>
  <c r="D37" i="11"/>
  <c r="AF37" i="11"/>
  <c r="AE36" i="11"/>
  <c r="AD36" i="11"/>
  <c r="AB36" i="11"/>
  <c r="Z36" i="11"/>
  <c r="X36" i="11"/>
  <c r="V36" i="11"/>
  <c r="T36" i="11"/>
  <c r="R36" i="11"/>
  <c r="P36" i="11"/>
  <c r="N36" i="11"/>
  <c r="L36" i="11"/>
  <c r="J36" i="11"/>
  <c r="H36" i="11"/>
  <c r="F36" i="11"/>
  <c r="D36" i="11"/>
  <c r="AE35" i="11"/>
  <c r="AD35" i="11"/>
  <c r="AB35" i="11"/>
  <c r="Z35" i="11"/>
  <c r="X35" i="11"/>
  <c r="V35" i="11"/>
  <c r="T35" i="11"/>
  <c r="R35" i="11"/>
  <c r="P35" i="11"/>
  <c r="N35" i="11"/>
  <c r="L35" i="11"/>
  <c r="J35" i="11"/>
  <c r="H35" i="11"/>
  <c r="F35" i="11"/>
  <c r="D35" i="11"/>
  <c r="AF35" i="11"/>
  <c r="AE34" i="11"/>
  <c r="AD34" i="11"/>
  <c r="AB34" i="11"/>
  <c r="Z34" i="11"/>
  <c r="X34" i="11"/>
  <c r="V34" i="11"/>
  <c r="T34" i="11"/>
  <c r="R34" i="11"/>
  <c r="P34" i="11"/>
  <c r="N34" i="11"/>
  <c r="L34" i="11"/>
  <c r="J34" i="11"/>
  <c r="H34" i="11"/>
  <c r="F34" i="11"/>
  <c r="D34" i="11"/>
  <c r="AE33" i="11"/>
  <c r="AD33" i="11"/>
  <c r="AB33" i="11"/>
  <c r="Z33" i="11"/>
  <c r="X33" i="11"/>
  <c r="V33" i="11"/>
  <c r="T33" i="11"/>
  <c r="R33" i="11"/>
  <c r="P33" i="11"/>
  <c r="N33" i="11"/>
  <c r="L33" i="11"/>
  <c r="J33" i="11"/>
  <c r="H33" i="11"/>
  <c r="F33" i="11"/>
  <c r="D33" i="11"/>
  <c r="AE32" i="11"/>
  <c r="AD32" i="11"/>
  <c r="AB32" i="11"/>
  <c r="Z32" i="11"/>
  <c r="X32" i="11"/>
  <c r="V32" i="11"/>
  <c r="T32" i="11"/>
  <c r="R32" i="11"/>
  <c r="P32" i="11"/>
  <c r="N32" i="11"/>
  <c r="L32" i="11"/>
  <c r="J32" i="11"/>
  <c r="H32" i="11"/>
  <c r="F32" i="11"/>
  <c r="D32" i="11"/>
  <c r="AF32" i="11"/>
  <c r="AF31" i="11"/>
  <c r="AF30" i="11"/>
  <c r="AE30" i="11"/>
  <c r="Z30" i="11"/>
  <c r="X30" i="11"/>
  <c r="V30" i="11"/>
  <c r="T30" i="11"/>
  <c r="R30" i="11"/>
  <c r="P30" i="11"/>
  <c r="N30" i="11"/>
  <c r="L30" i="11"/>
  <c r="J30" i="11"/>
  <c r="AE29" i="11"/>
  <c r="AD29" i="11"/>
  <c r="AB29" i="11"/>
  <c r="Z29" i="11"/>
  <c r="X29" i="11"/>
  <c r="V29" i="11"/>
  <c r="T29" i="11"/>
  <c r="R29" i="11"/>
  <c r="P29" i="11"/>
  <c r="N29" i="11"/>
  <c r="L29" i="11"/>
  <c r="J29" i="11"/>
  <c r="H29" i="11"/>
  <c r="D29" i="11"/>
  <c r="AE28" i="11"/>
  <c r="AD28" i="11"/>
  <c r="AB28" i="11"/>
  <c r="Z28" i="11"/>
  <c r="Z99" i="11"/>
  <c r="Z100" i="11"/>
  <c r="X28" i="11"/>
  <c r="X99" i="11"/>
  <c r="X100" i="11"/>
  <c r="V28" i="11"/>
  <c r="V99" i="11"/>
  <c r="V100" i="11"/>
  <c r="T28" i="11"/>
  <c r="T99" i="11"/>
  <c r="T100" i="11"/>
  <c r="R28" i="11"/>
  <c r="R99" i="11"/>
  <c r="R100" i="11"/>
  <c r="P28" i="11"/>
  <c r="P99" i="11"/>
  <c r="P100" i="11"/>
  <c r="N28" i="11"/>
  <c r="N99" i="11"/>
  <c r="N100" i="11"/>
  <c r="L28" i="11"/>
  <c r="L99" i="11"/>
  <c r="L100" i="11"/>
  <c r="J28" i="11"/>
  <c r="J99" i="11"/>
  <c r="J100" i="11"/>
  <c r="H28" i="11"/>
  <c r="F28" i="11"/>
  <c r="D28" i="11"/>
  <c r="AF27" i="11"/>
  <c r="AF26" i="11"/>
  <c r="AA25" i="11"/>
  <c r="AF24" i="11"/>
  <c r="AE24" i="11"/>
  <c r="AF22" i="11"/>
  <c r="AE22" i="11"/>
  <c r="AC21" i="11"/>
  <c r="AC25" i="11"/>
  <c r="Y21" i="11"/>
  <c r="Y25" i="11"/>
  <c r="W21" i="11"/>
  <c r="W25" i="11"/>
  <c r="U21" i="11"/>
  <c r="U25" i="11"/>
  <c r="S21" i="11"/>
  <c r="S25" i="11"/>
  <c r="Q21" i="11"/>
  <c r="Q25" i="11"/>
  <c r="O21" i="11"/>
  <c r="O25" i="11"/>
  <c r="M21" i="11"/>
  <c r="M25" i="11"/>
  <c r="K21" i="11"/>
  <c r="K25" i="11"/>
  <c r="I21" i="11"/>
  <c r="I25" i="11"/>
  <c r="G21" i="11"/>
  <c r="G25" i="11"/>
  <c r="E21" i="11"/>
  <c r="E25" i="11"/>
  <c r="C21" i="11"/>
  <c r="C25" i="11"/>
  <c r="AF20" i="11"/>
  <c r="AD19" i="11"/>
  <c r="AB19" i="11"/>
  <c r="Z19" i="11"/>
  <c r="X19" i="11"/>
  <c r="V19" i="11"/>
  <c r="T19" i="11"/>
  <c r="R19" i="11"/>
  <c r="P19" i="11"/>
  <c r="N19" i="11"/>
  <c r="L19" i="11"/>
  <c r="J19" i="11"/>
  <c r="H19" i="11"/>
  <c r="F19" i="11"/>
  <c r="D19" i="11"/>
  <c r="AF19" i="11"/>
  <c r="AD18" i="11"/>
  <c r="AB18" i="11"/>
  <c r="Z18" i="11"/>
  <c r="X18" i="11"/>
  <c r="V18" i="11"/>
  <c r="T18" i="11"/>
  <c r="R18" i="11"/>
  <c r="P18" i="11"/>
  <c r="N18" i="11"/>
  <c r="L18" i="11"/>
  <c r="J18" i="11"/>
  <c r="H18" i="11"/>
  <c r="F18" i="11"/>
  <c r="D18" i="11"/>
  <c r="AD17" i="11"/>
  <c r="AB17" i="11"/>
  <c r="Z17" i="11"/>
  <c r="X17" i="11"/>
  <c r="V17" i="11"/>
  <c r="T17" i="11"/>
  <c r="R17" i="11"/>
  <c r="P17" i="11"/>
  <c r="N17" i="11"/>
  <c r="L17" i="11"/>
  <c r="J17" i="11"/>
  <c r="H17" i="11"/>
  <c r="F17" i="11"/>
  <c r="D17" i="11"/>
  <c r="AF17" i="11"/>
  <c r="AD16" i="11"/>
  <c r="AB16" i="11"/>
  <c r="Z16" i="11"/>
  <c r="X16" i="11"/>
  <c r="V16" i="11"/>
  <c r="T16" i="11"/>
  <c r="R16" i="11"/>
  <c r="P16" i="11"/>
  <c r="N16" i="11"/>
  <c r="L16" i="11"/>
  <c r="J16" i="11"/>
  <c r="H16" i="11"/>
  <c r="F16" i="11"/>
  <c r="D16" i="11"/>
  <c r="AF16" i="11"/>
  <c r="AD15" i="11"/>
  <c r="AB15" i="11"/>
  <c r="Z15" i="11"/>
  <c r="X15" i="11"/>
  <c r="V15" i="11"/>
  <c r="T15" i="11"/>
  <c r="R15" i="11"/>
  <c r="P15" i="11"/>
  <c r="N15" i="11"/>
  <c r="L15" i="11"/>
  <c r="J15" i="11"/>
  <c r="H15" i="11"/>
  <c r="F15" i="11"/>
  <c r="D15" i="11"/>
  <c r="AF15" i="11"/>
  <c r="AF14" i="11"/>
  <c r="AF13" i="11"/>
  <c r="AE12" i="11"/>
  <c r="AD12" i="11"/>
  <c r="AB12" i="11"/>
  <c r="Z12" i="11"/>
  <c r="X12" i="11"/>
  <c r="V12" i="11"/>
  <c r="T12" i="11"/>
  <c r="R12" i="11"/>
  <c r="P12" i="11"/>
  <c r="N12" i="11"/>
  <c r="L12" i="11"/>
  <c r="J12" i="11"/>
  <c r="H12" i="11"/>
  <c r="F12" i="11"/>
  <c r="D12" i="11"/>
  <c r="AF12" i="11"/>
  <c r="AE11" i="11"/>
  <c r="AD11" i="11"/>
  <c r="AB11" i="11"/>
  <c r="Z11" i="11"/>
  <c r="X11" i="11"/>
  <c r="V11" i="11"/>
  <c r="T11" i="11"/>
  <c r="R11" i="11"/>
  <c r="P11" i="11"/>
  <c r="N11" i="11"/>
  <c r="L11" i="11"/>
  <c r="J11" i="11"/>
  <c r="H11" i="11"/>
  <c r="F11" i="11"/>
  <c r="D11" i="11"/>
  <c r="AE10" i="11"/>
  <c r="AD10" i="11"/>
  <c r="AB10" i="11"/>
  <c r="Z10" i="11"/>
  <c r="X10" i="11"/>
  <c r="V10" i="11"/>
  <c r="T10" i="11"/>
  <c r="R10" i="11"/>
  <c r="P10" i="11"/>
  <c r="N10" i="11"/>
  <c r="L10" i="11"/>
  <c r="J10" i="11"/>
  <c r="H10" i="11"/>
  <c r="F10" i="11"/>
  <c r="D10" i="11"/>
  <c r="AF10" i="11"/>
  <c r="AE9" i="11"/>
  <c r="AD9" i="11"/>
  <c r="AD21" i="11"/>
  <c r="AB9" i="11"/>
  <c r="AB21" i="11"/>
  <c r="Z9" i="11"/>
  <c r="Z21" i="11"/>
  <c r="X9" i="11"/>
  <c r="X21" i="11"/>
  <c r="V9" i="11"/>
  <c r="V21" i="11"/>
  <c r="T9" i="11"/>
  <c r="T21" i="11"/>
  <c r="R9" i="11"/>
  <c r="R21" i="11"/>
  <c r="P9" i="11"/>
  <c r="P21" i="11"/>
  <c r="N9" i="11"/>
  <c r="N21" i="11"/>
  <c r="L9" i="11"/>
  <c r="L21" i="11"/>
  <c r="J9" i="11"/>
  <c r="J21" i="11"/>
  <c r="H9" i="11"/>
  <c r="H21" i="11"/>
  <c r="F9" i="11"/>
  <c r="F21" i="11"/>
  <c r="D9" i="11"/>
  <c r="D21" i="11"/>
  <c r="H99" i="11"/>
  <c r="H100" i="12"/>
  <c r="AF25" i="12"/>
  <c r="AF29" i="12"/>
  <c r="X106" i="12"/>
  <c r="X104" i="12"/>
  <c r="P106" i="12"/>
  <c r="P104" i="12"/>
  <c r="Z106" i="12"/>
  <c r="Z104" i="12"/>
  <c r="R106" i="12"/>
  <c r="R104" i="12"/>
  <c r="J106" i="12"/>
  <c r="J104" i="12"/>
  <c r="H101" i="12"/>
  <c r="H102" i="12"/>
  <c r="T106" i="12"/>
  <c r="T104" i="12"/>
  <c r="L106" i="12"/>
  <c r="L104" i="12"/>
  <c r="V106" i="12"/>
  <c r="V104" i="12"/>
  <c r="N106" i="12"/>
  <c r="N104" i="12"/>
  <c r="AB101" i="12"/>
  <c r="AB102" i="12"/>
  <c r="D100" i="12"/>
  <c r="F101" i="12"/>
  <c r="F102" i="12"/>
  <c r="AF43" i="12"/>
  <c r="AF99" i="12"/>
  <c r="AD101" i="12"/>
  <c r="AD102" i="12"/>
  <c r="AF23" i="12"/>
  <c r="AF42" i="11"/>
  <c r="AF34" i="11"/>
  <c r="AF36" i="11"/>
  <c r="AD99" i="11"/>
  <c r="AF40" i="11"/>
  <c r="AF54" i="11"/>
  <c r="AF62" i="11"/>
  <c r="AF66" i="11"/>
  <c r="AF74" i="11"/>
  <c r="AF93" i="11"/>
  <c r="AF11" i="11"/>
  <c r="AF33" i="11"/>
  <c r="AF45" i="11"/>
  <c r="AF47" i="11"/>
  <c r="AF49" i="11"/>
  <c r="AF51" i="11"/>
  <c r="AF53" i="11"/>
  <c r="AF55" i="11"/>
  <c r="AF57" i="11"/>
  <c r="AF59" i="11"/>
  <c r="AF61" i="11"/>
  <c r="AF63" i="11"/>
  <c r="AF65" i="11"/>
  <c r="AF67" i="11"/>
  <c r="AF75" i="11"/>
  <c r="AF77" i="11"/>
  <c r="AF79" i="11"/>
  <c r="AF89" i="11"/>
  <c r="AF92" i="11"/>
  <c r="AF94" i="11"/>
  <c r="AF18" i="11"/>
  <c r="AF21" i="11"/>
  <c r="D23" i="11"/>
  <c r="D25" i="11"/>
  <c r="P23" i="11"/>
  <c r="P25" i="11"/>
  <c r="T23" i="11"/>
  <c r="T25" i="11"/>
  <c r="AB23" i="11"/>
  <c r="AB25" i="11"/>
  <c r="H23" i="11"/>
  <c r="H25" i="11"/>
  <c r="L23" i="11"/>
  <c r="L25" i="11"/>
  <c r="X23" i="11"/>
  <c r="X25" i="11"/>
  <c r="F23" i="11"/>
  <c r="F25" i="11"/>
  <c r="J23" i="11"/>
  <c r="J25" i="11"/>
  <c r="N23" i="11"/>
  <c r="N25" i="11"/>
  <c r="R23" i="11"/>
  <c r="R25" i="11"/>
  <c r="V23" i="11"/>
  <c r="V25" i="11"/>
  <c r="Z23" i="11"/>
  <c r="Z25" i="11"/>
  <c r="AD23" i="11"/>
  <c r="AD25" i="11"/>
  <c r="AE25" i="11"/>
  <c r="AF9" i="11"/>
  <c r="AE21" i="11"/>
  <c r="L101" i="11"/>
  <c r="L102" i="11"/>
  <c r="P101" i="11"/>
  <c r="P102" i="11"/>
  <c r="T101" i="11"/>
  <c r="T102" i="11"/>
  <c r="X101" i="11"/>
  <c r="X102" i="11"/>
  <c r="AB99" i="11"/>
  <c r="AB100" i="11"/>
  <c r="J101" i="11"/>
  <c r="J102" i="11"/>
  <c r="N101" i="11"/>
  <c r="N102" i="11"/>
  <c r="R101" i="11"/>
  <c r="R102" i="11"/>
  <c r="V101" i="11"/>
  <c r="V102" i="11"/>
  <c r="Z101" i="11"/>
  <c r="Z102" i="11"/>
  <c r="AD100" i="11"/>
  <c r="AF28" i="11"/>
  <c r="F29" i="11"/>
  <c r="AF29" i="11"/>
  <c r="D43" i="11"/>
  <c r="AF43" i="11"/>
  <c r="H100" i="11"/>
  <c r="AF100" i="12"/>
  <c r="AD112" i="12"/>
  <c r="AD113" i="12"/>
  <c r="AD114" i="12"/>
  <c r="AD115" i="12"/>
  <c r="AD104" i="12"/>
  <c r="AD106" i="12"/>
  <c r="H112" i="12"/>
  <c r="H113" i="12"/>
  <c r="H114" i="12"/>
  <c r="H115" i="12"/>
  <c r="H104" i="12"/>
  <c r="H106" i="12"/>
  <c r="F112" i="12"/>
  <c r="F113" i="12"/>
  <c r="F114" i="12"/>
  <c r="F115" i="12"/>
  <c r="F104" i="12"/>
  <c r="F106" i="12"/>
  <c r="AB112" i="12"/>
  <c r="AB113" i="12"/>
  <c r="AB114" i="12"/>
  <c r="AB115" i="12"/>
  <c r="AB104" i="12"/>
  <c r="AB106" i="12"/>
  <c r="D101" i="12"/>
  <c r="AF101" i="12"/>
  <c r="N110" i="12"/>
  <c r="N112" i="12"/>
  <c r="N108" i="12"/>
  <c r="V110" i="12"/>
  <c r="V112" i="12"/>
  <c r="V108" i="12"/>
  <c r="L110" i="12"/>
  <c r="L112" i="12"/>
  <c r="L108" i="12"/>
  <c r="T110" i="12"/>
  <c r="T112" i="12"/>
  <c r="T108" i="12"/>
  <c r="J110" i="12"/>
  <c r="J112" i="12"/>
  <c r="J108" i="12"/>
  <c r="R110" i="12"/>
  <c r="R112" i="12"/>
  <c r="R108" i="12"/>
  <c r="Z110" i="12"/>
  <c r="Z112" i="12"/>
  <c r="Z108" i="12"/>
  <c r="P110" i="12"/>
  <c r="P112" i="12"/>
  <c r="P108" i="12"/>
  <c r="X110" i="12"/>
  <c r="X112" i="12"/>
  <c r="X108" i="12"/>
  <c r="V106" i="11"/>
  <c r="V104" i="11"/>
  <c r="N106" i="11"/>
  <c r="N104" i="11"/>
  <c r="T106" i="11"/>
  <c r="T104" i="11"/>
  <c r="L106" i="11"/>
  <c r="L104" i="11"/>
  <c r="AF25" i="11"/>
  <c r="Z106" i="11"/>
  <c r="Z104" i="11"/>
  <c r="R106" i="11"/>
  <c r="R104" i="11"/>
  <c r="J106" i="11"/>
  <c r="J104" i="11"/>
  <c r="X106" i="11"/>
  <c r="X104" i="11"/>
  <c r="P106" i="11"/>
  <c r="P104" i="11"/>
  <c r="AD101" i="11"/>
  <c r="AD102" i="11"/>
  <c r="AB101" i="11"/>
  <c r="AB102" i="11"/>
  <c r="D99" i="11"/>
  <c r="D100" i="11"/>
  <c r="AF99" i="11"/>
  <c r="AF100" i="11"/>
  <c r="F99" i="11"/>
  <c r="F100" i="11"/>
  <c r="H101" i="11"/>
  <c r="H102" i="11"/>
  <c r="AF23" i="11"/>
  <c r="AD110" i="12"/>
  <c r="AD108" i="12"/>
  <c r="F110" i="12"/>
  <c r="F108" i="12"/>
  <c r="D102" i="12"/>
  <c r="AB110" i="12"/>
  <c r="AB108" i="12"/>
  <c r="H110" i="12"/>
  <c r="H108" i="12"/>
  <c r="AB112" i="11"/>
  <c r="AB113" i="11"/>
  <c r="AB114" i="11"/>
  <c r="AB115" i="11"/>
  <c r="AB104" i="11"/>
  <c r="AB106" i="11"/>
  <c r="H112" i="11"/>
  <c r="H113" i="11"/>
  <c r="H114" i="11"/>
  <c r="H115" i="11"/>
  <c r="H104" i="11"/>
  <c r="H106" i="11"/>
  <c r="F101" i="11"/>
  <c r="F102" i="11"/>
  <c r="D101" i="11"/>
  <c r="P110" i="11"/>
  <c r="P112" i="11"/>
  <c r="P108" i="11"/>
  <c r="X110" i="11"/>
  <c r="X112" i="11"/>
  <c r="X108" i="11"/>
  <c r="J110" i="11"/>
  <c r="J112" i="11"/>
  <c r="J108" i="11"/>
  <c r="R110" i="11"/>
  <c r="R112" i="11"/>
  <c r="R108" i="11"/>
  <c r="Z110" i="11"/>
  <c r="Z112" i="11"/>
  <c r="Z108" i="11"/>
  <c r="AD112" i="11"/>
  <c r="AD113" i="11"/>
  <c r="AD114" i="11"/>
  <c r="AD115" i="11"/>
  <c r="AD104" i="11"/>
  <c r="AD106" i="11"/>
  <c r="L110" i="11"/>
  <c r="L112" i="11"/>
  <c r="L108" i="11"/>
  <c r="T110" i="11"/>
  <c r="T112" i="11"/>
  <c r="T108" i="11"/>
  <c r="N110" i="11"/>
  <c r="N112" i="11"/>
  <c r="N108" i="11"/>
  <c r="V110" i="11"/>
  <c r="V112" i="11"/>
  <c r="V108" i="11"/>
  <c r="D112" i="12"/>
  <c r="D104" i="12"/>
  <c r="AF104" i="12"/>
  <c r="AF102" i="12"/>
  <c r="AF101" i="11"/>
  <c r="H110" i="11"/>
  <c r="H108" i="11"/>
  <c r="AB110" i="11"/>
  <c r="AB108" i="11"/>
  <c r="AD110" i="11"/>
  <c r="AD108" i="11"/>
  <c r="F112" i="11"/>
  <c r="F113" i="11"/>
  <c r="F114" i="11"/>
  <c r="F115" i="11"/>
  <c r="F104" i="11"/>
  <c r="F106" i="11"/>
  <c r="D102" i="11"/>
  <c r="AF102" i="11"/>
  <c r="D106" i="12"/>
  <c r="D113" i="12"/>
  <c r="AF112" i="12"/>
  <c r="F110" i="11"/>
  <c r="F108" i="11"/>
  <c r="D112" i="11"/>
  <c r="AF112" i="11"/>
  <c r="D104" i="11"/>
  <c r="AF104" i="11"/>
  <c r="AF113" i="12"/>
  <c r="AF115" i="12"/>
  <c r="A4" i="12"/>
  <c r="D115" i="12"/>
  <c r="D110" i="12"/>
  <c r="AF110" i="12"/>
  <c r="D108" i="12"/>
  <c r="AF108" i="12"/>
  <c r="AF106" i="12"/>
  <c r="D106" i="11"/>
  <c r="D110" i="11"/>
  <c r="AF110" i="11"/>
  <c r="D113" i="11"/>
  <c r="AF113" i="11"/>
  <c r="D108" i="11"/>
  <c r="AF108" i="11"/>
  <c r="AF106" i="11"/>
  <c r="D114" i="11"/>
  <c r="D115" i="11"/>
  <c r="AF115" i="11"/>
  <c r="A4" i="11"/>
</calcChain>
</file>

<file path=xl/sharedStrings.xml><?xml version="1.0" encoding="utf-8"?>
<sst xmlns="http://schemas.openxmlformats.org/spreadsheetml/2006/main" count="316" uniqueCount="90">
  <si>
    <t xml:space="preserve"> </t>
  </si>
  <si>
    <t>Summary</t>
  </si>
  <si>
    <t>Category</t>
  </si>
  <si>
    <t>RATE</t>
  </si>
  <si>
    <t>$/Hour</t>
  </si>
  <si>
    <t>Hours</t>
  </si>
  <si>
    <t>$</t>
  </si>
  <si>
    <t>Installation Crew</t>
  </si>
  <si>
    <t xml:space="preserve">Operator </t>
  </si>
  <si>
    <t>TOTAL DIRECT "L" LABOR</t>
  </si>
  <si>
    <t>Total Labor Costs</t>
  </si>
  <si>
    <t>Equipment</t>
  </si>
  <si>
    <t>Travel &amp; Per Diem</t>
  </si>
  <si>
    <t>Materials</t>
  </si>
  <si>
    <t>TOTAL OTHER DIRECT COSTS</t>
  </si>
  <si>
    <t>TOTAL DIRECT PLUS ODCs</t>
  </si>
  <si>
    <t>G &amp; A</t>
  </si>
  <si>
    <t>TOTAL COST W/O FEE</t>
  </si>
  <si>
    <t>TOTAL COST PLUS FEE</t>
  </si>
  <si>
    <t>(Lump Sum)</t>
  </si>
  <si>
    <t>HOME OFFICE (L) LABOR OVERHEAD</t>
  </si>
  <si>
    <t>Bond Costs</t>
  </si>
  <si>
    <t>New CLIN - Hide if Not Used</t>
  </si>
  <si>
    <t>0003 -- Architectural Finishes</t>
  </si>
  <si>
    <t>0004 -- Repairs To Overhead Crane</t>
  </si>
  <si>
    <t>0005 -- Mechanical</t>
  </si>
  <si>
    <t>0006 -- Plumbing</t>
  </si>
  <si>
    <t>0007 -- Electrical</t>
  </si>
  <si>
    <t>0008 -- Communications</t>
  </si>
  <si>
    <t>0009 -- Roofing Repairs</t>
  </si>
  <si>
    <t>0010 -- Design</t>
  </si>
  <si>
    <t>Bonds</t>
  </si>
  <si>
    <t>Fee</t>
  </si>
  <si>
    <t>TOTAL COST With Fee</t>
  </si>
  <si>
    <t>TOTAL COST WITH BONDS</t>
  </si>
  <si>
    <r>
      <t xml:space="preserve">Fee - </t>
    </r>
    <r>
      <rPr>
        <sz val="11"/>
        <color rgb="FFFF0000"/>
        <rFont val="Arial"/>
        <family val="2"/>
      </rPr>
      <t>Reduced from 7.5%</t>
    </r>
  </si>
  <si>
    <r>
      <t xml:space="preserve">State Taxes -- </t>
    </r>
    <r>
      <rPr>
        <b/>
        <sz val="11"/>
        <rFont val="Arial"/>
        <family val="2"/>
      </rPr>
      <t>None In North Carolina</t>
    </r>
  </si>
  <si>
    <t xml:space="preserve">Administrative Assistant </t>
  </si>
  <si>
    <t>Car Rental/day</t>
  </si>
  <si>
    <t>Project Controls/CADD/Submittals</t>
  </si>
  <si>
    <t>CLINS and Options from Subcontractors</t>
  </si>
  <si>
    <t>CLIN 0001 - Renovate Lab and Office Space in Building 508</t>
  </si>
  <si>
    <t xml:space="preserve"> CLIN 0002- Install Power to Outside Cooler</t>
  </si>
  <si>
    <t>CLIN 0003 - Install Autoclave in building 503 and remove existing autoclave from that location</t>
  </si>
  <si>
    <t>CLIN 0002- Install Power to Outside Cooler</t>
  </si>
  <si>
    <t>CLIN 0004 - Install overhead power in Room 120</t>
  </si>
  <si>
    <t>CLIN 0003 - Install Autoclave in building 508 and remove existing autoclave from that location</t>
  </si>
  <si>
    <t>CLIN 0004 - To Remove the existing Cooler/Freezer</t>
  </si>
  <si>
    <t>Room 104 Furniture</t>
  </si>
  <si>
    <t>RODI Installation</t>
  </si>
  <si>
    <t>Per Diem -- Room</t>
  </si>
  <si>
    <t>Per Diem - Meals - for PM</t>
  </si>
  <si>
    <t>This cost is for PM to fly home every other week 4 trips</t>
  </si>
  <si>
    <t>All Design Cost</t>
  </si>
  <si>
    <t>Renovation 503 Room 2E13 and 2E18 to support Nuclear Magnetic Resonance (NMR)</t>
  </si>
  <si>
    <t>Bid Notes</t>
  </si>
  <si>
    <t xml:space="preserve">Project Manager </t>
  </si>
  <si>
    <t>Project - Enter Project Name and CSI Division Number</t>
  </si>
  <si>
    <t>Crew Leader</t>
  </si>
  <si>
    <t>Company Truck for Crew Leader</t>
  </si>
  <si>
    <t>Crew Ice/Water</t>
  </si>
  <si>
    <t>Misc Expendable Field Supplies Ice/Water - per field day</t>
  </si>
  <si>
    <t>Airfare from Miami, FL to Silver Springs Maryland - Based on Delta 2 wk ahead fare (Project Manager)</t>
  </si>
  <si>
    <t>The cost is for lodging 6 weeks @ rate of $129/night per 2 person Crew</t>
  </si>
  <si>
    <t>Per Diem -- Room (PM)</t>
  </si>
  <si>
    <t>The cost for lodging of PM per night @ $159/night + taxes for field and site visits</t>
  </si>
  <si>
    <t>Per Diem - Meals - for Crew</t>
  </si>
  <si>
    <t xml:space="preserve">This is the Perdiem rate of $35.00 for 6 guys @ 42 days  </t>
  </si>
  <si>
    <t>This is the Perdiem rate of $55.00 for 45 days</t>
  </si>
  <si>
    <t>Skilled Labor</t>
  </si>
  <si>
    <t>Labor</t>
  </si>
  <si>
    <t>The PM cost is based on 15 hours per week for 6 months</t>
  </si>
  <si>
    <t xml:space="preserve">The Project Controls are based on administering the submittals </t>
  </si>
  <si>
    <t>The Certified Payroll Administrator cost is based on 2 hrs a week for 6 weeks of construction time and 2 weeks of close out as required.</t>
  </si>
  <si>
    <t>Payroll Admin</t>
  </si>
  <si>
    <t xml:space="preserve">This cost is based on $75 a day for 42 working days for a truck for company use. </t>
  </si>
  <si>
    <t>Rental Boom Lift</t>
  </si>
  <si>
    <t>EVANKOFF</t>
  </si>
  <si>
    <t>Metal Panels as per design specifications</t>
  </si>
  <si>
    <t>Pre-fabricated metal wall panels</t>
  </si>
  <si>
    <t>20 Year Paint Finish Warranty</t>
  </si>
  <si>
    <t xml:space="preserve">PVDF Kynar Paint Finish Warranty </t>
  </si>
  <si>
    <t>Crew team member for metal panel installation</t>
  </si>
  <si>
    <t>Crew Leader for metal wall panel installation crew</t>
  </si>
  <si>
    <t>Laborer/Machine operator</t>
  </si>
  <si>
    <t>Crew team member for metal panel installation / Operator</t>
  </si>
  <si>
    <t>Skilled Labor / Operator</t>
  </si>
  <si>
    <t>Monthly rate of standard straight 60' Boomlift by United Rentals (2 machines per CLIN)</t>
  </si>
  <si>
    <t>Fasteners, Clips, Misc Materials</t>
  </si>
  <si>
    <t>Fasteners, clips, misc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</si>
</sst>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&quot;$&quot;#,##0_);\(&quot;$&quot;#,##0\)"/>
    <numFmt numFmtId="165" formatCode="&quot;$&quot;#,##0.00_);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$&quot;#,##0.00"/>
    <numFmt numFmtId="169" formatCode="&quot;$&quot;#,##0"/>
    <numFmt numFmtId="170" formatCode="&quot;$&quot;#,##0.000_);\(&quot;$&quot;#,##0.000\)"/>
    <numFmt numFmtId="171" formatCode="0.0000%"/>
  </numFmts>
  <fonts count="7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6"/>
      <name val="Arial"/>
      <family val="2"/>
    </font>
    <font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</borders>
  <cellStyleXfs count="3">
    <xf numFmtId="0" fontId="0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36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/>
    <xf numFmtId="168" fontId="2" fillId="0" borderId="0" xfId="0" applyNumberFormat="1" applyFont="1"/>
    <xf numFmtId="0" fontId="2" fillId="2" borderId="0" xfId="0" applyFont="1" applyFill="1" applyProtection="1">
      <protection locked="0"/>
    </xf>
    <xf numFmtId="2" fontId="2" fillId="2" borderId="0" xfId="0" applyNumberFormat="1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2" fillId="7" borderId="2" xfId="0" applyFont="1" applyFill="1" applyBorder="1" applyAlignment="1" applyProtection="1">
      <alignment vertical="center"/>
      <protection locked="0"/>
    </xf>
    <xf numFmtId="0" fontId="2" fillId="7" borderId="3" xfId="0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7" borderId="8" xfId="0" applyFont="1" applyFill="1" applyBorder="1" applyAlignment="1" applyProtection="1">
      <alignment vertical="center"/>
      <protection locked="0"/>
    </xf>
    <xf numFmtId="0" fontId="2" fillId="7" borderId="6" xfId="0" applyFont="1" applyFill="1" applyBorder="1" applyAlignment="1" applyProtection="1">
      <alignment vertical="center"/>
      <protection locked="0"/>
    </xf>
    <xf numFmtId="168" fontId="2" fillId="2" borderId="39" xfId="0" applyNumberFormat="1" applyFont="1" applyFill="1" applyBorder="1" applyAlignment="1" applyProtection="1">
      <alignment horizontal="center" vertical="center"/>
      <protection locked="0"/>
    </xf>
    <xf numFmtId="0" fontId="2" fillId="7" borderId="0" xfId="0" applyFont="1" applyFill="1" applyBorder="1" applyAlignment="1" applyProtection="1">
      <alignment horizontal="centerContinuous" vertical="center"/>
      <protection locked="0"/>
    </xf>
    <xf numFmtId="0" fontId="2" fillId="7" borderId="6" xfId="0" applyFont="1" applyFill="1" applyBorder="1" applyAlignment="1" applyProtection="1">
      <alignment horizontal="centerContinuous" vertical="center"/>
      <protection locked="0"/>
    </xf>
    <xf numFmtId="165" fontId="2" fillId="0" borderId="7" xfId="0" applyNumberFormat="1" applyFont="1" applyFill="1" applyBorder="1" applyAlignment="1" applyProtection="1">
      <alignment horizontal="center" vertical="center"/>
      <protection locked="0"/>
    </xf>
    <xf numFmtId="165" fontId="2" fillId="2" borderId="5" xfId="0" applyNumberFormat="1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7" borderId="9" xfId="0" applyFont="1" applyFill="1" applyBorder="1" applyAlignment="1" applyProtection="1">
      <alignment horizontal="centerContinuous" vertical="center"/>
      <protection locked="0"/>
    </xf>
    <xf numFmtId="0" fontId="2" fillId="7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vertical="center"/>
      <protection locked="0"/>
    </xf>
    <xf numFmtId="0" fontId="2" fillId="2" borderId="6" xfId="0" applyFont="1" applyFill="1" applyBorder="1" applyAlignment="1" applyProtection="1">
      <alignment vertical="center"/>
      <protection locked="0"/>
    </xf>
    <xf numFmtId="0" fontId="2" fillId="2" borderId="13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2" fillId="7" borderId="4" xfId="0" applyFont="1" applyFill="1" applyBorder="1" applyAlignment="1" applyProtection="1">
      <alignment vertical="center"/>
      <protection locked="0"/>
    </xf>
    <xf numFmtId="0" fontId="2" fillId="7" borderId="1" xfId="0" applyFont="1" applyFill="1" applyBorder="1" applyAlignment="1" applyProtection="1">
      <alignment vertical="center"/>
      <protection locked="0"/>
    </xf>
    <xf numFmtId="0" fontId="2" fillId="2" borderId="14" xfId="0" applyFont="1" applyFill="1" applyBorder="1" applyAlignment="1" applyProtection="1">
      <alignment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7" borderId="9" xfId="0" applyFont="1" applyFill="1" applyBorder="1" applyAlignment="1" applyProtection="1">
      <alignment horizontal="center" vertical="center"/>
      <protection locked="0"/>
    </xf>
    <xf numFmtId="0" fontId="2" fillId="7" borderId="7" xfId="0" applyFont="1" applyFill="1" applyBorder="1" applyAlignment="1" applyProtection="1">
      <alignment horizontal="center" vertical="center"/>
      <protection locked="0"/>
    </xf>
    <xf numFmtId="165" fontId="2" fillId="0" borderId="20" xfId="0" applyNumberFormat="1" applyFont="1" applyBorder="1" applyAlignment="1" applyProtection="1">
      <alignment horizontal="left"/>
      <protection locked="0"/>
    </xf>
    <xf numFmtId="165" fontId="2" fillId="0" borderId="20" xfId="0" applyNumberFormat="1" applyFont="1" applyFill="1" applyBorder="1" applyAlignment="1" applyProtection="1">
      <alignment horizontal="right"/>
    </xf>
    <xf numFmtId="0" fontId="2" fillId="0" borderId="17" xfId="0" applyNumberFormat="1" applyFont="1" applyFill="1" applyBorder="1" applyAlignment="1">
      <alignment horizontal="center" vertical="center"/>
    </xf>
    <xf numFmtId="165" fontId="2" fillId="0" borderId="18" xfId="0" applyNumberFormat="1" applyFont="1" applyFill="1" applyBorder="1" applyAlignment="1" applyProtection="1">
      <alignment horizontal="right" vertical="center"/>
      <protection locked="0"/>
    </xf>
    <xf numFmtId="3" fontId="3" fillId="7" borderId="22" xfId="0" applyNumberFormat="1" applyFont="1" applyFill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left"/>
      <protection locked="0"/>
    </xf>
    <xf numFmtId="165" fontId="2" fillId="0" borderId="20" xfId="0" applyNumberFormat="1" applyFont="1" applyFill="1" applyBorder="1" applyAlignment="1" applyProtection="1">
      <alignment horizontal="right"/>
      <protection locked="0"/>
    </xf>
    <xf numFmtId="0" fontId="2" fillId="0" borderId="20" xfId="0" applyFont="1" applyFill="1" applyBorder="1" applyAlignment="1" applyProtection="1">
      <alignment horizontal="left"/>
      <protection locked="0"/>
    </xf>
    <xf numFmtId="0" fontId="2" fillId="0" borderId="21" xfId="0" applyNumberFormat="1" applyFont="1" applyFill="1" applyBorder="1" applyAlignment="1">
      <alignment horizontal="center" vertical="center"/>
    </xf>
    <xf numFmtId="0" fontId="2" fillId="0" borderId="20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165" fontId="2" fillId="3" borderId="20" xfId="0" applyNumberFormat="1" applyFont="1" applyFill="1" applyBorder="1" applyAlignment="1" applyProtection="1">
      <alignment horizontal="right"/>
      <protection locked="0"/>
    </xf>
    <xf numFmtId="0" fontId="2" fillId="3" borderId="21" xfId="0" applyNumberFormat="1" applyFont="1" applyFill="1" applyBorder="1" applyAlignment="1">
      <alignment horizontal="center" vertical="center"/>
    </xf>
    <xf numFmtId="165" fontId="2" fillId="3" borderId="18" xfId="0" applyNumberFormat="1" applyFont="1" applyFill="1" applyBorder="1" applyAlignment="1" applyProtection="1">
      <alignment horizontal="right" vertical="center"/>
      <protection locked="0"/>
    </xf>
    <xf numFmtId="165" fontId="2" fillId="3" borderId="19" xfId="0" applyNumberFormat="1" applyFont="1" applyFill="1" applyBorder="1" applyAlignment="1" applyProtection="1">
      <alignment horizontal="right" vertical="center"/>
      <protection locked="0"/>
    </xf>
    <xf numFmtId="0" fontId="2" fillId="0" borderId="23" xfId="0" applyNumberFormat="1" applyFont="1" applyFill="1" applyBorder="1" applyAlignment="1">
      <alignment horizontal="center" vertical="center"/>
    </xf>
    <xf numFmtId="165" fontId="2" fillId="2" borderId="19" xfId="0" applyNumberFormat="1" applyFont="1" applyFill="1" applyBorder="1" applyAlignment="1" applyProtection="1">
      <alignment horizontal="right" vertical="center"/>
      <protection locked="0"/>
    </xf>
    <xf numFmtId="0" fontId="2" fillId="0" borderId="20" xfId="0" applyFont="1" applyFill="1" applyBorder="1" applyAlignment="1" applyProtection="1">
      <alignment horizontal="left" indent="1"/>
      <protection locked="0"/>
    </xf>
    <xf numFmtId="165" fontId="2" fillId="2" borderId="18" xfId="0" applyNumberFormat="1" applyFont="1" applyFill="1" applyBorder="1" applyAlignment="1" applyProtection="1">
      <alignment horizontal="right" vertical="center"/>
      <protection locked="0"/>
    </xf>
    <xf numFmtId="0" fontId="2" fillId="0" borderId="24" xfId="0" applyFont="1" applyFill="1" applyBorder="1" applyAlignment="1">
      <alignment vertical="center"/>
    </xf>
    <xf numFmtId="168" fontId="2" fillId="0" borderId="24" xfId="1" applyNumberFormat="1" applyFont="1" applyFill="1" applyBorder="1" applyAlignment="1">
      <alignment vertical="center"/>
    </xf>
    <xf numFmtId="0" fontId="2" fillId="0" borderId="27" xfId="0" applyNumberFormat="1" applyFont="1" applyFill="1" applyBorder="1" applyAlignment="1">
      <alignment horizontal="center" vertical="center"/>
    </xf>
    <xf numFmtId="165" fontId="2" fillId="0" borderId="26" xfId="0" applyNumberFormat="1" applyFont="1" applyFill="1" applyBorder="1" applyAlignment="1" applyProtection="1">
      <alignment horizontal="right" vertical="center"/>
      <protection locked="0"/>
    </xf>
    <xf numFmtId="0" fontId="2" fillId="0" borderId="52" xfId="0" applyNumberFormat="1" applyFont="1" applyFill="1" applyBorder="1" applyAlignment="1">
      <alignment horizontal="center" vertical="center"/>
    </xf>
    <xf numFmtId="165" fontId="2" fillId="0" borderId="28" xfId="0" applyNumberFormat="1" applyFont="1" applyFill="1" applyBorder="1" applyAlignment="1" applyProtection="1">
      <alignment horizontal="right" vertical="center"/>
      <protection locked="0"/>
    </xf>
    <xf numFmtId="3" fontId="3" fillId="7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29" xfId="0" applyFont="1" applyFill="1" applyBorder="1" applyAlignment="1">
      <alignment vertical="center"/>
    </xf>
    <xf numFmtId="0" fontId="2" fillId="0" borderId="30" xfId="0" applyNumberFormat="1" applyFont="1" applyFill="1" applyBorder="1" applyAlignment="1">
      <alignment horizontal="center" vertical="center"/>
    </xf>
    <xf numFmtId="168" fontId="2" fillId="0" borderId="31" xfId="0" applyNumberFormat="1" applyFont="1" applyFill="1" applyBorder="1" applyAlignment="1">
      <alignment horizontal="right" vertical="center"/>
    </xf>
    <xf numFmtId="168" fontId="2" fillId="0" borderId="34" xfId="0" applyNumberFormat="1" applyFont="1" applyFill="1" applyBorder="1" applyAlignment="1">
      <alignment horizontal="right" vertical="center"/>
    </xf>
    <xf numFmtId="0" fontId="2" fillId="3" borderId="32" xfId="0" applyFont="1" applyFill="1" applyBorder="1" applyAlignment="1">
      <alignment vertical="center"/>
    </xf>
    <xf numFmtId="168" fontId="2" fillId="3" borderId="33" xfId="0" applyNumberFormat="1" applyFont="1" applyFill="1" applyBorder="1" applyAlignment="1" applyProtection="1">
      <alignment vertical="center"/>
      <protection locked="0"/>
    </xf>
    <xf numFmtId="0" fontId="2" fillId="3" borderId="30" xfId="0" applyNumberFormat="1" applyFont="1" applyFill="1" applyBorder="1" applyAlignment="1">
      <alignment horizontal="center" vertical="center"/>
    </xf>
    <xf numFmtId="168" fontId="2" fillId="3" borderId="35" xfId="0" applyNumberFormat="1" applyFont="1" applyFill="1" applyBorder="1" applyAlignment="1">
      <alignment horizontal="right" vertical="center"/>
    </xf>
    <xf numFmtId="168" fontId="2" fillId="3" borderId="34" xfId="0" applyNumberFormat="1" applyFont="1" applyFill="1" applyBorder="1" applyAlignment="1">
      <alignment horizontal="right" vertical="center"/>
    </xf>
    <xf numFmtId="0" fontId="2" fillId="0" borderId="32" xfId="0" applyFont="1" applyFill="1" applyBorder="1" applyAlignment="1">
      <alignment vertical="center"/>
    </xf>
    <xf numFmtId="10" fontId="2" fillId="0" borderId="43" xfId="0" applyNumberFormat="1" applyFont="1" applyFill="1" applyBorder="1" applyAlignment="1" applyProtection="1">
      <alignment vertical="center"/>
      <protection locked="0"/>
    </xf>
    <xf numFmtId="165" fontId="2" fillId="0" borderId="30" xfId="0" applyNumberFormat="1" applyFont="1" applyFill="1" applyBorder="1" applyAlignment="1" applyProtection="1">
      <alignment horizontal="right" vertical="center"/>
      <protection locked="0"/>
    </xf>
    <xf numFmtId="165" fontId="2" fillId="0" borderId="34" xfId="0" applyNumberFormat="1" applyFont="1" applyFill="1" applyBorder="1" applyAlignment="1" applyProtection="1">
      <alignment horizontal="right" vertical="center"/>
      <protection locked="0"/>
    </xf>
    <xf numFmtId="10" fontId="2" fillId="3" borderId="36" xfId="0" applyNumberFormat="1" applyFont="1" applyFill="1" applyBorder="1" applyAlignment="1" applyProtection="1">
      <alignment vertical="center"/>
      <protection locked="0"/>
    </xf>
    <xf numFmtId="0" fontId="2" fillId="3" borderId="37" xfId="0" applyNumberFormat="1" applyFont="1" applyFill="1" applyBorder="1" applyAlignment="1">
      <alignment horizontal="center" vertical="center"/>
    </xf>
    <xf numFmtId="168" fontId="2" fillId="3" borderId="38" xfId="0" applyNumberFormat="1" applyFont="1" applyFill="1" applyBorder="1" applyProtection="1">
      <protection locked="0"/>
    </xf>
    <xf numFmtId="0" fontId="2" fillId="0" borderId="39" xfId="0" applyFont="1" applyFill="1" applyBorder="1" applyAlignment="1" applyProtection="1">
      <alignment vertical="center"/>
      <protection locked="0"/>
    </xf>
    <xf numFmtId="10" fontId="3" fillId="0" borderId="7" xfId="0" applyNumberFormat="1" applyFont="1" applyFill="1" applyBorder="1" applyAlignment="1" applyProtection="1">
      <alignment vertical="center"/>
      <protection locked="0"/>
    </xf>
    <xf numFmtId="3" fontId="2" fillId="0" borderId="40" xfId="0" applyNumberFormat="1" applyFont="1" applyFill="1" applyBorder="1" applyAlignment="1" applyProtection="1">
      <alignment horizontal="center" vertical="center"/>
      <protection locked="0"/>
    </xf>
    <xf numFmtId="165" fontId="2" fillId="0" borderId="41" xfId="0" applyNumberFormat="1" applyFont="1" applyFill="1" applyBorder="1" applyAlignment="1" applyProtection="1">
      <alignment horizontal="right" vertical="center"/>
      <protection locked="0"/>
    </xf>
    <xf numFmtId="0" fontId="2" fillId="3" borderId="39" xfId="0" applyFont="1" applyFill="1" applyBorder="1" applyAlignment="1" applyProtection="1">
      <alignment vertical="center"/>
      <protection locked="0"/>
    </xf>
    <xf numFmtId="165" fontId="2" fillId="3" borderId="39" xfId="0" applyNumberFormat="1" applyFont="1" applyFill="1" applyBorder="1" applyAlignment="1" applyProtection="1">
      <alignment vertical="center"/>
      <protection locked="0"/>
    </xf>
    <xf numFmtId="0" fontId="2" fillId="3" borderId="49" xfId="0" applyFont="1" applyFill="1" applyBorder="1" applyAlignment="1" applyProtection="1">
      <alignment horizontal="center" vertical="center"/>
      <protection locked="0"/>
    </xf>
    <xf numFmtId="165" fontId="2" fillId="3" borderId="50" xfId="0" applyNumberFormat="1" applyFont="1" applyFill="1" applyBorder="1" applyAlignment="1" applyProtection="1">
      <alignment horizontal="right" vertical="center"/>
      <protection locked="0"/>
    </xf>
    <xf numFmtId="3" fontId="3" fillId="7" borderId="54" xfId="0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Fill="1" applyBorder="1" applyAlignment="1" applyProtection="1">
      <alignment vertical="center"/>
      <protection locked="0"/>
    </xf>
    <xf numFmtId="170" fontId="2" fillId="0" borderId="55" xfId="0" applyNumberFormat="1" applyFont="1" applyFill="1" applyBorder="1" applyAlignment="1" applyProtection="1">
      <alignment vertical="center"/>
      <protection locked="0"/>
    </xf>
    <xf numFmtId="0" fontId="2" fillId="0" borderId="44" xfId="0" applyFont="1" applyFill="1" applyBorder="1" applyAlignment="1" applyProtection="1">
      <alignment horizontal="center" vertical="center"/>
      <protection locked="0"/>
    </xf>
    <xf numFmtId="3" fontId="3" fillId="7" borderId="17" xfId="0" applyNumberFormat="1" applyFont="1" applyFill="1" applyBorder="1" applyAlignment="1" applyProtection="1">
      <alignment horizontal="center" vertical="center"/>
      <protection locked="0"/>
    </xf>
    <xf numFmtId="0" fontId="2" fillId="0" borderId="43" xfId="0" applyFont="1" applyBorder="1" applyAlignment="1">
      <alignment horizontal="left" indent="1"/>
    </xf>
    <xf numFmtId="168" fontId="2" fillId="0" borderId="29" xfId="0" applyNumberFormat="1" applyFont="1" applyBorder="1"/>
    <xf numFmtId="0" fontId="2" fillId="0" borderId="33" xfId="0" applyFont="1" applyBorder="1" applyAlignment="1">
      <alignment horizontal="left" indent="1"/>
    </xf>
    <xf numFmtId="168" fontId="2" fillId="0" borderId="32" xfId="0" applyNumberFormat="1" applyFont="1" applyBorder="1"/>
    <xf numFmtId="0" fontId="2" fillId="0" borderId="12" xfId="0" applyFont="1" applyFill="1" applyBorder="1" applyAlignment="1" applyProtection="1">
      <alignment horizontal="center" vertical="center"/>
      <protection locked="0"/>
    </xf>
    <xf numFmtId="165" fontId="2" fillId="2" borderId="47" xfId="0" applyNumberFormat="1" applyFont="1" applyFill="1" applyBorder="1" applyAlignment="1" applyProtection="1">
      <alignment horizontal="right" vertical="center"/>
      <protection locked="0"/>
    </xf>
    <xf numFmtId="3" fontId="2" fillId="0" borderId="12" xfId="0" applyNumberFormat="1" applyFont="1" applyFill="1" applyBorder="1" applyAlignment="1" applyProtection="1">
      <alignment horizontal="center" vertical="center"/>
      <protection locked="0"/>
    </xf>
    <xf numFmtId="0" fontId="3" fillId="4" borderId="54" xfId="0" applyFont="1" applyFill="1" applyBorder="1"/>
    <xf numFmtId="167" fontId="2" fillId="4" borderId="39" xfId="0" applyNumberFormat="1" applyFont="1" applyFill="1" applyBorder="1"/>
    <xf numFmtId="0" fontId="2" fillId="4" borderId="49" xfId="0" applyFont="1" applyFill="1" applyBorder="1" applyAlignment="1" applyProtection="1">
      <alignment horizontal="center" vertical="center"/>
      <protection locked="0"/>
    </xf>
    <xf numFmtId="165" fontId="2" fillId="4" borderId="50" xfId="0" applyNumberFormat="1" applyFont="1" applyFill="1" applyBorder="1" applyAlignment="1" applyProtection="1">
      <alignment horizontal="right" vertical="center"/>
      <protection locked="0"/>
    </xf>
    <xf numFmtId="2" fontId="2" fillId="4" borderId="49" xfId="0" applyNumberFormat="1" applyFont="1" applyFill="1" applyBorder="1" applyAlignment="1" applyProtection="1">
      <alignment horizontal="center" vertical="center"/>
      <protection locked="0"/>
    </xf>
    <xf numFmtId="167" fontId="2" fillId="0" borderId="29" xfId="0" applyNumberFormat="1" applyFont="1" applyBorder="1"/>
    <xf numFmtId="0" fontId="2" fillId="5" borderId="39" xfId="0" applyFont="1" applyFill="1" applyBorder="1" applyAlignment="1" applyProtection="1">
      <alignment vertical="center"/>
      <protection locked="0"/>
    </xf>
    <xf numFmtId="165" fontId="2" fillId="5" borderId="53" xfId="0" applyNumberFormat="1" applyFont="1" applyFill="1" applyBorder="1" applyAlignment="1" applyProtection="1">
      <alignment vertical="center"/>
      <protection locked="0"/>
    </xf>
    <xf numFmtId="1" fontId="2" fillId="5" borderId="49" xfId="0" applyNumberFormat="1" applyFont="1" applyFill="1" applyBorder="1" applyAlignment="1" applyProtection="1">
      <alignment horizontal="center" vertical="center"/>
      <protection locked="0"/>
    </xf>
    <xf numFmtId="165" fontId="2" fillId="5" borderId="50" xfId="0" applyNumberFormat="1" applyFont="1" applyFill="1" applyBorder="1" applyAlignment="1" applyProtection="1">
      <alignment horizontal="right" vertical="center"/>
      <protection locked="0"/>
    </xf>
    <xf numFmtId="2" fontId="2" fillId="5" borderId="49" xfId="0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Fill="1" applyBorder="1" applyAlignment="1" applyProtection="1">
      <alignment vertical="center" wrapText="1"/>
      <protection locked="0"/>
    </xf>
    <xf numFmtId="165" fontId="2" fillId="0" borderId="55" xfId="0" applyNumberFormat="1" applyFont="1" applyFill="1" applyBorder="1" applyAlignment="1" applyProtection="1">
      <alignment vertical="center"/>
      <protection locked="0"/>
    </xf>
    <xf numFmtId="0" fontId="2" fillId="0" borderId="5" xfId="0" applyFont="1" applyFill="1" applyBorder="1" applyAlignment="1" applyProtection="1">
      <alignment vertical="center" wrapText="1"/>
      <protection locked="0"/>
    </xf>
    <xf numFmtId="165" fontId="2" fillId="0" borderId="6" xfId="0" applyNumberFormat="1" applyFont="1" applyFill="1" applyBorder="1" applyAlignment="1" applyProtection="1">
      <alignment vertical="center"/>
      <protection locked="0"/>
    </xf>
    <xf numFmtId="0" fontId="2" fillId="0" borderId="51" xfId="0" applyFont="1" applyFill="1" applyBorder="1" applyAlignment="1" applyProtection="1">
      <alignment horizontal="left" vertical="center" wrapText="1" indent="1"/>
      <protection locked="0"/>
    </xf>
    <xf numFmtId="165" fontId="2" fillId="0" borderId="45" xfId="0" applyNumberFormat="1" applyFont="1" applyFill="1" applyBorder="1" applyAlignment="1" applyProtection="1">
      <alignment vertical="center"/>
      <protection locked="0"/>
    </xf>
    <xf numFmtId="165" fontId="2" fillId="0" borderId="47" xfId="0" applyNumberFormat="1" applyFont="1" applyFill="1" applyBorder="1" applyAlignment="1" applyProtection="1">
      <alignment horizontal="right" vertical="center"/>
      <protection locked="0"/>
    </xf>
    <xf numFmtId="2" fontId="2" fillId="0" borderId="12" xfId="0" applyNumberFormat="1" applyFont="1" applyFill="1" applyBorder="1" applyAlignment="1" applyProtection="1">
      <alignment horizontal="center" vertical="center"/>
      <protection locked="0"/>
    </xf>
    <xf numFmtId="165" fontId="2" fillId="0" borderId="18" xfId="0" applyNumberFormat="1" applyFont="1" applyFill="1" applyBorder="1" applyAlignment="1" applyProtection="1">
      <alignment vertical="center"/>
      <protection locked="0"/>
    </xf>
    <xf numFmtId="0" fontId="2" fillId="0" borderId="0" xfId="0" applyFont="1" applyFill="1" applyProtection="1">
      <protection locked="0"/>
    </xf>
    <xf numFmtId="3" fontId="2" fillId="0" borderId="0" xfId="0" applyNumberFormat="1" applyFont="1"/>
    <xf numFmtId="0" fontId="2" fillId="0" borderId="0" xfId="0" applyFont="1" applyFill="1" applyBorder="1"/>
    <xf numFmtId="168" fontId="0" fillId="0" borderId="0" xfId="0" applyNumberFormat="1"/>
    <xf numFmtId="9" fontId="2" fillId="0" borderId="0" xfId="0" applyNumberFormat="1" applyFont="1" applyFill="1" applyProtection="1">
      <protection locked="0"/>
    </xf>
    <xf numFmtId="168" fontId="3" fillId="7" borderId="20" xfId="0" applyNumberFormat="1" applyFont="1" applyFill="1" applyBorder="1" applyAlignment="1" applyProtection="1">
      <alignment horizontal="right" vertical="center"/>
    </xf>
    <xf numFmtId="167" fontId="2" fillId="0" borderId="29" xfId="0" applyNumberFormat="1" applyFont="1" applyBorder="1" applyAlignment="1">
      <alignment vertical="center"/>
    </xf>
    <xf numFmtId="165" fontId="0" fillId="0" borderId="0" xfId="0" applyNumberFormat="1"/>
    <xf numFmtId="0" fontId="2" fillId="0" borderId="56" xfId="0" applyFont="1" applyBorder="1" applyAlignment="1">
      <alignment horizontal="left" wrapText="1"/>
    </xf>
    <xf numFmtId="0" fontId="2" fillId="0" borderId="43" xfId="0" applyFont="1" applyBorder="1" applyAlignment="1">
      <alignment horizontal="left"/>
    </xf>
    <xf numFmtId="0" fontId="2" fillId="8" borderId="43" xfId="0" applyFont="1" applyFill="1" applyBorder="1" applyAlignment="1">
      <alignment horizontal="left"/>
    </xf>
    <xf numFmtId="0" fontId="2" fillId="0" borderId="43" xfId="0" applyFont="1" applyBorder="1" applyAlignment="1">
      <alignment horizontal="left" vertical="center" wrapText="1"/>
    </xf>
    <xf numFmtId="165" fontId="2" fillId="0" borderId="0" xfId="0" applyNumberFormat="1" applyFont="1"/>
    <xf numFmtId="3" fontId="3" fillId="7" borderId="21" xfId="0" applyNumberFormat="1" applyFont="1" applyFill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 applyProtection="1">
      <alignment horizontal="left" vertical="center"/>
      <protection locked="0"/>
    </xf>
    <xf numFmtId="165" fontId="2" fillId="6" borderId="3" xfId="0" applyNumberFormat="1" applyFont="1" applyFill="1" applyBorder="1" applyAlignment="1" applyProtection="1">
      <alignment vertical="center"/>
      <protection locked="0"/>
    </xf>
    <xf numFmtId="0" fontId="2" fillId="6" borderId="13" xfId="0" applyFont="1" applyFill="1" applyBorder="1" applyAlignment="1" applyProtection="1">
      <alignment horizontal="center" vertical="center"/>
      <protection locked="0"/>
    </xf>
    <xf numFmtId="165" fontId="2" fillId="6" borderId="58" xfId="0" applyNumberFormat="1" applyFont="1" applyFill="1" applyBorder="1" applyAlignment="1" applyProtection="1">
      <alignment horizontal="right" vertical="center"/>
      <protection locked="0"/>
    </xf>
    <xf numFmtId="2" fontId="2" fillId="6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59" xfId="0" applyNumberFormat="1" applyFont="1" applyFill="1" applyBorder="1" applyAlignment="1" applyProtection="1">
      <alignment vertical="center" wrapText="1"/>
      <protection locked="0"/>
    </xf>
    <xf numFmtId="0" fontId="2" fillId="0" borderId="59" xfId="0" applyFont="1" applyFill="1" applyBorder="1" applyAlignment="1" applyProtection="1">
      <alignment horizontal="center" vertical="center"/>
      <protection locked="0"/>
    </xf>
    <xf numFmtId="165" fontId="2" fillId="0" borderId="59" xfId="0" applyNumberFormat="1" applyFont="1" applyFill="1" applyBorder="1" applyAlignment="1" applyProtection="1">
      <alignment horizontal="right" vertical="center"/>
      <protection locked="0"/>
    </xf>
    <xf numFmtId="1" fontId="2" fillId="0" borderId="59" xfId="0" applyNumberFormat="1" applyFont="1" applyFill="1" applyBorder="1" applyAlignment="1" applyProtection="1">
      <alignment horizontal="center" vertical="center"/>
      <protection locked="0"/>
    </xf>
    <xf numFmtId="49" fontId="2" fillId="0" borderId="59" xfId="0" applyNumberFormat="1" applyFont="1" applyFill="1" applyBorder="1" applyAlignment="1" applyProtection="1">
      <alignment vertical="center"/>
      <protection locked="0"/>
    </xf>
    <xf numFmtId="165" fontId="2" fillId="0" borderId="59" xfId="0" applyNumberFormat="1" applyFont="1" applyFill="1" applyBorder="1" applyAlignment="1" applyProtection="1">
      <alignment vertical="center"/>
      <protection locked="0"/>
    </xf>
    <xf numFmtId="49" fontId="2" fillId="0" borderId="59" xfId="0" applyNumberFormat="1" applyFont="1" applyBorder="1"/>
    <xf numFmtId="49" fontId="2" fillId="0" borderId="59" xfId="0" applyNumberFormat="1" applyFont="1" applyBorder="1" applyAlignment="1"/>
    <xf numFmtId="0" fontId="2" fillId="0" borderId="60" xfId="0" applyFont="1" applyFill="1" applyBorder="1" applyAlignment="1" applyProtection="1">
      <alignment horizontal="center" vertical="center"/>
      <protection locked="0"/>
    </xf>
    <xf numFmtId="165" fontId="2" fillId="0" borderId="60" xfId="0" applyNumberFormat="1" applyFont="1" applyFill="1" applyBorder="1" applyAlignment="1" applyProtection="1">
      <alignment horizontal="right" vertical="center"/>
      <protection locked="0"/>
    </xf>
    <xf numFmtId="166" fontId="0" fillId="0" borderId="0" xfId="2" applyFont="1"/>
    <xf numFmtId="166" fontId="0" fillId="0" borderId="0" xfId="2" applyFont="1" applyAlignment="1"/>
    <xf numFmtId="165" fontId="0" fillId="0" borderId="0" xfId="2" applyNumberFormat="1" applyFont="1"/>
    <xf numFmtId="168" fontId="0" fillId="0" borderId="0" xfId="2" applyNumberFormat="1" applyFont="1"/>
    <xf numFmtId="0" fontId="2" fillId="0" borderId="63" xfId="0" applyFont="1" applyFill="1" applyBorder="1" applyAlignment="1" applyProtection="1">
      <alignment horizontal="center" vertical="center"/>
      <protection locked="0"/>
    </xf>
    <xf numFmtId="165" fontId="2" fillId="0" borderId="63" xfId="0" applyNumberFormat="1" applyFont="1" applyFill="1" applyBorder="1" applyAlignment="1" applyProtection="1">
      <alignment horizontal="right" vertical="center"/>
      <protection locked="0"/>
    </xf>
    <xf numFmtId="169" fontId="0" fillId="0" borderId="0" xfId="0" applyNumberFormat="1"/>
    <xf numFmtId="49" fontId="2" fillId="0" borderId="51" xfId="0" applyNumberFormat="1" applyFont="1" applyBorder="1" applyAlignment="1"/>
    <xf numFmtId="168" fontId="2" fillId="0" borderId="51" xfId="0" applyNumberFormat="1" applyFont="1" applyFill="1" applyBorder="1" applyAlignment="1" applyProtection="1">
      <alignment vertical="center"/>
      <protection locked="0"/>
    </xf>
    <xf numFmtId="165" fontId="2" fillId="0" borderId="47" xfId="0" applyNumberFormat="1" applyFont="1" applyFill="1" applyBorder="1" applyAlignment="1" applyProtection="1">
      <alignment vertical="center"/>
      <protection locked="0"/>
    </xf>
    <xf numFmtId="1" fontId="2" fillId="0" borderId="65" xfId="0" applyNumberFormat="1" applyFont="1" applyFill="1" applyBorder="1" applyAlignment="1" applyProtection="1">
      <alignment horizontal="center" vertical="center"/>
      <protection locked="0"/>
    </xf>
    <xf numFmtId="3" fontId="3" fillId="7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59" xfId="0" applyFont="1" applyFill="1" applyBorder="1" applyAlignment="1" applyProtection="1">
      <alignment vertical="center"/>
      <protection locked="0"/>
    </xf>
    <xf numFmtId="3" fontId="3" fillId="7" borderId="59" xfId="0" applyNumberFormat="1" applyFont="1" applyFill="1" applyBorder="1" applyAlignment="1" applyProtection="1">
      <alignment horizontal="center" vertical="center"/>
      <protection locked="0"/>
    </xf>
    <xf numFmtId="10" fontId="2" fillId="0" borderId="59" xfId="0" applyNumberFormat="1" applyFont="1" applyFill="1" applyBorder="1" applyAlignment="1" applyProtection="1">
      <alignment vertical="center"/>
      <protection locked="0"/>
    </xf>
    <xf numFmtId="0" fontId="2" fillId="0" borderId="46" xfId="0" applyFont="1" applyFill="1" applyBorder="1" applyAlignment="1" applyProtection="1">
      <alignment vertical="center"/>
      <protection locked="0"/>
    </xf>
    <xf numFmtId="0" fontId="2" fillId="0" borderId="60" xfId="0" applyFont="1" applyFill="1" applyBorder="1" applyAlignment="1" applyProtection="1">
      <alignment vertical="center"/>
      <protection locked="0"/>
    </xf>
    <xf numFmtId="3" fontId="3" fillId="7" borderId="60" xfId="0" applyNumberFormat="1" applyFont="1" applyFill="1" applyBorder="1" applyAlignment="1" applyProtection="1">
      <alignment horizontal="center" vertical="center"/>
      <protection locked="0"/>
    </xf>
    <xf numFmtId="168" fontId="3" fillId="7" borderId="42" xfId="0" applyNumberFormat="1" applyFont="1" applyFill="1" applyBorder="1" applyAlignment="1" applyProtection="1">
      <alignment horizontal="right" vertical="center"/>
      <protection locked="0"/>
    </xf>
    <xf numFmtId="0" fontId="2" fillId="0" borderId="30" xfId="0" applyFont="1" applyFill="1" applyBorder="1" applyAlignment="1" applyProtection="1">
      <alignment vertical="center"/>
      <protection locked="0"/>
    </xf>
    <xf numFmtId="168" fontId="3" fillId="7" borderId="34" xfId="0" applyNumberFormat="1" applyFont="1" applyFill="1" applyBorder="1" applyAlignment="1" applyProtection="1">
      <alignment horizontal="right" vertical="center"/>
      <protection locked="0"/>
    </xf>
    <xf numFmtId="3" fontId="3" fillId="7" borderId="61" xfId="0" applyNumberFormat="1" applyFont="1" applyFill="1" applyBorder="1" applyAlignment="1" applyProtection="1">
      <alignment horizontal="center" vertical="center"/>
      <protection locked="0"/>
    </xf>
    <xf numFmtId="168" fontId="3" fillId="7" borderId="38" xfId="0" applyNumberFormat="1" applyFont="1" applyFill="1" applyBorder="1" applyAlignment="1" applyProtection="1">
      <alignment horizontal="right" vertical="center"/>
      <protection locked="0"/>
    </xf>
    <xf numFmtId="0" fontId="2" fillId="0" borderId="62" xfId="0" applyFont="1" applyFill="1" applyBorder="1" applyAlignment="1" applyProtection="1">
      <alignment vertical="center"/>
      <protection locked="0"/>
    </xf>
    <xf numFmtId="10" fontId="2" fillId="0" borderId="63" xfId="0" applyNumberFormat="1" applyFont="1" applyFill="1" applyBorder="1" applyAlignment="1" applyProtection="1">
      <alignment vertical="center"/>
      <protection locked="0"/>
    </xf>
    <xf numFmtId="3" fontId="3" fillId="7" borderId="63" xfId="0" applyNumberFormat="1" applyFont="1" applyFill="1" applyBorder="1" applyAlignment="1" applyProtection="1">
      <alignment horizontal="center" vertical="center"/>
      <protection locked="0"/>
    </xf>
    <xf numFmtId="168" fontId="3" fillId="7" borderId="64" xfId="0" applyNumberFormat="1" applyFont="1" applyFill="1" applyBorder="1" applyAlignment="1" applyProtection="1">
      <alignment horizontal="right" vertical="center"/>
      <protection locked="0"/>
    </xf>
    <xf numFmtId="10" fontId="2" fillId="3" borderId="59" xfId="0" applyNumberFormat="1" applyFont="1" applyFill="1" applyBorder="1" applyAlignment="1" applyProtection="1">
      <alignment vertical="center"/>
      <protection locked="0"/>
    </xf>
    <xf numFmtId="0" fontId="2" fillId="3" borderId="59" xfId="0" applyFont="1" applyFill="1" applyBorder="1" applyAlignment="1" applyProtection="1">
      <alignment horizontal="center" vertical="center"/>
      <protection locked="0"/>
    </xf>
    <xf numFmtId="165" fontId="2" fillId="3" borderId="59" xfId="0" applyNumberFormat="1" applyFont="1" applyFill="1" applyBorder="1" applyAlignment="1" applyProtection="1">
      <alignment horizontal="right" vertical="center"/>
      <protection locked="0"/>
    </xf>
    <xf numFmtId="164" fontId="2" fillId="0" borderId="59" xfId="0" applyNumberFormat="1" applyFont="1" applyFill="1" applyBorder="1" applyAlignment="1" applyProtection="1">
      <alignment horizontal="right" vertical="center"/>
      <protection locked="0"/>
    </xf>
    <xf numFmtId="164" fontId="2" fillId="0" borderId="59" xfId="0" applyNumberFormat="1" applyFont="1" applyFill="1" applyBorder="1" applyAlignment="1" applyProtection="1">
      <alignment horizontal="center" vertical="center"/>
      <protection locked="0"/>
    </xf>
    <xf numFmtId="0" fontId="2" fillId="0" borderId="59" xfId="0" applyFont="1" applyFill="1" applyBorder="1" applyAlignment="1" applyProtection="1">
      <alignment horizontal="center"/>
      <protection locked="0"/>
    </xf>
    <xf numFmtId="168" fontId="2" fillId="0" borderId="59" xfId="0" applyNumberFormat="1" applyFont="1" applyFill="1" applyBorder="1" applyAlignment="1" applyProtection="1">
      <alignment horizontal="right"/>
      <protection locked="0"/>
    </xf>
    <xf numFmtId="168" fontId="2" fillId="0" borderId="59" xfId="0" applyNumberFormat="1" applyFont="1" applyFill="1" applyBorder="1" applyProtection="1">
      <protection locked="0"/>
    </xf>
    <xf numFmtId="10" fontId="2" fillId="0" borderId="59" xfId="0" applyNumberFormat="1" applyFont="1" applyFill="1" applyBorder="1" applyAlignment="1" applyProtection="1">
      <alignment horizontal="right"/>
      <protection locked="0"/>
    </xf>
    <xf numFmtId="0" fontId="2" fillId="0" borderId="59" xfId="0" applyFont="1" applyFill="1" applyBorder="1" applyProtection="1">
      <protection locked="0"/>
    </xf>
    <xf numFmtId="168" fontId="2" fillId="0" borderId="59" xfId="0" applyNumberFormat="1" applyFont="1" applyFill="1" applyBorder="1" applyAlignment="1" applyProtection="1">
      <alignment horizontal="center"/>
      <protection locked="0"/>
    </xf>
    <xf numFmtId="10" fontId="2" fillId="0" borderId="59" xfId="0" applyNumberFormat="1" applyFont="1" applyFill="1" applyBorder="1" applyProtection="1">
      <protection locked="0"/>
    </xf>
    <xf numFmtId="0" fontId="3" fillId="0" borderId="60" xfId="0" applyFont="1" applyFill="1" applyBorder="1" applyAlignment="1" applyProtection="1">
      <alignment vertical="center"/>
      <protection locked="0"/>
    </xf>
    <xf numFmtId="0" fontId="2" fillId="3" borderId="30" xfId="0" applyFont="1" applyFill="1" applyBorder="1" applyAlignment="1" applyProtection="1">
      <alignment vertical="center"/>
      <protection locked="0"/>
    </xf>
    <xf numFmtId="0" fontId="2" fillId="0" borderId="30" xfId="0" applyFont="1" applyFill="1" applyBorder="1" applyAlignment="1" applyProtection="1">
      <protection locked="0"/>
    </xf>
    <xf numFmtId="0" fontId="2" fillId="0" borderId="30" xfId="0" applyFont="1" applyFill="1" applyBorder="1" applyProtection="1">
      <protection locked="0"/>
    </xf>
    <xf numFmtId="0" fontId="3" fillId="0" borderId="30" xfId="0" applyFont="1" applyFill="1" applyBorder="1" applyProtection="1">
      <protection locked="0"/>
    </xf>
    <xf numFmtId="0" fontId="2" fillId="0" borderId="62" xfId="0" applyFont="1" applyFill="1" applyBorder="1" applyProtection="1">
      <protection locked="0"/>
    </xf>
    <xf numFmtId="0" fontId="2" fillId="0" borderId="63" xfId="0" applyFont="1" applyFill="1" applyBorder="1" applyProtection="1">
      <protection locked="0"/>
    </xf>
    <xf numFmtId="168" fontId="2" fillId="0" borderId="63" xfId="0" applyNumberFormat="1" applyFont="1" applyFill="1" applyBorder="1" applyProtection="1">
      <protection locked="0"/>
    </xf>
    <xf numFmtId="2" fontId="2" fillId="0" borderId="63" xfId="0" applyNumberFormat="1" applyFont="1" applyFill="1" applyBorder="1" applyProtection="1">
      <protection locked="0"/>
    </xf>
    <xf numFmtId="0" fontId="2" fillId="0" borderId="46" xfId="0" applyFont="1" applyFill="1" applyBorder="1" applyProtection="1">
      <protection locked="0"/>
    </xf>
    <xf numFmtId="171" fontId="2" fillId="0" borderId="60" xfId="0" applyNumberFormat="1" applyFont="1" applyBorder="1"/>
    <xf numFmtId="0" fontId="2" fillId="0" borderId="60" xfId="0" applyFont="1" applyBorder="1"/>
    <xf numFmtId="168" fontId="2" fillId="0" borderId="60" xfId="0" applyNumberFormat="1" applyFont="1" applyBorder="1"/>
    <xf numFmtId="0" fontId="3" fillId="0" borderId="37" xfId="0" applyFont="1" applyBorder="1"/>
    <xf numFmtId="9" fontId="2" fillId="0" borderId="61" xfId="0" applyNumberFormat="1" applyFont="1" applyBorder="1"/>
    <xf numFmtId="0" fontId="2" fillId="0" borderId="61" xfId="0" applyFont="1" applyBorder="1"/>
    <xf numFmtId="168" fontId="2" fillId="0" borderId="61" xfId="0" applyNumberFormat="1" applyFont="1" applyBorder="1"/>
    <xf numFmtId="168" fontId="1" fillId="0" borderId="0" xfId="0" applyNumberFormat="1" applyFont="1"/>
    <xf numFmtId="0" fontId="2" fillId="0" borderId="0" xfId="0" applyFont="1" applyFill="1" applyBorder="1" applyAlignment="1" applyProtection="1">
      <alignment vertical="center" wrapText="1"/>
      <protection locked="0"/>
    </xf>
    <xf numFmtId="168" fontId="2" fillId="0" borderId="59" xfId="2" applyNumberFormat="1" applyFont="1" applyFill="1" applyBorder="1" applyAlignment="1" applyProtection="1">
      <alignment horizontal="right"/>
      <protection locked="0"/>
    </xf>
    <xf numFmtId="168" fontId="2" fillId="0" borderId="59" xfId="2" applyNumberFormat="1" applyFont="1" applyFill="1" applyBorder="1" applyAlignment="1" applyProtection="1">
      <alignment horizontal="center"/>
      <protection locked="0"/>
    </xf>
    <xf numFmtId="0" fontId="2" fillId="8" borderId="16" xfId="0" applyFont="1" applyFill="1" applyBorder="1" applyAlignment="1" applyProtection="1">
      <alignment vertical="center" wrapText="1"/>
      <protection locked="0"/>
    </xf>
    <xf numFmtId="165" fontId="2" fillId="8" borderId="55" xfId="0" applyNumberFormat="1" applyFont="1" applyFill="1" applyBorder="1" applyAlignment="1" applyProtection="1">
      <alignment vertical="center"/>
      <protection locked="0"/>
    </xf>
    <xf numFmtId="1" fontId="2" fillId="8" borderId="44" xfId="0" applyNumberFormat="1" applyFont="1" applyFill="1" applyBorder="1" applyAlignment="1" applyProtection="1">
      <alignment horizontal="center" vertical="center"/>
      <protection locked="0"/>
    </xf>
    <xf numFmtId="165" fontId="2" fillId="8" borderId="18" xfId="0" applyNumberFormat="1" applyFont="1" applyFill="1" applyBorder="1" applyAlignment="1" applyProtection="1">
      <alignment horizontal="right" vertical="center"/>
      <protection locked="0"/>
    </xf>
    <xf numFmtId="0" fontId="2" fillId="8" borderId="44" xfId="0" applyFont="1" applyFill="1" applyBorder="1" applyAlignment="1" applyProtection="1">
      <alignment horizontal="center" vertical="center"/>
      <protection locked="0"/>
    </xf>
    <xf numFmtId="168" fontId="1" fillId="8" borderId="0" xfId="0" applyNumberFormat="1" applyFont="1" applyFill="1"/>
    <xf numFmtId="49" fontId="2" fillId="0" borderId="8" xfId="0" applyNumberFormat="1" applyFont="1" applyFill="1" applyBorder="1" applyAlignment="1" applyProtection="1">
      <alignment vertical="center" wrapText="1"/>
      <protection locked="0"/>
    </xf>
    <xf numFmtId="49" fontId="2" fillId="0" borderId="6" xfId="0" applyNumberFormat="1" applyFont="1" applyFill="1" applyBorder="1" applyAlignment="1" applyProtection="1">
      <alignment vertical="center" wrapText="1"/>
      <protection locked="0"/>
    </xf>
    <xf numFmtId="49" fontId="2" fillId="0" borderId="17" xfId="0" applyNumberFormat="1" applyFont="1" applyFill="1" applyBorder="1" applyAlignment="1" applyProtection="1">
      <alignment vertical="center" wrapText="1"/>
      <protection locked="0"/>
    </xf>
    <xf numFmtId="49" fontId="2" fillId="0" borderId="55" xfId="0" applyNumberFormat="1" applyFont="1" applyFill="1" applyBorder="1" applyAlignment="1" applyProtection="1">
      <alignment vertical="center" wrapText="1"/>
      <protection locked="0"/>
    </xf>
    <xf numFmtId="166" fontId="2" fillId="0" borderId="59" xfId="2" applyNumberFormat="1" applyFont="1" applyFill="1" applyBorder="1" applyAlignment="1" applyProtection="1">
      <alignment vertical="center" wrapText="1"/>
      <protection locked="0"/>
    </xf>
    <xf numFmtId="168" fontId="0" fillId="0" borderId="0" xfId="0" applyNumberFormat="1" applyAlignment="1">
      <alignment horizontal="left"/>
    </xf>
    <xf numFmtId="166" fontId="2" fillId="0" borderId="0" xfId="2" applyFont="1"/>
    <xf numFmtId="168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5" fontId="0" fillId="8" borderId="0" xfId="0" applyNumberFormat="1" applyFill="1" applyAlignment="1">
      <alignment wrapText="1"/>
    </xf>
    <xf numFmtId="167" fontId="2" fillId="0" borderId="57" xfId="0" applyNumberFormat="1" applyFont="1" applyBorder="1" applyAlignment="1">
      <alignment vertical="center"/>
    </xf>
    <xf numFmtId="165" fontId="2" fillId="0" borderId="20" xfId="0" applyNumberFormat="1" applyFont="1" applyFill="1" applyBorder="1" applyAlignment="1" applyProtection="1">
      <alignment horizontal="right" vertical="center"/>
      <protection locked="0"/>
    </xf>
    <xf numFmtId="0" fontId="5" fillId="0" borderId="0" xfId="0" applyFont="1" applyAlignment="1">
      <alignment horizontal="center"/>
    </xf>
    <xf numFmtId="0" fontId="2" fillId="0" borderId="57" xfId="0" applyFont="1" applyFill="1" applyBorder="1" applyAlignment="1" applyProtection="1">
      <alignment vertical="center" wrapText="1"/>
      <protection locked="0"/>
    </xf>
    <xf numFmtId="0" fontId="2" fillId="0" borderId="29" xfId="0" applyFont="1" applyFill="1" applyBorder="1" applyAlignment="1" applyProtection="1">
      <alignment vertical="center" wrapText="1"/>
      <protection locked="0"/>
    </xf>
    <xf numFmtId="0" fontId="2" fillId="0" borderId="24" xfId="0" applyFont="1" applyFill="1" applyBorder="1" applyAlignment="1" applyProtection="1">
      <alignment vertical="center" wrapText="1"/>
      <protection locked="0"/>
    </xf>
    <xf numFmtId="14" fontId="2" fillId="0" borderId="48" xfId="0" applyNumberFormat="1" applyFont="1" applyFill="1" applyBorder="1" applyAlignment="1" applyProtection="1">
      <alignment horizontal="center" vertical="center"/>
      <protection locked="0"/>
    </xf>
    <xf numFmtId="0" fontId="2" fillId="0" borderId="10" xfId="0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8" xfId="0" applyFont="1" applyFill="1" applyBorder="1" applyAlignment="1" applyProtection="1">
      <alignment horizontal="center" vertical="center"/>
      <protection locked="0"/>
    </xf>
    <xf numFmtId="165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65" fontId="3" fillId="2" borderId="7" xfId="0" applyNumberFormat="1" applyFont="1" applyFill="1" applyBorder="1" applyAlignment="1" applyProtection="1">
      <alignment horizontal="center" vertical="center" wrapText="1"/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K151"/>
  <sheetViews>
    <sheetView tabSelected="1" workbookViewId="0">
      <pane ySplit="3480" topLeftCell="A3" activePane="bottomLeft"/>
      <selection activeCell="F43" sqref="F43"/>
      <selection pane="bottomLeft" activeCell="B20" sqref="B20"/>
    </sheetView>
  </sheetViews>
  <sheetFormatPr baseColWidth="10" defaultColWidth="8.83203125" defaultRowHeight="12" x14ac:dyDescent="0"/>
  <cols>
    <col min="1" max="1" width="79.5" customWidth="1"/>
    <col min="2" max="2" width="16.5" customWidth="1"/>
    <col min="3" max="3" width="7.5" customWidth="1"/>
    <col min="4" max="4" width="17.5" customWidth="1"/>
    <col min="5" max="5" width="6.6640625" customWidth="1"/>
    <col min="6" max="6" width="13.6640625" customWidth="1"/>
    <col min="7" max="7" width="7.6640625" customWidth="1"/>
    <col min="8" max="8" width="13.33203125" customWidth="1"/>
    <col min="9" max="9" width="11.33203125" hidden="1" customWidth="1"/>
    <col min="10" max="10" width="13.1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3.6640625" hidden="1" customWidth="1"/>
    <col min="21" max="21" width="9.5" hidden="1" customWidth="1"/>
    <col min="22" max="22" width="13.6640625" hidden="1" customWidth="1"/>
    <col min="23" max="23" width="9.5" hidden="1" customWidth="1"/>
    <col min="24" max="24" width="12.83203125" hidden="1" customWidth="1"/>
    <col min="25" max="25" width="10.83203125" hidden="1" customWidth="1"/>
    <col min="26" max="26" width="15.33203125" hidden="1" customWidth="1"/>
    <col min="27" max="27" width="7.6640625" hidden="1" customWidth="1"/>
    <col min="28" max="28" width="13.6640625" hidden="1" customWidth="1"/>
    <col min="29" max="29" width="7.6640625" hidden="1" customWidth="1"/>
    <col min="30" max="30" width="14.5" hidden="1" customWidth="1"/>
    <col min="31" max="31" width="9.5" customWidth="1"/>
    <col min="32" max="32" width="21.1640625" customWidth="1"/>
    <col min="33" max="33" width="4" customWidth="1"/>
    <col min="34" max="34" width="122.5" customWidth="1"/>
    <col min="35" max="35" width="16.5" style="145" customWidth="1"/>
  </cols>
  <sheetData>
    <row r="1" spans="1:34" ht="20.25" customHeight="1" thickBot="1">
      <c r="A1" s="5"/>
      <c r="B1" s="5"/>
      <c r="C1" s="5"/>
      <c r="D1" s="5"/>
      <c r="E1" s="5"/>
      <c r="F1" s="5"/>
      <c r="G1" s="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  <c r="AB1" s="5"/>
      <c r="AC1" s="6"/>
      <c r="AD1" s="5"/>
      <c r="AE1" s="5"/>
      <c r="AF1" s="5"/>
    </row>
    <row r="2" spans="1:34" ht="13.5" customHeight="1">
      <c r="A2" s="234" t="s">
        <v>57</v>
      </c>
      <c r="B2" s="7"/>
      <c r="C2" s="229" t="s">
        <v>41</v>
      </c>
      <c r="D2" s="230"/>
      <c r="E2" s="229" t="s">
        <v>42</v>
      </c>
      <c r="F2" s="230"/>
      <c r="G2" s="229" t="s">
        <v>43</v>
      </c>
      <c r="H2" s="230"/>
      <c r="I2" s="229" t="s">
        <v>23</v>
      </c>
      <c r="J2" s="230"/>
      <c r="K2" s="229" t="s">
        <v>24</v>
      </c>
      <c r="L2" s="230"/>
      <c r="M2" s="229" t="s">
        <v>25</v>
      </c>
      <c r="N2" s="230"/>
      <c r="O2" s="229" t="s">
        <v>26</v>
      </c>
      <c r="P2" s="230"/>
      <c r="Q2" s="229" t="s">
        <v>27</v>
      </c>
      <c r="R2" s="230"/>
      <c r="S2" s="229" t="s">
        <v>28</v>
      </c>
      <c r="T2" s="230"/>
      <c r="U2" s="229" t="s">
        <v>29</v>
      </c>
      <c r="V2" s="230"/>
      <c r="W2" s="229" t="s">
        <v>30</v>
      </c>
      <c r="X2" s="230"/>
      <c r="Y2" s="229" t="s">
        <v>22</v>
      </c>
      <c r="Z2" s="230"/>
      <c r="AA2" s="229" t="s">
        <v>45</v>
      </c>
      <c r="AB2" s="230"/>
      <c r="AC2" s="229" t="s">
        <v>47</v>
      </c>
      <c r="AD2" s="230"/>
      <c r="AE2" s="8"/>
      <c r="AF2" s="9"/>
    </row>
    <row r="3" spans="1:34" ht="45.75" customHeight="1" thickBot="1">
      <c r="A3" s="235"/>
      <c r="B3" s="10" t="s">
        <v>0</v>
      </c>
      <c r="C3" s="231"/>
      <c r="D3" s="232"/>
      <c r="E3" s="231"/>
      <c r="F3" s="232"/>
      <c r="G3" s="231"/>
      <c r="H3" s="232"/>
      <c r="I3" s="231"/>
      <c r="J3" s="232"/>
      <c r="K3" s="231"/>
      <c r="L3" s="232"/>
      <c r="M3" s="231"/>
      <c r="N3" s="232"/>
      <c r="O3" s="231"/>
      <c r="P3" s="232"/>
      <c r="Q3" s="231"/>
      <c r="R3" s="232"/>
      <c r="S3" s="231"/>
      <c r="T3" s="232"/>
      <c r="U3" s="231"/>
      <c r="V3" s="232"/>
      <c r="W3" s="231"/>
      <c r="X3" s="232"/>
      <c r="Y3" s="231"/>
      <c r="Z3" s="232"/>
      <c r="AA3" s="231"/>
      <c r="AB3" s="232"/>
      <c r="AC3" s="231"/>
      <c r="AD3" s="232"/>
      <c r="AE3" s="11"/>
      <c r="AF3" s="12"/>
    </row>
    <row r="4" spans="1:34" ht="14" thickBot="1">
      <c r="A4" s="13">
        <f>AF115</f>
        <v>250012.62723272003</v>
      </c>
      <c r="B4" s="10" t="s">
        <v>0</v>
      </c>
      <c r="C4" s="231"/>
      <c r="D4" s="232"/>
      <c r="E4" s="231"/>
      <c r="F4" s="232"/>
      <c r="G4" s="231"/>
      <c r="H4" s="232"/>
      <c r="I4" s="231"/>
      <c r="J4" s="232"/>
      <c r="K4" s="231"/>
      <c r="L4" s="232"/>
      <c r="M4" s="231"/>
      <c r="N4" s="232"/>
      <c r="O4" s="231"/>
      <c r="P4" s="232"/>
      <c r="Q4" s="231"/>
      <c r="R4" s="232"/>
      <c r="S4" s="231"/>
      <c r="T4" s="232"/>
      <c r="U4" s="231"/>
      <c r="V4" s="232"/>
      <c r="W4" s="231"/>
      <c r="X4" s="232"/>
      <c r="Y4" s="231"/>
      <c r="Z4" s="232"/>
      <c r="AA4" s="231"/>
      <c r="AB4" s="232"/>
      <c r="AC4" s="231"/>
      <c r="AD4" s="232"/>
      <c r="AE4" s="14" t="s">
        <v>1</v>
      </c>
      <c r="AF4" s="15"/>
    </row>
    <row r="5" spans="1:34" ht="21.75" customHeight="1" thickBot="1">
      <c r="A5" s="16"/>
      <c r="B5" s="10" t="s">
        <v>0</v>
      </c>
      <c r="C5" s="231"/>
      <c r="D5" s="232"/>
      <c r="E5" s="231"/>
      <c r="F5" s="232"/>
      <c r="G5" s="231"/>
      <c r="H5" s="232"/>
      <c r="I5" s="231"/>
      <c r="J5" s="232"/>
      <c r="K5" s="231"/>
      <c r="L5" s="232"/>
      <c r="M5" s="231"/>
      <c r="N5" s="232"/>
      <c r="O5" s="231"/>
      <c r="P5" s="232"/>
      <c r="Q5" s="231"/>
      <c r="R5" s="232"/>
      <c r="S5" s="231"/>
      <c r="T5" s="232"/>
      <c r="U5" s="231"/>
      <c r="V5" s="232"/>
      <c r="W5" s="231"/>
      <c r="X5" s="232"/>
      <c r="Y5" s="231"/>
      <c r="Z5" s="232"/>
      <c r="AA5" s="231"/>
      <c r="AB5" s="232"/>
      <c r="AC5" s="231"/>
      <c r="AD5" s="232"/>
      <c r="AE5" s="14"/>
      <c r="AF5" s="15"/>
    </row>
    <row r="6" spans="1:34" ht="14" thickBot="1">
      <c r="A6" s="17" t="s">
        <v>77</v>
      </c>
      <c r="B6" s="18" t="s">
        <v>0</v>
      </c>
      <c r="C6" s="227" t="s">
        <v>19</v>
      </c>
      <c r="D6" s="228"/>
      <c r="E6" s="227" t="s">
        <v>19</v>
      </c>
      <c r="F6" s="228"/>
      <c r="G6" s="227" t="s">
        <v>19</v>
      </c>
      <c r="H6" s="228"/>
      <c r="I6" s="227" t="s">
        <v>19</v>
      </c>
      <c r="J6" s="228"/>
      <c r="K6" s="227" t="s">
        <v>19</v>
      </c>
      <c r="L6" s="228"/>
      <c r="M6" s="233" t="s">
        <v>19</v>
      </c>
      <c r="N6" s="228"/>
      <c r="O6" s="233" t="s">
        <v>19</v>
      </c>
      <c r="P6" s="228"/>
      <c r="Q6" s="227" t="s">
        <v>19</v>
      </c>
      <c r="R6" s="228"/>
      <c r="S6" s="227" t="s">
        <v>19</v>
      </c>
      <c r="T6" s="228"/>
      <c r="U6" s="227" t="s">
        <v>19</v>
      </c>
      <c r="V6" s="228"/>
      <c r="W6" s="227" t="s">
        <v>19</v>
      </c>
      <c r="X6" s="228"/>
      <c r="Y6" s="227" t="s">
        <v>19</v>
      </c>
      <c r="Z6" s="228"/>
      <c r="AA6" s="227" t="s">
        <v>19</v>
      </c>
      <c r="AB6" s="228"/>
      <c r="AC6" s="227" t="s">
        <v>19</v>
      </c>
      <c r="AD6" s="228"/>
      <c r="AE6" s="19"/>
      <c r="AF6" s="20"/>
    </row>
    <row r="7" spans="1:34" ht="13">
      <c r="A7" s="21" t="s">
        <v>2</v>
      </c>
      <c r="B7" s="21" t="s">
        <v>3</v>
      </c>
      <c r="C7" s="22"/>
      <c r="D7" s="23"/>
      <c r="E7" s="22"/>
      <c r="F7" s="23"/>
      <c r="G7" s="22"/>
      <c r="H7" s="23"/>
      <c r="I7" s="24"/>
      <c r="J7" s="25"/>
      <c r="K7" s="24"/>
      <c r="L7" s="25"/>
      <c r="M7" s="24"/>
      <c r="N7" s="25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  <c r="AA7" s="22"/>
      <c r="AB7" s="23"/>
      <c r="AC7" s="22"/>
      <c r="AD7" s="23"/>
      <c r="AE7" s="26"/>
      <c r="AF7" s="27"/>
    </row>
    <row r="8" spans="1:34" ht="19" thickBot="1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A8" s="30" t="s">
        <v>5</v>
      </c>
      <c r="AB8" s="31" t="s">
        <v>6</v>
      </c>
      <c r="AC8" s="30" t="s">
        <v>5</v>
      </c>
      <c r="AD8" s="31" t="s">
        <v>6</v>
      </c>
      <c r="AE8" s="32" t="s">
        <v>5</v>
      </c>
      <c r="AF8" s="33" t="s">
        <v>6</v>
      </c>
      <c r="AH8" s="223" t="s">
        <v>55</v>
      </c>
    </row>
    <row r="9" spans="1:34" ht="13">
      <c r="A9" s="34" t="s">
        <v>56</v>
      </c>
      <c r="B9" s="35">
        <v>37</v>
      </c>
      <c r="C9" s="36">
        <v>360</v>
      </c>
      <c r="D9" s="37">
        <f>C9*$B$9</f>
        <v>13320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A9" s="36">
        <v>0</v>
      </c>
      <c r="AB9" s="37">
        <f>AA9*$B$9</f>
        <v>0</v>
      </c>
      <c r="AC9" s="36">
        <v>0</v>
      </c>
      <c r="AD9" s="37">
        <f>AC9*$B$9</f>
        <v>0</v>
      </c>
      <c r="AE9" s="38">
        <f>AC9+AA9+G9+E9+C9</f>
        <v>360</v>
      </c>
      <c r="AF9" s="121">
        <f t="shared" ref="AF9:AF11" si="0">D9+F9+H9+AD9</f>
        <v>13320</v>
      </c>
      <c r="AH9" s="123" t="s">
        <v>71</v>
      </c>
    </row>
    <row r="10" spans="1:34" ht="22.25" customHeight="1">
      <c r="A10" s="39" t="s">
        <v>37</v>
      </c>
      <c r="B10" s="222">
        <v>19</v>
      </c>
      <c r="C10" s="36">
        <v>0</v>
      </c>
      <c r="D10" s="37">
        <f>C10*$B$10</f>
        <v>0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A10" s="36">
        <v>0</v>
      </c>
      <c r="AB10" s="37">
        <f>AA10*$B$10</f>
        <v>0</v>
      </c>
      <c r="AC10" s="36">
        <v>0</v>
      </c>
      <c r="AD10" s="37">
        <f>AC10*$B$10</f>
        <v>0</v>
      </c>
      <c r="AE10" s="38">
        <f t="shared" ref="AE10:AE12" si="1">AC10+AA10+G10+E10+C10</f>
        <v>0</v>
      </c>
      <c r="AF10" s="121">
        <f t="shared" si="0"/>
        <v>0</v>
      </c>
      <c r="AH10" s="219"/>
    </row>
    <row r="11" spans="1:34" ht="13">
      <c r="A11" s="39" t="s">
        <v>39</v>
      </c>
      <c r="B11" s="40">
        <v>23</v>
      </c>
      <c r="C11" s="36">
        <v>320</v>
      </c>
      <c r="D11" s="37">
        <f>C11*$B$11</f>
        <v>7360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A11" s="36">
        <v>0</v>
      </c>
      <c r="AB11" s="37">
        <f>AA11*$B$11</f>
        <v>0</v>
      </c>
      <c r="AC11" s="36">
        <v>0</v>
      </c>
      <c r="AD11" s="37">
        <f>AC11*$B$11</f>
        <v>0</v>
      </c>
      <c r="AE11" s="38">
        <f t="shared" si="1"/>
        <v>320</v>
      </c>
      <c r="AF11" s="121">
        <f t="shared" si="0"/>
        <v>7360</v>
      </c>
      <c r="AH11" s="123" t="s">
        <v>72</v>
      </c>
    </row>
    <row r="12" spans="1:34" ht="13">
      <c r="A12" s="41" t="s">
        <v>74</v>
      </c>
      <c r="B12" s="40">
        <v>16</v>
      </c>
      <c r="C12" s="42">
        <v>12</v>
      </c>
      <c r="D12" s="37">
        <f>C12*$B$12</f>
        <v>192</v>
      </c>
      <c r="E12" s="36"/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0</v>
      </c>
      <c r="Z12" s="37">
        <f>Y12*$B$12</f>
        <v>0</v>
      </c>
      <c r="AA12" s="36">
        <v>0</v>
      </c>
      <c r="AB12" s="37">
        <f>AA12*$B$12</f>
        <v>0</v>
      </c>
      <c r="AC12" s="36">
        <v>2</v>
      </c>
      <c r="AD12" s="37">
        <f>AC12*$B$12</f>
        <v>32</v>
      </c>
      <c r="AE12" s="38">
        <f t="shared" si="1"/>
        <v>14</v>
      </c>
      <c r="AF12" s="121">
        <f>D12+F12+H12+AD12+AB12</f>
        <v>224</v>
      </c>
      <c r="AH12" s="123" t="s">
        <v>73</v>
      </c>
    </row>
    <row r="13" spans="1:34" ht="13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A13" s="46"/>
      <c r="AB13" s="48"/>
      <c r="AC13" s="46"/>
      <c r="AD13" s="48"/>
      <c r="AE13" s="38"/>
      <c r="AF13" s="121">
        <f t="shared" ref="AF13:AF76" si="2">D13+F13+H13+AD13+AB13</f>
        <v>0</v>
      </c>
      <c r="AH13" s="220"/>
    </row>
    <row r="14" spans="1:34" ht="13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  <c r="AA14" s="49"/>
      <c r="AB14" s="50"/>
      <c r="AC14" s="49"/>
      <c r="AD14" s="50"/>
      <c r="AE14" s="38"/>
      <c r="AF14" s="121">
        <f t="shared" si="2"/>
        <v>0</v>
      </c>
    </row>
    <row r="15" spans="1:34" ht="13">
      <c r="A15" s="51" t="s">
        <v>58</v>
      </c>
      <c r="B15" s="40">
        <v>35</v>
      </c>
      <c r="C15" s="36">
        <v>432</v>
      </c>
      <c r="D15" s="52">
        <f>B15*C15</f>
        <v>15120</v>
      </c>
      <c r="E15" s="36">
        <v>0</v>
      </c>
      <c r="F15" s="52">
        <f>E15*$B$18</f>
        <v>0</v>
      </c>
      <c r="G15" s="36"/>
      <c r="H15" s="52">
        <f>G15*B15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A15" s="36">
        <v>0</v>
      </c>
      <c r="AB15" s="52">
        <f>AA15*$B$18</f>
        <v>0</v>
      </c>
      <c r="AC15" s="36">
        <v>0</v>
      </c>
      <c r="AD15" s="52">
        <f>AC15*$B$18</f>
        <v>0</v>
      </c>
      <c r="AE15" s="38"/>
      <c r="AF15" s="121">
        <f t="shared" si="2"/>
        <v>15120</v>
      </c>
      <c r="AH15" t="s">
        <v>83</v>
      </c>
    </row>
    <row r="16" spans="1:34" ht="13">
      <c r="A16" s="51" t="s">
        <v>69</v>
      </c>
      <c r="B16" s="40">
        <v>28</v>
      </c>
      <c r="C16" s="36">
        <v>432</v>
      </c>
      <c r="D16" s="52">
        <f t="shared" ref="D16:D19" si="3">B16*C16</f>
        <v>12096</v>
      </c>
      <c r="E16" s="36">
        <v>0</v>
      </c>
      <c r="F16" s="52">
        <f>E16*$B$18</f>
        <v>0</v>
      </c>
      <c r="G16" s="36"/>
      <c r="H16" s="52">
        <f t="shared" ref="H16:H19" si="4">G16*B16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A16" s="36">
        <v>0</v>
      </c>
      <c r="AB16" s="52">
        <f>AA16*$B$18</f>
        <v>0</v>
      </c>
      <c r="AC16" s="36">
        <v>0</v>
      </c>
      <c r="AD16" s="52">
        <f>AC16*$B$18</f>
        <v>0</v>
      </c>
      <c r="AE16" s="38"/>
      <c r="AF16" s="121">
        <f t="shared" si="2"/>
        <v>12096</v>
      </c>
      <c r="AH16" t="s">
        <v>82</v>
      </c>
    </row>
    <row r="17" spans="1:34" ht="13">
      <c r="A17" s="51" t="s">
        <v>70</v>
      </c>
      <c r="B17" s="40">
        <v>23</v>
      </c>
      <c r="C17" s="36">
        <v>432</v>
      </c>
      <c r="D17" s="52">
        <f t="shared" si="3"/>
        <v>9936</v>
      </c>
      <c r="E17" s="36">
        <v>0</v>
      </c>
      <c r="F17" s="52">
        <f>E17*$B$18</f>
        <v>0</v>
      </c>
      <c r="G17" s="36"/>
      <c r="H17" s="52">
        <f t="shared" si="4"/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A17" s="36">
        <v>0</v>
      </c>
      <c r="AB17" s="52">
        <f>AA17*$B$18</f>
        <v>0</v>
      </c>
      <c r="AC17" s="36">
        <v>0</v>
      </c>
      <c r="AD17" s="52">
        <f>AC17*$B$18</f>
        <v>0</v>
      </c>
      <c r="AE17" s="38"/>
      <c r="AF17" s="121">
        <f t="shared" si="2"/>
        <v>9936</v>
      </c>
      <c r="AH17" t="s">
        <v>82</v>
      </c>
    </row>
    <row r="18" spans="1:34" ht="13">
      <c r="A18" s="51" t="s">
        <v>86</v>
      </c>
      <c r="B18" s="40">
        <v>28</v>
      </c>
      <c r="C18" s="36">
        <v>432</v>
      </c>
      <c r="D18" s="52">
        <f t="shared" si="3"/>
        <v>12096</v>
      </c>
      <c r="E18" s="36">
        <v>0</v>
      </c>
      <c r="F18" s="52">
        <f>E18*$B$18</f>
        <v>0</v>
      </c>
      <c r="G18" s="36"/>
      <c r="H18" s="52">
        <f t="shared" si="4"/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A18" s="36">
        <v>0</v>
      </c>
      <c r="AB18" s="52">
        <f>AA18*$B$18</f>
        <v>0</v>
      </c>
      <c r="AC18" s="36">
        <v>0</v>
      </c>
      <c r="AD18" s="52">
        <f>AC18*$B$18</f>
        <v>0</v>
      </c>
      <c r="AE18" s="38"/>
      <c r="AF18" s="121">
        <f t="shared" si="2"/>
        <v>12096</v>
      </c>
      <c r="AH18" t="s">
        <v>85</v>
      </c>
    </row>
    <row r="19" spans="1:34" ht="13">
      <c r="A19" s="51" t="s">
        <v>8</v>
      </c>
      <c r="B19" s="40">
        <v>28</v>
      </c>
      <c r="C19" s="36">
        <v>432</v>
      </c>
      <c r="D19" s="52">
        <f t="shared" si="3"/>
        <v>12096</v>
      </c>
      <c r="E19" s="36">
        <v>0</v>
      </c>
      <c r="F19" s="52">
        <f>E19*$B$19</f>
        <v>0</v>
      </c>
      <c r="G19" s="36"/>
      <c r="H19" s="52">
        <f t="shared" si="4"/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A19" s="36">
        <v>0</v>
      </c>
      <c r="AB19" s="52">
        <f>AA19*$B$19</f>
        <v>0</v>
      </c>
      <c r="AC19" s="36">
        <v>0</v>
      </c>
      <c r="AD19" s="52">
        <f>AC19*$B$19</f>
        <v>0</v>
      </c>
      <c r="AE19" s="38"/>
      <c r="AF19" s="121">
        <f t="shared" si="2"/>
        <v>12096</v>
      </c>
      <c r="AH19" s="123" t="s">
        <v>84</v>
      </c>
    </row>
    <row r="20" spans="1:34" ht="13">
      <c r="A20" s="53"/>
      <c r="B20" s="54"/>
      <c r="C20" s="55"/>
      <c r="D20" s="56"/>
      <c r="E20" s="57"/>
      <c r="F20" s="58"/>
      <c r="G20" s="57"/>
      <c r="H20" s="56"/>
      <c r="I20" s="55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8"/>
      <c r="Y20" s="57"/>
      <c r="Z20" s="58"/>
      <c r="AA20" s="57"/>
      <c r="AB20" s="56"/>
      <c r="AC20" s="57"/>
      <c r="AD20" s="56"/>
      <c r="AE20" s="38"/>
      <c r="AF20" s="121">
        <f t="shared" si="2"/>
        <v>0</v>
      </c>
    </row>
    <row r="21" spans="1:34" ht="13">
      <c r="A21" s="60" t="s">
        <v>9</v>
      </c>
      <c r="B21" s="40"/>
      <c r="C21" s="61">
        <f t="shared" ref="C21:H21" si="5">SUM(C9:C20)</f>
        <v>2852</v>
      </c>
      <c r="D21" s="63">
        <f t="shared" si="5"/>
        <v>82216</v>
      </c>
      <c r="E21" s="61">
        <f t="shared" si="5"/>
        <v>0</v>
      </c>
      <c r="F21" s="63">
        <f t="shared" si="5"/>
        <v>0</v>
      </c>
      <c r="G21" s="61">
        <f t="shared" si="5"/>
        <v>0</v>
      </c>
      <c r="H21" s="63">
        <f t="shared" si="5"/>
        <v>0</v>
      </c>
      <c r="I21" s="61">
        <f t="shared" ref="I21:Z21" si="6">SUM(I9:I12)</f>
        <v>0</v>
      </c>
      <c r="J21" s="62">
        <f t="shared" si="6"/>
        <v>0</v>
      </c>
      <c r="K21" s="61">
        <f t="shared" si="6"/>
        <v>0</v>
      </c>
      <c r="L21" s="62">
        <f t="shared" si="6"/>
        <v>0</v>
      </c>
      <c r="M21" s="61">
        <f t="shared" si="6"/>
        <v>0</v>
      </c>
      <c r="N21" s="62">
        <f t="shared" si="6"/>
        <v>0</v>
      </c>
      <c r="O21" s="61">
        <f t="shared" si="6"/>
        <v>0</v>
      </c>
      <c r="P21" s="62">
        <f t="shared" si="6"/>
        <v>0</v>
      </c>
      <c r="Q21" s="61">
        <f t="shared" si="6"/>
        <v>0</v>
      </c>
      <c r="R21" s="62">
        <f t="shared" si="6"/>
        <v>0</v>
      </c>
      <c r="S21" s="61">
        <f t="shared" si="6"/>
        <v>0</v>
      </c>
      <c r="T21" s="62">
        <f t="shared" si="6"/>
        <v>0</v>
      </c>
      <c r="U21" s="61">
        <f t="shared" si="6"/>
        <v>0</v>
      </c>
      <c r="V21" s="62">
        <f t="shared" si="6"/>
        <v>0</v>
      </c>
      <c r="W21" s="61">
        <f t="shared" si="6"/>
        <v>0</v>
      </c>
      <c r="X21" s="62">
        <f t="shared" si="6"/>
        <v>0</v>
      </c>
      <c r="Y21" s="61">
        <f t="shared" si="6"/>
        <v>0</v>
      </c>
      <c r="Z21" s="62">
        <f t="shared" si="6"/>
        <v>0</v>
      </c>
      <c r="AA21" s="61"/>
      <c r="AB21" s="63">
        <f>SUM(AB9:AB12)</f>
        <v>0</v>
      </c>
      <c r="AC21" s="61">
        <f>SUM(AC9:AC20)</f>
        <v>2</v>
      </c>
      <c r="AD21" s="63">
        <f>SUM(AD9:AD12)</f>
        <v>32</v>
      </c>
      <c r="AE21" s="38">
        <f>C21+E21+G21+AC21</f>
        <v>2854</v>
      </c>
      <c r="AF21" s="121">
        <f t="shared" si="2"/>
        <v>82248</v>
      </c>
      <c r="AH21" s="119"/>
    </row>
    <row r="22" spans="1:34" ht="13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A22" s="66"/>
      <c r="AB22" s="68"/>
      <c r="AC22" s="66"/>
      <c r="AD22" s="68"/>
      <c r="AE22" s="38">
        <f>C22+E22+G22+AC22</f>
        <v>0</v>
      </c>
      <c r="AF22" s="121">
        <f t="shared" si="2"/>
        <v>0</v>
      </c>
      <c r="AH22" s="119"/>
    </row>
    <row r="23" spans="1:34" ht="13">
      <c r="A23" s="69" t="s">
        <v>20</v>
      </c>
      <c r="B23" s="70">
        <v>6.7000000000000002E-3</v>
      </c>
      <c r="C23" s="71" t="s">
        <v>0</v>
      </c>
      <c r="D23" s="72">
        <f>D21*$B$23</f>
        <v>550.84720000000004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</v>
      </c>
      <c r="AA23" s="71" t="s">
        <v>0</v>
      </c>
      <c r="AB23" s="72">
        <f>AB21*$B$23</f>
        <v>0</v>
      </c>
      <c r="AC23" s="71" t="s">
        <v>0</v>
      </c>
      <c r="AD23" s="72">
        <f>AD21*$B$23</f>
        <v>0.21440000000000001</v>
      </c>
      <c r="AE23" s="38"/>
      <c r="AF23" s="121">
        <f t="shared" si="2"/>
        <v>551.0616</v>
      </c>
      <c r="AH23" s="119"/>
    </row>
    <row r="24" spans="1:34" ht="14" thickBot="1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A24" s="74"/>
      <c r="AB24" s="75"/>
      <c r="AC24" s="74"/>
      <c r="AD24" s="75"/>
      <c r="AE24" s="38">
        <f>C24+E24+G24+AC24</f>
        <v>0</v>
      </c>
      <c r="AF24" s="121">
        <f t="shared" si="2"/>
        <v>0</v>
      </c>
      <c r="AH24" s="119"/>
    </row>
    <row r="25" spans="1:34" ht="14" thickBot="1">
      <c r="A25" s="76" t="s">
        <v>10</v>
      </c>
      <c r="B25" s="77"/>
      <c r="C25" s="78">
        <f>SUM(C21:C21)</f>
        <v>2852</v>
      </c>
      <c r="D25" s="79">
        <f>SUM(D21:D21, D23)</f>
        <v>82766.847200000004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0</v>
      </c>
      <c r="Z25" s="79">
        <f>SUM(Z21:Z21, Z23:Z23)</f>
        <v>0</v>
      </c>
      <c r="AA25" s="78">
        <f>SUM(AA21:AA21)</f>
        <v>0</v>
      </c>
      <c r="AB25" s="79">
        <f>SUM(AB21:AB21, AB23:AB23)</f>
        <v>0</v>
      </c>
      <c r="AC25" s="78">
        <f>SUM(AC21:AC21)</f>
        <v>2</v>
      </c>
      <c r="AD25" s="79">
        <f>SUM(AD21:AD21, AD23:AD23)</f>
        <v>32.214399999999998</v>
      </c>
      <c r="AE25" s="38">
        <f>C25+E25+G25+AC25</f>
        <v>2854</v>
      </c>
      <c r="AF25" s="121">
        <f t="shared" si="2"/>
        <v>82799.061600000001</v>
      </c>
      <c r="AH25" s="119"/>
    </row>
    <row r="26" spans="1:34" ht="14" thickBot="1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A26" s="82"/>
      <c r="AB26" s="83"/>
      <c r="AC26" s="82"/>
      <c r="AD26" s="83"/>
      <c r="AE26" s="84"/>
      <c r="AF26" s="121">
        <f t="shared" si="2"/>
        <v>0</v>
      </c>
      <c r="AH26" s="119"/>
    </row>
    <row r="27" spans="1:34" ht="13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A27" s="87"/>
      <c r="AB27" s="37"/>
      <c r="AC27" s="87"/>
      <c r="AD27" s="37"/>
      <c r="AE27" s="88" t="s">
        <v>0</v>
      </c>
      <c r="AF27" s="121">
        <f t="shared" si="2"/>
        <v>0</v>
      </c>
      <c r="AH27" s="119"/>
    </row>
    <row r="28" spans="1:34" ht="13">
      <c r="A28" s="89" t="s">
        <v>59</v>
      </c>
      <c r="B28" s="90">
        <v>75</v>
      </c>
      <c r="C28" s="87">
        <v>42</v>
      </c>
      <c r="D28" s="52">
        <f>C28*$B$28</f>
        <v>3150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A28" s="87">
        <v>0</v>
      </c>
      <c r="AB28" s="52">
        <f>AA28*$B$28</f>
        <v>0</v>
      </c>
      <c r="AC28" s="87">
        <v>0</v>
      </c>
      <c r="AD28" s="52">
        <f>AC28*$B$28</f>
        <v>0</v>
      </c>
      <c r="AE28" s="38">
        <f>C28+E28+G28+AC28</f>
        <v>42</v>
      </c>
      <c r="AF28" s="121">
        <f>D28+F28+H28+AB28+AD28</f>
        <v>3150</v>
      </c>
      <c r="AH28" s="201" t="s">
        <v>75</v>
      </c>
    </row>
    <row r="29" spans="1:34" ht="13">
      <c r="A29" s="89" t="s">
        <v>76</v>
      </c>
      <c r="B29" s="90">
        <v>2200</v>
      </c>
      <c r="C29" s="87">
        <v>4</v>
      </c>
      <c r="D29" s="52">
        <f>C29*B29</f>
        <v>8800</v>
      </c>
      <c r="E29" s="87">
        <v>0</v>
      </c>
      <c r="F29" s="52">
        <f>E29*D29</f>
        <v>0</v>
      </c>
      <c r="G29" s="87">
        <v>0</v>
      </c>
      <c r="H29" s="52">
        <f>G29*B29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A29" s="87">
        <v>0</v>
      </c>
      <c r="AB29" s="52">
        <f>AA29*$B$28</f>
        <v>0</v>
      </c>
      <c r="AC29" s="87">
        <v>0</v>
      </c>
      <c r="AD29" s="52">
        <f>AC29*$B$28</f>
        <v>0</v>
      </c>
      <c r="AE29" s="38">
        <f>C29+E29+G29+AC29</f>
        <v>4</v>
      </c>
      <c r="AF29" s="121">
        <f>D29+F29+H29+AB29+AD29</f>
        <v>8800</v>
      </c>
      <c r="AH29" s="201" t="s">
        <v>87</v>
      </c>
    </row>
    <row r="30" spans="1:34" ht="14" thickBot="1">
      <c r="A30" s="91"/>
      <c r="B30" s="92"/>
      <c r="C30" s="93"/>
      <c r="D30" s="94"/>
      <c r="E30" s="95"/>
      <c r="F30" s="94"/>
      <c r="G30" s="93"/>
      <c r="H30" s="94"/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>
        <v>0</v>
      </c>
      <c r="X30" s="94">
        <f>W30*$B$30</f>
        <v>0</v>
      </c>
      <c r="Y30" s="93">
        <v>0</v>
      </c>
      <c r="Z30" s="94">
        <f>Y30*$B$30</f>
        <v>0</v>
      </c>
      <c r="AA30" s="93"/>
      <c r="AB30" s="94"/>
      <c r="AC30" s="93"/>
      <c r="AD30" s="94"/>
      <c r="AE30" s="59">
        <f>C30+E30+G30+I30+K30+M30+O30+Q30+S30+U30+W30+Y30+AA30</f>
        <v>0</v>
      </c>
      <c r="AF30" s="121">
        <f t="shared" si="2"/>
        <v>0</v>
      </c>
      <c r="AH30" s="119"/>
    </row>
    <row r="31" spans="1:34" ht="14" thickBot="1">
      <c r="A31" s="96" t="s">
        <v>12</v>
      </c>
      <c r="B31" s="97"/>
      <c r="C31" s="98"/>
      <c r="D31" s="99"/>
      <c r="E31" s="100"/>
      <c r="F31" s="99"/>
      <c r="G31" s="100"/>
      <c r="H31" s="99"/>
      <c r="I31" s="98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A31" s="100"/>
      <c r="AB31" s="99"/>
      <c r="AC31" s="100"/>
      <c r="AD31" s="99"/>
      <c r="AE31" s="84"/>
      <c r="AF31" s="121">
        <f t="shared" si="2"/>
        <v>0</v>
      </c>
      <c r="AH31" s="119"/>
    </row>
    <row r="32" spans="1:34" ht="13">
      <c r="A32" s="124" t="s">
        <v>50</v>
      </c>
      <c r="B32" s="221">
        <v>5418</v>
      </c>
      <c r="C32" s="87">
        <v>3</v>
      </c>
      <c r="D32" s="37">
        <f>C32*B32</f>
        <v>16254</v>
      </c>
      <c r="E32" s="87">
        <v>0</v>
      </c>
      <c r="F32" s="37">
        <f>E32*B32</f>
        <v>0</v>
      </c>
      <c r="G32" s="87">
        <v>0</v>
      </c>
      <c r="H32" s="37">
        <f t="shared" ref="H32:H37" si="7">G32*B32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>W32*$B$32</f>
        <v>0</v>
      </c>
      <c r="Y32" s="87">
        <v>0</v>
      </c>
      <c r="Z32" s="37">
        <f>Y32*$B$32</f>
        <v>0</v>
      </c>
      <c r="AA32" s="87">
        <v>0</v>
      </c>
      <c r="AB32" s="37">
        <f>AA32*B32</f>
        <v>0</v>
      </c>
      <c r="AC32" s="87">
        <v>0</v>
      </c>
      <c r="AD32" s="37">
        <f t="shared" ref="AD32:AD37" si="8">AC32*B32</f>
        <v>0</v>
      </c>
      <c r="AE32" s="88">
        <f>C32+E32+G32+AC32+AA32</f>
        <v>3</v>
      </c>
      <c r="AF32" s="121">
        <f t="shared" si="2"/>
        <v>16254</v>
      </c>
      <c r="AH32" s="218" t="s">
        <v>63</v>
      </c>
    </row>
    <row r="33" spans="1:34" ht="13">
      <c r="A33" s="124" t="s">
        <v>64</v>
      </c>
      <c r="B33" s="221">
        <v>175</v>
      </c>
      <c r="C33" s="87">
        <v>12</v>
      </c>
      <c r="D33" s="37">
        <f>C33*B33</f>
        <v>2100</v>
      </c>
      <c r="E33" s="87">
        <v>0</v>
      </c>
      <c r="F33" s="37">
        <f>E33*B33</f>
        <v>0</v>
      </c>
      <c r="G33" s="87">
        <v>0</v>
      </c>
      <c r="H33" s="37">
        <f t="shared" si="7"/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>W33*$B$32</f>
        <v>0</v>
      </c>
      <c r="Y33" s="87">
        <v>0</v>
      </c>
      <c r="Z33" s="37">
        <f>Y33*$B$32</f>
        <v>0</v>
      </c>
      <c r="AA33" s="87">
        <v>0</v>
      </c>
      <c r="AB33" s="37">
        <f>AA33*B33</f>
        <v>0</v>
      </c>
      <c r="AC33" s="87">
        <v>0</v>
      </c>
      <c r="AD33" s="37">
        <f t="shared" si="8"/>
        <v>0</v>
      </c>
      <c r="AE33" s="88">
        <f>C33+E33+G33+AC33+AA33</f>
        <v>12</v>
      </c>
      <c r="AF33" s="121">
        <f t="shared" si="2"/>
        <v>2100</v>
      </c>
      <c r="AH33" s="218" t="s">
        <v>65</v>
      </c>
    </row>
    <row r="34" spans="1:34" ht="13">
      <c r="A34" s="125" t="s">
        <v>66</v>
      </c>
      <c r="B34" s="101">
        <v>35</v>
      </c>
      <c r="C34" s="87">
        <v>252</v>
      </c>
      <c r="D34" s="37">
        <f t="shared" ref="D34:D37" si="9">C34*B34</f>
        <v>8820</v>
      </c>
      <c r="E34" s="87">
        <v>0</v>
      </c>
      <c r="F34" s="37">
        <f t="shared" ref="F34:F37" si="10">E34*B34</f>
        <v>0</v>
      </c>
      <c r="G34" s="87">
        <v>0</v>
      </c>
      <c r="H34" s="37">
        <f t="shared" si="7"/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>W34*$B$34</f>
        <v>0</v>
      </c>
      <c r="Y34" s="87">
        <v>0</v>
      </c>
      <c r="Z34" s="37">
        <f>Y34*$B$34</f>
        <v>0</v>
      </c>
      <c r="AA34" s="87">
        <v>0</v>
      </c>
      <c r="AB34" s="37">
        <f t="shared" ref="AB34:AB43" si="11">AA34*B34</f>
        <v>0</v>
      </c>
      <c r="AC34" s="87">
        <v>0</v>
      </c>
      <c r="AD34" s="37">
        <f t="shared" si="8"/>
        <v>0</v>
      </c>
      <c r="AE34" s="88">
        <f t="shared" ref="AE34:AE37" si="12">C34+E34+G34+AC34+AA34</f>
        <v>252</v>
      </c>
      <c r="AF34" s="121">
        <f t="shared" si="2"/>
        <v>8820</v>
      </c>
      <c r="AH34" s="119" t="s">
        <v>67</v>
      </c>
    </row>
    <row r="35" spans="1:34" ht="13">
      <c r="A35" s="125" t="s">
        <v>51</v>
      </c>
      <c r="B35" s="101">
        <v>55</v>
      </c>
      <c r="C35" s="87">
        <v>12</v>
      </c>
      <c r="D35" s="37">
        <f t="shared" si="9"/>
        <v>660</v>
      </c>
      <c r="E35" s="87">
        <v>0</v>
      </c>
      <c r="F35" s="37">
        <f t="shared" si="10"/>
        <v>0</v>
      </c>
      <c r="G35" s="87">
        <v>0</v>
      </c>
      <c r="H35" s="37">
        <f t="shared" si="7"/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>W35*$B$34</f>
        <v>0</v>
      </c>
      <c r="Y35" s="87">
        <v>0</v>
      </c>
      <c r="Z35" s="37">
        <f>Y35*$B$34</f>
        <v>0</v>
      </c>
      <c r="AA35" s="87">
        <v>0</v>
      </c>
      <c r="AB35" s="37">
        <f t="shared" si="11"/>
        <v>0</v>
      </c>
      <c r="AC35" s="87">
        <v>0</v>
      </c>
      <c r="AD35" s="37">
        <f t="shared" si="8"/>
        <v>0</v>
      </c>
      <c r="AE35" s="88">
        <f t="shared" si="12"/>
        <v>12</v>
      </c>
      <c r="AF35" s="121">
        <f t="shared" si="2"/>
        <v>660</v>
      </c>
      <c r="AH35" s="119" t="s">
        <v>68</v>
      </c>
    </row>
    <row r="36" spans="1:34" ht="13">
      <c r="A36" s="126" t="s">
        <v>38</v>
      </c>
      <c r="B36" s="101">
        <v>100</v>
      </c>
      <c r="C36" s="87">
        <v>12</v>
      </c>
      <c r="D36" s="37">
        <f t="shared" si="9"/>
        <v>1200</v>
      </c>
      <c r="E36" s="87">
        <v>0</v>
      </c>
      <c r="F36" s="37">
        <f t="shared" si="10"/>
        <v>0</v>
      </c>
      <c r="G36" s="87">
        <v>0</v>
      </c>
      <c r="H36" s="37">
        <f t="shared" si="7"/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>W36*$B$36</f>
        <v>0</v>
      </c>
      <c r="Y36" s="87">
        <v>0</v>
      </c>
      <c r="Z36" s="37">
        <f>Y36*$B$36</f>
        <v>0</v>
      </c>
      <c r="AA36" s="87">
        <v>0</v>
      </c>
      <c r="AB36" s="37">
        <f t="shared" si="11"/>
        <v>0</v>
      </c>
      <c r="AC36" s="87">
        <v>0</v>
      </c>
      <c r="AD36" s="37">
        <f t="shared" si="8"/>
        <v>0</v>
      </c>
      <c r="AE36" s="88">
        <f t="shared" si="12"/>
        <v>12</v>
      </c>
      <c r="AF36" s="121">
        <f t="shared" si="2"/>
        <v>1200</v>
      </c>
      <c r="AH36" s="119"/>
    </row>
    <row r="37" spans="1:34" ht="30.75" customHeight="1" thickBot="1">
      <c r="A37" s="127" t="s">
        <v>62</v>
      </c>
      <c r="B37" s="122">
        <v>480</v>
      </c>
      <c r="C37" s="87">
        <v>3</v>
      </c>
      <c r="D37" s="37">
        <f t="shared" si="9"/>
        <v>1440</v>
      </c>
      <c r="E37" s="87">
        <v>0</v>
      </c>
      <c r="F37" s="37">
        <f t="shared" si="10"/>
        <v>0</v>
      </c>
      <c r="G37" s="87">
        <v>0</v>
      </c>
      <c r="H37" s="37">
        <f t="shared" si="7"/>
        <v>0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 t="e">
        <f>W37*#REF!</f>
        <v>#REF!</v>
      </c>
      <c r="Y37" s="87">
        <v>0</v>
      </c>
      <c r="Z37" s="37" t="e">
        <f>Y37*#REF!</f>
        <v>#REF!</v>
      </c>
      <c r="AA37" s="87">
        <v>0</v>
      </c>
      <c r="AB37" s="37">
        <f t="shared" si="11"/>
        <v>0</v>
      </c>
      <c r="AC37" s="87">
        <v>0</v>
      </c>
      <c r="AD37" s="37">
        <f t="shared" si="8"/>
        <v>0</v>
      </c>
      <c r="AE37" s="88">
        <f t="shared" si="12"/>
        <v>3</v>
      </c>
      <c r="AF37" s="121">
        <f t="shared" si="2"/>
        <v>1440</v>
      </c>
      <c r="AH37" s="119" t="s">
        <v>52</v>
      </c>
    </row>
    <row r="38" spans="1:34" ht="14" thickBot="1">
      <c r="A38" s="102" t="s">
        <v>13</v>
      </c>
      <c r="B38" s="103"/>
      <c r="C38" s="104"/>
      <c r="D38" s="105"/>
      <c r="E38" s="106"/>
      <c r="F38" s="105"/>
      <c r="G38" s="106"/>
      <c r="H38" s="105"/>
      <c r="I38" s="104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5"/>
      <c r="Y38" s="106"/>
      <c r="Z38" s="105"/>
      <c r="AA38" s="106"/>
      <c r="AB38" s="106"/>
      <c r="AC38" s="106"/>
      <c r="AD38" s="105"/>
      <c r="AE38" s="88">
        <f t="shared" ref="AE38:AE95" si="13">C38+E38+G38+AC38</f>
        <v>0</v>
      </c>
      <c r="AF38" s="121">
        <f t="shared" si="2"/>
        <v>0</v>
      </c>
      <c r="AH38" s="119"/>
    </row>
    <row r="39" spans="1:34" ht="13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A39" s="209"/>
      <c r="AB39" s="208"/>
      <c r="AC39" s="209"/>
      <c r="AD39" s="208"/>
      <c r="AE39" s="88"/>
      <c r="AF39" s="121"/>
      <c r="AH39" s="210"/>
    </row>
    <row r="40" spans="1:34" ht="13">
      <c r="A40" s="107" t="s">
        <v>60</v>
      </c>
      <c r="B40" s="108">
        <v>39</v>
      </c>
      <c r="C40" s="87">
        <v>36</v>
      </c>
      <c r="D40" s="52">
        <f>C40*$B$40</f>
        <v>1404</v>
      </c>
      <c r="E40" s="87">
        <v>0</v>
      </c>
      <c r="F40" s="52">
        <f>E40*$B$40</f>
        <v>0</v>
      </c>
      <c r="G40" s="87">
        <v>0</v>
      </c>
      <c r="H40" s="52">
        <f>G40*B40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52">
        <f>W40*$B$40</f>
        <v>0</v>
      </c>
      <c r="Y40" s="87">
        <v>0</v>
      </c>
      <c r="Z40" s="52">
        <f>Y40*$B$40</f>
        <v>0</v>
      </c>
      <c r="AA40" s="87">
        <v>0</v>
      </c>
      <c r="AB40" s="37">
        <f t="shared" si="11"/>
        <v>0</v>
      </c>
      <c r="AC40" s="87">
        <v>0</v>
      </c>
      <c r="AD40" s="52">
        <f>AC40*$B$40</f>
        <v>0</v>
      </c>
      <c r="AE40" s="88">
        <f t="shared" si="13"/>
        <v>36</v>
      </c>
      <c r="AF40" s="121">
        <f t="shared" si="2"/>
        <v>1404</v>
      </c>
      <c r="AH40" s="202" t="s">
        <v>61</v>
      </c>
    </row>
    <row r="41" spans="1:34" ht="13">
      <c r="A41" s="226" t="s">
        <v>78</v>
      </c>
      <c r="B41" s="108">
        <v>76000</v>
      </c>
      <c r="C41" s="87">
        <v>1</v>
      </c>
      <c r="D41" s="52">
        <f>C41*B41</f>
        <v>76000</v>
      </c>
      <c r="E41" s="87">
        <v>0</v>
      </c>
      <c r="F41" s="52">
        <f>E41*$B$40</f>
        <v>0</v>
      </c>
      <c r="G41" s="87">
        <v>0</v>
      </c>
      <c r="H41" s="52">
        <f t="shared" ref="H41:H43" si="14">G41*B41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52">
        <f>W41*$B$40</f>
        <v>0</v>
      </c>
      <c r="Y41" s="87">
        <v>0</v>
      </c>
      <c r="Z41" s="52">
        <f>Y41*$B$40</f>
        <v>0</v>
      </c>
      <c r="AA41" s="87">
        <v>0</v>
      </c>
      <c r="AB41" s="37">
        <f t="shared" si="11"/>
        <v>0</v>
      </c>
      <c r="AC41" s="87">
        <v>0</v>
      </c>
      <c r="AD41" s="52">
        <f>AC41*$B$40</f>
        <v>0</v>
      </c>
      <c r="AE41" s="88">
        <f t="shared" si="13"/>
        <v>1</v>
      </c>
      <c r="AF41" s="121">
        <f t="shared" si="2"/>
        <v>76000</v>
      </c>
      <c r="AH41" s="202" t="s">
        <v>79</v>
      </c>
    </row>
    <row r="42" spans="1:34" ht="13">
      <c r="A42" s="224" t="s">
        <v>88</v>
      </c>
      <c r="B42" s="108">
        <f>B41*0.04</f>
        <v>3040</v>
      </c>
      <c r="C42" s="87">
        <v>1</v>
      </c>
      <c r="D42" s="52">
        <f>C42*B42</f>
        <v>3040</v>
      </c>
      <c r="E42" s="87">
        <v>0</v>
      </c>
      <c r="F42" s="52">
        <f>E42*$B$40</f>
        <v>0</v>
      </c>
      <c r="G42" s="87">
        <v>0</v>
      </c>
      <c r="H42" s="52">
        <f t="shared" si="14"/>
        <v>0</v>
      </c>
      <c r="I42" s="87">
        <v>0</v>
      </c>
      <c r="J42" s="52">
        <f>I42*$B$40</f>
        <v>0</v>
      </c>
      <c r="K42" s="87">
        <v>0</v>
      </c>
      <c r="L42" s="52">
        <f>K42*$B$40</f>
        <v>0</v>
      </c>
      <c r="M42" s="87">
        <v>0</v>
      </c>
      <c r="N42" s="52">
        <f>M42*$B$40</f>
        <v>0</v>
      </c>
      <c r="O42" s="87">
        <v>0</v>
      </c>
      <c r="P42" s="52">
        <f>O42*$B$40</f>
        <v>0</v>
      </c>
      <c r="Q42" s="87">
        <v>0</v>
      </c>
      <c r="R42" s="52">
        <f>Q42*$B$40</f>
        <v>0</v>
      </c>
      <c r="S42" s="87">
        <v>0</v>
      </c>
      <c r="T42" s="52">
        <f>S42*$B$40</f>
        <v>0</v>
      </c>
      <c r="U42" s="87">
        <v>0</v>
      </c>
      <c r="V42" s="52">
        <f>U42*$B$40</f>
        <v>0</v>
      </c>
      <c r="W42" s="87">
        <v>0</v>
      </c>
      <c r="X42" s="52">
        <f>W42*$B$40</f>
        <v>0</v>
      </c>
      <c r="Y42" s="87">
        <v>0</v>
      </c>
      <c r="Z42" s="52">
        <f>Y42*$B$40</f>
        <v>0</v>
      </c>
      <c r="AA42" s="87">
        <v>0</v>
      </c>
      <c r="AB42" s="37">
        <f t="shared" si="11"/>
        <v>0</v>
      </c>
      <c r="AC42" s="87">
        <v>0</v>
      </c>
      <c r="AD42" s="52">
        <f>AC42*$B$40</f>
        <v>0</v>
      </c>
      <c r="AE42" s="88">
        <f t="shared" si="13"/>
        <v>1</v>
      </c>
      <c r="AF42" s="121">
        <f t="shared" si="2"/>
        <v>3040</v>
      </c>
      <c r="AH42" s="202" t="s">
        <v>89</v>
      </c>
    </row>
    <row r="43" spans="1:34" ht="13">
      <c r="A43" s="225" t="s">
        <v>80</v>
      </c>
      <c r="B43" s="108">
        <f>B41*0.02</f>
        <v>1520</v>
      </c>
      <c r="C43" s="87">
        <v>1</v>
      </c>
      <c r="D43" s="52">
        <f>C43*B43</f>
        <v>1520</v>
      </c>
      <c r="E43" s="87">
        <v>0</v>
      </c>
      <c r="F43" s="52">
        <f>E43*$B$40</f>
        <v>0</v>
      </c>
      <c r="G43" s="87">
        <v>0</v>
      </c>
      <c r="H43" s="52">
        <f t="shared" si="14"/>
        <v>0</v>
      </c>
      <c r="I43" s="87">
        <v>0</v>
      </c>
      <c r="J43" s="52">
        <f>I43*$B$40</f>
        <v>0</v>
      </c>
      <c r="K43" s="87">
        <v>0</v>
      </c>
      <c r="L43" s="52">
        <f>K43*$B$40</f>
        <v>0</v>
      </c>
      <c r="M43" s="87">
        <v>0</v>
      </c>
      <c r="N43" s="52">
        <f>M43*$B$40</f>
        <v>0</v>
      </c>
      <c r="O43" s="87">
        <v>0</v>
      </c>
      <c r="P43" s="52">
        <f>O43*$B$40</f>
        <v>0</v>
      </c>
      <c r="Q43" s="87">
        <v>0</v>
      </c>
      <c r="R43" s="52">
        <f>Q43*$B$40</f>
        <v>0</v>
      </c>
      <c r="S43" s="87">
        <v>0</v>
      </c>
      <c r="T43" s="52">
        <f>S43*$B$40</f>
        <v>0</v>
      </c>
      <c r="U43" s="87">
        <v>0</v>
      </c>
      <c r="V43" s="52">
        <f>U43*$B$40</f>
        <v>0</v>
      </c>
      <c r="W43" s="87">
        <v>0</v>
      </c>
      <c r="X43" s="52">
        <f>W43*$B$40</f>
        <v>0</v>
      </c>
      <c r="Y43" s="87">
        <v>0</v>
      </c>
      <c r="Z43" s="52">
        <f>Y43*$B$40</f>
        <v>0</v>
      </c>
      <c r="AA43" s="87">
        <v>0</v>
      </c>
      <c r="AB43" s="37">
        <f t="shared" si="11"/>
        <v>0</v>
      </c>
      <c r="AC43" s="87">
        <v>0</v>
      </c>
      <c r="AD43" s="52">
        <f>AC43*$B$40</f>
        <v>0</v>
      </c>
      <c r="AE43" s="88">
        <f t="shared" si="13"/>
        <v>1</v>
      </c>
      <c r="AF43" s="121">
        <f t="shared" si="2"/>
        <v>1520</v>
      </c>
      <c r="AH43" s="202" t="s">
        <v>81</v>
      </c>
    </row>
    <row r="44" spans="1:34" ht="14" thickBot="1">
      <c r="A44" s="109"/>
      <c r="B44" s="110"/>
      <c r="C44" s="87"/>
      <c r="D44" s="52"/>
      <c r="E44" s="87"/>
      <c r="F44" s="52"/>
      <c r="G44" s="87"/>
      <c r="H44" s="52"/>
      <c r="I44" s="87"/>
      <c r="J44" s="52"/>
      <c r="K44" s="87"/>
      <c r="L44" s="52"/>
      <c r="M44" s="87"/>
      <c r="N44" s="52"/>
      <c r="O44" s="87"/>
      <c r="P44" s="52"/>
      <c r="Q44" s="87"/>
      <c r="R44" s="52"/>
      <c r="S44" s="87"/>
      <c r="T44" s="52"/>
      <c r="U44" s="87"/>
      <c r="V44" s="52"/>
      <c r="W44" s="87"/>
      <c r="X44" s="52"/>
      <c r="Y44" s="87"/>
      <c r="Z44" s="52"/>
      <c r="AA44" s="87"/>
      <c r="AB44" s="52"/>
      <c r="AC44" s="87"/>
      <c r="AD44" s="52"/>
      <c r="AE44" s="88"/>
      <c r="AF44" s="121"/>
      <c r="AH44" s="119"/>
    </row>
    <row r="45" spans="1:34" ht="13.5" hidden="1" customHeight="1" thickBot="1">
      <c r="A45" s="111"/>
      <c r="B45" s="112">
        <v>0</v>
      </c>
      <c r="C45" s="93">
        <v>0</v>
      </c>
      <c r="D45" s="113">
        <f>+C45*B45</f>
        <v>0</v>
      </c>
      <c r="E45" s="93">
        <v>0</v>
      </c>
      <c r="F45" s="113">
        <f>+E45*B45</f>
        <v>0</v>
      </c>
      <c r="G45" s="93">
        <v>0</v>
      </c>
      <c r="H45" s="113">
        <f>+G45*B45</f>
        <v>0</v>
      </c>
      <c r="I45" s="93">
        <v>0</v>
      </c>
      <c r="J45" s="56">
        <f>SUM($B45*I45)</f>
        <v>0</v>
      </c>
      <c r="K45" s="114">
        <v>0</v>
      </c>
      <c r="L45" s="56">
        <f>SUM($B45*K45)</f>
        <v>0</v>
      </c>
      <c r="M45" s="114">
        <v>0</v>
      </c>
      <c r="N45" s="56">
        <f>SUM($B45*M45)</f>
        <v>0</v>
      </c>
      <c r="O45" s="114">
        <v>0</v>
      </c>
      <c r="P45" s="56">
        <f>SUM($B45*O45)</f>
        <v>0</v>
      </c>
      <c r="Q45" s="114">
        <v>0</v>
      </c>
      <c r="R45" s="56">
        <f>SUM($B45*Q45)</f>
        <v>0</v>
      </c>
      <c r="S45" s="114">
        <v>0</v>
      </c>
      <c r="T45" s="56">
        <f>SUM($B45*S45)</f>
        <v>0</v>
      </c>
      <c r="U45" s="114">
        <v>0</v>
      </c>
      <c r="V45" s="56">
        <f>SUM($B45*U45)</f>
        <v>0</v>
      </c>
      <c r="W45" s="114">
        <v>0</v>
      </c>
      <c r="X45" s="56">
        <f>SUM($B45*W45)</f>
        <v>0</v>
      </c>
      <c r="Y45" s="114">
        <v>0</v>
      </c>
      <c r="Z45" s="56">
        <f>SUM($B45*Y45)</f>
        <v>0</v>
      </c>
      <c r="AA45" s="93">
        <v>0</v>
      </c>
      <c r="AB45" s="113">
        <f>+AA45*V45</f>
        <v>0</v>
      </c>
      <c r="AC45" s="93">
        <v>0</v>
      </c>
      <c r="AD45" s="113">
        <f>+AC45*X45</f>
        <v>0</v>
      </c>
      <c r="AE45" s="88">
        <f t="shared" si="13"/>
        <v>0</v>
      </c>
      <c r="AF45" s="121">
        <f t="shared" si="2"/>
        <v>0</v>
      </c>
      <c r="AH45" s="119"/>
    </row>
    <row r="46" spans="1:34" ht="13">
      <c r="A46" s="130" t="s">
        <v>40</v>
      </c>
      <c r="B46" s="131"/>
      <c r="C46" s="132"/>
      <c r="D46" s="133"/>
      <c r="E46" s="132"/>
      <c r="F46" s="133"/>
      <c r="G46" s="132"/>
      <c r="H46" s="133"/>
      <c r="I46" s="132"/>
      <c r="J46" s="133"/>
      <c r="K46" s="134"/>
      <c r="L46" s="133"/>
      <c r="M46" s="134"/>
      <c r="N46" s="133"/>
      <c r="O46" s="134"/>
      <c r="P46" s="133"/>
      <c r="Q46" s="134"/>
      <c r="R46" s="133"/>
      <c r="S46" s="134"/>
      <c r="T46" s="133"/>
      <c r="U46" s="134"/>
      <c r="V46" s="133"/>
      <c r="W46" s="134"/>
      <c r="X46" s="133"/>
      <c r="Y46" s="134"/>
      <c r="Z46" s="133"/>
      <c r="AA46" s="132"/>
      <c r="AB46" s="133"/>
      <c r="AC46" s="132"/>
      <c r="AD46" s="133"/>
      <c r="AE46" s="88">
        <f t="shared" si="13"/>
        <v>0</v>
      </c>
      <c r="AF46" s="121">
        <f t="shared" si="2"/>
        <v>0</v>
      </c>
      <c r="AH46" s="119"/>
    </row>
    <row r="47" spans="1:34" ht="18.75" customHeight="1">
      <c r="A47" s="135" t="s">
        <v>41</v>
      </c>
      <c r="B47" s="215"/>
      <c r="C47" s="136">
        <v>1</v>
      </c>
      <c r="D47" s="137">
        <f>C47*$B$47</f>
        <v>0</v>
      </c>
      <c r="E47" s="136">
        <v>0</v>
      </c>
      <c r="F47" s="137">
        <f>E47*$B$47</f>
        <v>0</v>
      </c>
      <c r="G47" s="136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8">
        <v>0</v>
      </c>
      <c r="X47" s="137">
        <f>W47*$B$47</f>
        <v>0</v>
      </c>
      <c r="Y47" s="138">
        <v>0</v>
      </c>
      <c r="Z47" s="137">
        <f>Y47*$B$47</f>
        <v>0</v>
      </c>
      <c r="AA47" s="136">
        <v>0</v>
      </c>
      <c r="AB47" s="137">
        <f>AA47*$B$47</f>
        <v>0</v>
      </c>
      <c r="AC47" s="136">
        <v>0</v>
      </c>
      <c r="AD47" s="137">
        <f>AC47*$B$47</f>
        <v>0</v>
      </c>
      <c r="AE47" s="129">
        <f t="shared" si="13"/>
        <v>1</v>
      </c>
      <c r="AF47" s="121">
        <f t="shared" si="2"/>
        <v>0</v>
      </c>
      <c r="AH47" s="119"/>
    </row>
    <row r="48" spans="1:34" ht="18.75" hidden="1" customHeight="1">
      <c r="A48" s="135"/>
      <c r="B48" s="215"/>
      <c r="C48" s="136">
        <v>1</v>
      </c>
      <c r="D48" s="137">
        <f>C48*B48</f>
        <v>0</v>
      </c>
      <c r="E48" s="136">
        <v>0</v>
      </c>
      <c r="F48" s="137">
        <f>E48*$B$48</f>
        <v>0</v>
      </c>
      <c r="G48" s="136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U48*$B$47</f>
        <v>0</v>
      </c>
      <c r="W48" s="138">
        <v>0</v>
      </c>
      <c r="X48" s="137">
        <f>W48*$B$47</f>
        <v>0</v>
      </c>
      <c r="Y48" s="138">
        <v>0</v>
      </c>
      <c r="Z48" s="137">
        <f>Y48*$B$47</f>
        <v>0</v>
      </c>
      <c r="AA48" s="136">
        <v>0</v>
      </c>
      <c r="AB48" s="137">
        <f>AA48*$B$48</f>
        <v>0</v>
      </c>
      <c r="AC48" s="136">
        <v>0</v>
      </c>
      <c r="AD48" s="137">
        <f>AC48*$B$48</f>
        <v>0</v>
      </c>
      <c r="AE48" s="129">
        <f t="shared" si="13"/>
        <v>1</v>
      </c>
      <c r="AF48" s="121">
        <f t="shared" si="2"/>
        <v>0</v>
      </c>
      <c r="AH48" s="119"/>
    </row>
    <row r="49" spans="1:37" ht="18.75" hidden="1" customHeight="1">
      <c r="A49" s="135"/>
      <c r="B49" s="215"/>
      <c r="C49" s="136">
        <v>0</v>
      </c>
      <c r="D49" s="137">
        <f>C49*B49</f>
        <v>0</v>
      </c>
      <c r="E49" s="136">
        <v>1</v>
      </c>
      <c r="F49" s="137">
        <f>E49*$B$49</f>
        <v>0</v>
      </c>
      <c r="G49" s="136">
        <v>0</v>
      </c>
      <c r="H49" s="137">
        <f>G49*$B$49</f>
        <v>0</v>
      </c>
      <c r="I49" s="138">
        <v>0</v>
      </c>
      <c r="J49" s="137">
        <f>I49*$B$49</f>
        <v>0</v>
      </c>
      <c r="K49" s="138">
        <v>0</v>
      </c>
      <c r="L49" s="137">
        <f>K49*$B$49</f>
        <v>0</v>
      </c>
      <c r="M49" s="138">
        <v>0</v>
      </c>
      <c r="N49" s="137">
        <f>M49*$B$49</f>
        <v>0</v>
      </c>
      <c r="O49" s="138">
        <v>0</v>
      </c>
      <c r="P49" s="137">
        <f>O49*$B$49</f>
        <v>0</v>
      </c>
      <c r="Q49" s="138">
        <v>0</v>
      </c>
      <c r="R49" s="137">
        <f>Q49*$B$49</f>
        <v>0</v>
      </c>
      <c r="S49" s="138">
        <v>0</v>
      </c>
      <c r="T49" s="137">
        <f>S49*$B$49</f>
        <v>0</v>
      </c>
      <c r="U49" s="138">
        <v>0</v>
      </c>
      <c r="V49" s="137">
        <f>U49*$B$49</f>
        <v>0</v>
      </c>
      <c r="W49" s="138">
        <v>0</v>
      </c>
      <c r="X49" s="137">
        <f>W49*$B$49</f>
        <v>0</v>
      </c>
      <c r="Y49" s="138">
        <v>0</v>
      </c>
      <c r="Z49" s="137">
        <f>Y49*$B$49</f>
        <v>0</v>
      </c>
      <c r="AA49" s="136">
        <v>0</v>
      </c>
      <c r="AB49" s="137">
        <f>AA49*$B$49</f>
        <v>0</v>
      </c>
      <c r="AC49" s="136">
        <v>0</v>
      </c>
      <c r="AD49" s="137">
        <f>AC49*$B$49</f>
        <v>0</v>
      </c>
      <c r="AE49" s="129">
        <f t="shared" si="13"/>
        <v>1</v>
      </c>
      <c r="AF49" s="121">
        <f t="shared" si="2"/>
        <v>0</v>
      </c>
      <c r="AH49" s="119"/>
    </row>
    <row r="50" spans="1:37" ht="18.75" hidden="1" customHeight="1">
      <c r="A50" s="135"/>
      <c r="B50" s="215"/>
      <c r="C50" s="136">
        <v>0</v>
      </c>
      <c r="D50" s="137">
        <f>C50*$B$50</f>
        <v>0</v>
      </c>
      <c r="E50" s="136">
        <v>0</v>
      </c>
      <c r="F50" s="137">
        <f>E50*$B$50</f>
        <v>0</v>
      </c>
      <c r="G50" s="136">
        <v>1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8">
        <v>0</v>
      </c>
      <c r="X50" s="137">
        <f>W50*$B$50</f>
        <v>0</v>
      </c>
      <c r="Y50" s="138">
        <v>0</v>
      </c>
      <c r="Z50" s="137">
        <f>Y50*$B$50</f>
        <v>0</v>
      </c>
      <c r="AA50" s="136">
        <v>1</v>
      </c>
      <c r="AB50" s="137">
        <f>AA50*$B$50</f>
        <v>0</v>
      </c>
      <c r="AC50" s="136">
        <v>1</v>
      </c>
      <c r="AD50" s="137">
        <f>AC50*$B$50</f>
        <v>0</v>
      </c>
      <c r="AE50" s="129">
        <f t="shared" si="13"/>
        <v>2</v>
      </c>
      <c r="AF50" s="121">
        <f t="shared" si="2"/>
        <v>0</v>
      </c>
      <c r="AH50" s="119"/>
    </row>
    <row r="51" spans="1:37" ht="13">
      <c r="A51" s="135" t="s">
        <v>44</v>
      </c>
      <c r="B51" s="215"/>
      <c r="C51" s="136">
        <v>0</v>
      </c>
      <c r="D51" s="137">
        <f>C51*$B$51</f>
        <v>0</v>
      </c>
      <c r="E51" s="136">
        <v>1</v>
      </c>
      <c r="F51" s="137">
        <f>E51*B51</f>
        <v>0</v>
      </c>
      <c r="G51" s="136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8">
        <v>0</v>
      </c>
      <c r="X51" s="137">
        <f>W51*$B$50</f>
        <v>0</v>
      </c>
      <c r="Y51" s="138">
        <v>0</v>
      </c>
      <c r="Z51" s="137">
        <f>Y51*$B$50</f>
        <v>0</v>
      </c>
      <c r="AA51" s="136">
        <v>0</v>
      </c>
      <c r="AB51" s="137">
        <f>AA51*$B$50</f>
        <v>0</v>
      </c>
      <c r="AC51" s="136">
        <v>0</v>
      </c>
      <c r="AD51" s="137">
        <f>AC51*$B$50</f>
        <v>0</v>
      </c>
      <c r="AE51" s="129">
        <f t="shared" si="13"/>
        <v>1</v>
      </c>
      <c r="AF51" s="121">
        <f t="shared" si="2"/>
        <v>0</v>
      </c>
      <c r="AH51" s="119"/>
      <c r="AK51" s="119"/>
    </row>
    <row r="52" spans="1:37" ht="15" hidden="1" customHeight="1">
      <c r="A52" s="135"/>
      <c r="B52" s="215"/>
      <c r="C52" s="136">
        <v>0</v>
      </c>
      <c r="D52" s="137">
        <f>C52*$B$52</f>
        <v>0</v>
      </c>
      <c r="E52" s="136">
        <v>0</v>
      </c>
      <c r="F52" s="137">
        <f>E52*$B$52</f>
        <v>0</v>
      </c>
      <c r="G52" s="136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8">
        <v>0</v>
      </c>
      <c r="X52" s="137">
        <f>W52*$B$52</f>
        <v>0</v>
      </c>
      <c r="Y52" s="138">
        <v>0</v>
      </c>
      <c r="Z52" s="137">
        <f>Y52*$B$52</f>
        <v>0</v>
      </c>
      <c r="AA52" s="136">
        <v>0</v>
      </c>
      <c r="AB52" s="137">
        <f>AA52*$B$52</f>
        <v>0</v>
      </c>
      <c r="AC52" s="136">
        <v>0</v>
      </c>
      <c r="AD52" s="137">
        <f>AC52*$B$52</f>
        <v>0</v>
      </c>
      <c r="AE52" s="129">
        <f t="shared" si="13"/>
        <v>0</v>
      </c>
      <c r="AF52" s="121">
        <f t="shared" si="2"/>
        <v>0</v>
      </c>
      <c r="AH52" s="119"/>
    </row>
    <row r="53" spans="1:37" ht="15" hidden="1" customHeight="1">
      <c r="A53" s="135"/>
      <c r="B53" s="215"/>
      <c r="C53" s="136">
        <v>0</v>
      </c>
      <c r="D53" s="137">
        <f>C53*$B$53</f>
        <v>0</v>
      </c>
      <c r="E53" s="136">
        <v>0</v>
      </c>
      <c r="F53" s="137">
        <f>E53*$B$52</f>
        <v>0</v>
      </c>
      <c r="G53" s="136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8">
        <v>0</v>
      </c>
      <c r="X53" s="137">
        <f>W53*$B$52</f>
        <v>0</v>
      </c>
      <c r="Y53" s="138">
        <v>0</v>
      </c>
      <c r="Z53" s="137">
        <f>Y53*$B$52</f>
        <v>0</v>
      </c>
      <c r="AA53" s="136">
        <v>0</v>
      </c>
      <c r="AB53" s="137">
        <f>AA53*$B$52</f>
        <v>0</v>
      </c>
      <c r="AC53" s="136">
        <v>0</v>
      </c>
      <c r="AD53" s="137">
        <f>AC53*$B$52</f>
        <v>0</v>
      </c>
      <c r="AE53" s="129">
        <f t="shared" si="13"/>
        <v>0</v>
      </c>
      <c r="AF53" s="121">
        <f t="shared" si="2"/>
        <v>0</v>
      </c>
      <c r="AH53" s="119"/>
    </row>
    <row r="54" spans="1:37" ht="15" hidden="1" customHeight="1">
      <c r="A54" s="135"/>
      <c r="B54" s="215"/>
      <c r="C54" s="136">
        <v>0</v>
      </c>
      <c r="D54" s="137">
        <f>C54*$B$54</f>
        <v>0</v>
      </c>
      <c r="E54" s="136">
        <v>0</v>
      </c>
      <c r="F54" s="137">
        <f>E54*$B$54</f>
        <v>0</v>
      </c>
      <c r="G54" s="136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8">
        <v>0</v>
      </c>
      <c r="X54" s="137">
        <f>W54*$B$54</f>
        <v>0</v>
      </c>
      <c r="Y54" s="138">
        <v>0</v>
      </c>
      <c r="Z54" s="137">
        <f>Y54*$B$54</f>
        <v>0</v>
      </c>
      <c r="AA54" s="136">
        <v>0</v>
      </c>
      <c r="AB54" s="137">
        <f>AA54*$B$54</f>
        <v>0</v>
      </c>
      <c r="AC54" s="136">
        <v>0</v>
      </c>
      <c r="AD54" s="137">
        <f>AC54*$B$54</f>
        <v>0</v>
      </c>
      <c r="AE54" s="129">
        <f t="shared" si="13"/>
        <v>0</v>
      </c>
      <c r="AF54" s="121">
        <f t="shared" si="2"/>
        <v>0</v>
      </c>
      <c r="AH54" s="119"/>
    </row>
    <row r="55" spans="1:37" ht="15" hidden="1" customHeight="1">
      <c r="A55" s="139"/>
      <c r="B55" s="215"/>
      <c r="C55" s="136">
        <v>0</v>
      </c>
      <c r="D55" s="137">
        <f>C55*$B$55</f>
        <v>0</v>
      </c>
      <c r="E55" s="136">
        <v>0</v>
      </c>
      <c r="F55" s="137">
        <f>E55*$B$54</f>
        <v>0</v>
      </c>
      <c r="G55" s="136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8">
        <v>0</v>
      </c>
      <c r="X55" s="137">
        <f>W55*$B$54</f>
        <v>0</v>
      </c>
      <c r="Y55" s="138">
        <v>0</v>
      </c>
      <c r="Z55" s="137">
        <f>Y55*$B$54</f>
        <v>0</v>
      </c>
      <c r="AA55" s="136">
        <v>0</v>
      </c>
      <c r="AB55" s="137">
        <f>AA55*$B$54</f>
        <v>0</v>
      </c>
      <c r="AC55" s="136">
        <v>0</v>
      </c>
      <c r="AD55" s="137">
        <f>AC55*$B$54</f>
        <v>0</v>
      </c>
      <c r="AE55" s="129">
        <f t="shared" si="13"/>
        <v>0</v>
      </c>
      <c r="AF55" s="121">
        <f t="shared" si="2"/>
        <v>0</v>
      </c>
      <c r="AH55" s="119"/>
    </row>
    <row r="56" spans="1:37" ht="15" hidden="1" customHeight="1">
      <c r="A56" s="139"/>
      <c r="B56" s="215"/>
      <c r="C56" s="136">
        <v>0</v>
      </c>
      <c r="D56" s="137">
        <f>C56*$B$56</f>
        <v>0</v>
      </c>
      <c r="E56" s="136">
        <v>0</v>
      </c>
      <c r="F56" s="137">
        <f>E56*$B$56</f>
        <v>0</v>
      </c>
      <c r="G56" s="136">
        <v>0</v>
      </c>
      <c r="H56" s="137">
        <f>G56*$B$56</f>
        <v>0</v>
      </c>
      <c r="I56" s="138">
        <v>0</v>
      </c>
      <c r="J56" s="137">
        <f>I56*$B$56</f>
        <v>0</v>
      </c>
      <c r="K56" s="138">
        <v>0</v>
      </c>
      <c r="L56" s="137">
        <f>K56*$B$56</f>
        <v>0</v>
      </c>
      <c r="M56" s="138">
        <v>0</v>
      </c>
      <c r="N56" s="137">
        <f>M56*$B$56</f>
        <v>0</v>
      </c>
      <c r="O56" s="138">
        <v>0</v>
      </c>
      <c r="P56" s="137">
        <f>O56*$B$56</f>
        <v>0</v>
      </c>
      <c r="Q56" s="138">
        <v>0</v>
      </c>
      <c r="R56" s="137">
        <f>Q56*$B$56</f>
        <v>0</v>
      </c>
      <c r="S56" s="138">
        <v>0</v>
      </c>
      <c r="T56" s="137">
        <f>S56*$B$56</f>
        <v>0</v>
      </c>
      <c r="U56" s="138">
        <v>0</v>
      </c>
      <c r="V56" s="137">
        <f>U56*$B$56</f>
        <v>0</v>
      </c>
      <c r="W56" s="138">
        <v>0</v>
      </c>
      <c r="X56" s="137">
        <f>W56*$B$56</f>
        <v>0</v>
      </c>
      <c r="Y56" s="138">
        <v>0</v>
      </c>
      <c r="Z56" s="137">
        <f>Y56*$B$56</f>
        <v>0</v>
      </c>
      <c r="AA56" s="136">
        <v>0</v>
      </c>
      <c r="AB56" s="137">
        <f>AA56*$B$56</f>
        <v>0</v>
      </c>
      <c r="AC56" s="136">
        <v>0</v>
      </c>
      <c r="AD56" s="137">
        <f>AC56*$B$56</f>
        <v>0</v>
      </c>
      <c r="AE56" s="129">
        <f t="shared" si="13"/>
        <v>0</v>
      </c>
      <c r="AF56" s="121">
        <f t="shared" si="2"/>
        <v>0</v>
      </c>
      <c r="AH56" s="119"/>
    </row>
    <row r="57" spans="1:37" ht="15" hidden="1" customHeight="1">
      <c r="A57" s="139"/>
      <c r="B57" s="215"/>
      <c r="C57" s="136">
        <v>0</v>
      </c>
      <c r="D57" s="137">
        <f>C57*$B$56</f>
        <v>0</v>
      </c>
      <c r="E57" s="136">
        <v>0</v>
      </c>
      <c r="F57" s="137">
        <f>E57*$B$56</f>
        <v>0</v>
      </c>
      <c r="G57" s="136">
        <v>0</v>
      </c>
      <c r="H57" s="137">
        <f>G57*$B$56</f>
        <v>0</v>
      </c>
      <c r="I57" s="138">
        <v>0</v>
      </c>
      <c r="J57" s="137">
        <f>I57*$B$56</f>
        <v>0</v>
      </c>
      <c r="K57" s="138">
        <v>0</v>
      </c>
      <c r="L57" s="137">
        <f>K57*$B$56</f>
        <v>0</v>
      </c>
      <c r="M57" s="138">
        <v>0</v>
      </c>
      <c r="N57" s="137">
        <f>M57*$B$56</f>
        <v>0</v>
      </c>
      <c r="O57" s="138">
        <v>0</v>
      </c>
      <c r="P57" s="137">
        <f>O57*$B$56</f>
        <v>0</v>
      </c>
      <c r="Q57" s="138">
        <v>0</v>
      </c>
      <c r="R57" s="137">
        <f>Q57*$B$56</f>
        <v>0</v>
      </c>
      <c r="S57" s="138">
        <v>0</v>
      </c>
      <c r="T57" s="137">
        <f>S57*$B$56</f>
        <v>0</v>
      </c>
      <c r="U57" s="138">
        <v>0</v>
      </c>
      <c r="V57" s="137">
        <f>U57*$B$56</f>
        <v>0</v>
      </c>
      <c r="W57" s="138">
        <v>0</v>
      </c>
      <c r="X57" s="137">
        <f>W57*$B$56</f>
        <v>0</v>
      </c>
      <c r="Y57" s="138">
        <v>0</v>
      </c>
      <c r="Z57" s="137">
        <f>Y57*$B$56</f>
        <v>0</v>
      </c>
      <c r="AA57" s="136">
        <v>0</v>
      </c>
      <c r="AB57" s="137">
        <f>AA57*$B$56</f>
        <v>0</v>
      </c>
      <c r="AC57" s="136">
        <v>0</v>
      </c>
      <c r="AD57" s="137">
        <f>AC57*$B$56</f>
        <v>0</v>
      </c>
      <c r="AE57" s="129">
        <f t="shared" si="13"/>
        <v>0</v>
      </c>
      <c r="AF57" s="121">
        <f t="shared" si="2"/>
        <v>0</v>
      </c>
      <c r="AH57" s="119"/>
    </row>
    <row r="58" spans="1:37" ht="15" hidden="1" customHeight="1">
      <c r="A58" s="139"/>
      <c r="B58" s="215"/>
      <c r="C58" s="136">
        <v>0</v>
      </c>
      <c r="D58" s="137">
        <f>C58*$B$58</f>
        <v>0</v>
      </c>
      <c r="E58" s="136">
        <v>0</v>
      </c>
      <c r="F58" s="137">
        <f>E58*$B$54</f>
        <v>0</v>
      </c>
      <c r="G58" s="136">
        <v>0</v>
      </c>
      <c r="H58" s="137">
        <f>G58*$B$54</f>
        <v>0</v>
      </c>
      <c r="I58" s="138">
        <v>0</v>
      </c>
      <c r="J58" s="137">
        <f>I58*$B$54</f>
        <v>0</v>
      </c>
      <c r="K58" s="138">
        <v>0</v>
      </c>
      <c r="L58" s="137">
        <f>K58*$B$54</f>
        <v>0</v>
      </c>
      <c r="M58" s="138">
        <v>0</v>
      </c>
      <c r="N58" s="137">
        <f>M58*$B$54</f>
        <v>0</v>
      </c>
      <c r="O58" s="138">
        <v>0</v>
      </c>
      <c r="P58" s="137">
        <f>O58*$B$54</f>
        <v>0</v>
      </c>
      <c r="Q58" s="138">
        <v>0</v>
      </c>
      <c r="R58" s="137">
        <f>Q58*$B$54</f>
        <v>0</v>
      </c>
      <c r="S58" s="138">
        <v>0</v>
      </c>
      <c r="T58" s="137">
        <f>S58*$B$54</f>
        <v>0</v>
      </c>
      <c r="U58" s="138">
        <v>0</v>
      </c>
      <c r="V58" s="137">
        <f>U58*$B$54</f>
        <v>0</v>
      </c>
      <c r="W58" s="138">
        <v>0</v>
      </c>
      <c r="X58" s="137">
        <f>W58*$B$54</f>
        <v>0</v>
      </c>
      <c r="Y58" s="138">
        <v>0</v>
      </c>
      <c r="Z58" s="137">
        <f>Y58*$B$54</f>
        <v>0</v>
      </c>
      <c r="AA58" s="136">
        <v>0</v>
      </c>
      <c r="AB58" s="137">
        <f>AA58*$B$54</f>
        <v>0</v>
      </c>
      <c r="AC58" s="136">
        <v>0</v>
      </c>
      <c r="AD58" s="137">
        <f>AC58*$B$54</f>
        <v>0</v>
      </c>
      <c r="AE58" s="129">
        <f t="shared" si="13"/>
        <v>0</v>
      </c>
      <c r="AF58" s="121">
        <f t="shared" si="2"/>
        <v>0</v>
      </c>
      <c r="AH58" s="119"/>
    </row>
    <row r="59" spans="1:37" ht="15" hidden="1" customHeight="1">
      <c r="A59" s="139"/>
      <c r="B59" s="215"/>
      <c r="C59" s="136">
        <v>0</v>
      </c>
      <c r="D59" s="137">
        <f>C59*$B$59</f>
        <v>0</v>
      </c>
      <c r="E59" s="136">
        <v>0</v>
      </c>
      <c r="F59" s="137">
        <f>E59*$B$59</f>
        <v>0</v>
      </c>
      <c r="G59" s="136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8">
        <v>0</v>
      </c>
      <c r="X59" s="137">
        <f>W59*$B$59</f>
        <v>0</v>
      </c>
      <c r="Y59" s="138">
        <v>0</v>
      </c>
      <c r="Z59" s="137">
        <f>Y59*$B$59</f>
        <v>0</v>
      </c>
      <c r="AA59" s="136">
        <v>0</v>
      </c>
      <c r="AB59" s="137">
        <f>AA59*$B$59</f>
        <v>0</v>
      </c>
      <c r="AC59" s="136">
        <v>0</v>
      </c>
      <c r="AD59" s="137">
        <f>AC59*$B$59</f>
        <v>0</v>
      </c>
      <c r="AE59" s="129">
        <f t="shared" si="13"/>
        <v>0</v>
      </c>
      <c r="AF59" s="121">
        <f t="shared" si="2"/>
        <v>0</v>
      </c>
      <c r="AH59" s="119"/>
    </row>
    <row r="60" spans="1:37" ht="15" hidden="1" customHeight="1">
      <c r="A60" s="139"/>
      <c r="B60" s="215"/>
      <c r="C60" s="136">
        <v>0</v>
      </c>
      <c r="D60" s="137">
        <f>C60*$B$60</f>
        <v>0</v>
      </c>
      <c r="E60" s="136">
        <v>0</v>
      </c>
      <c r="F60" s="137">
        <f>E60*$B$59</f>
        <v>0</v>
      </c>
      <c r="G60" s="136">
        <v>0</v>
      </c>
      <c r="H60" s="137">
        <f>G60*$B$59</f>
        <v>0</v>
      </c>
      <c r="I60" s="138">
        <v>0</v>
      </c>
      <c r="J60" s="137">
        <f>I60*$B$59</f>
        <v>0</v>
      </c>
      <c r="K60" s="138">
        <v>0</v>
      </c>
      <c r="L60" s="137">
        <f>K60*$B$59</f>
        <v>0</v>
      </c>
      <c r="M60" s="138">
        <v>0</v>
      </c>
      <c r="N60" s="137">
        <f>M60*$B$59</f>
        <v>0</v>
      </c>
      <c r="O60" s="138">
        <v>0</v>
      </c>
      <c r="P60" s="137">
        <f>O60*$B$59</f>
        <v>0</v>
      </c>
      <c r="Q60" s="138">
        <v>0</v>
      </c>
      <c r="R60" s="137">
        <f>Q60*$B$59</f>
        <v>0</v>
      </c>
      <c r="S60" s="138">
        <v>0</v>
      </c>
      <c r="T60" s="137">
        <f>S60*$B$59</f>
        <v>0</v>
      </c>
      <c r="U60" s="138">
        <v>0</v>
      </c>
      <c r="V60" s="137">
        <f>U60*$B$59</f>
        <v>0</v>
      </c>
      <c r="W60" s="138">
        <v>0</v>
      </c>
      <c r="X60" s="137">
        <f>W60*$B$59</f>
        <v>0</v>
      </c>
      <c r="Y60" s="138">
        <v>0</v>
      </c>
      <c r="Z60" s="137">
        <f>Y60*$B$59</f>
        <v>0</v>
      </c>
      <c r="AA60" s="136">
        <v>0</v>
      </c>
      <c r="AB60" s="137">
        <f>AA60*$B$59</f>
        <v>0</v>
      </c>
      <c r="AC60" s="136">
        <v>0</v>
      </c>
      <c r="AD60" s="137">
        <f>AC60*$B$59</f>
        <v>0</v>
      </c>
      <c r="AE60" s="129">
        <f t="shared" si="13"/>
        <v>0</v>
      </c>
      <c r="AF60" s="121">
        <f t="shared" si="2"/>
        <v>0</v>
      </c>
      <c r="AH60" s="119"/>
    </row>
    <row r="61" spans="1:37" ht="15" hidden="1" customHeight="1">
      <c r="A61" s="139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8">
        <v>0</v>
      </c>
      <c r="J61" s="137">
        <f>I61*$B$61</f>
        <v>0</v>
      </c>
      <c r="K61" s="138">
        <v>0</v>
      </c>
      <c r="L61" s="137">
        <f>K61*$B$61</f>
        <v>0</v>
      </c>
      <c r="M61" s="138">
        <v>0</v>
      </c>
      <c r="N61" s="137">
        <f>M61*$B$61</f>
        <v>0</v>
      </c>
      <c r="O61" s="138">
        <v>0</v>
      </c>
      <c r="P61" s="137">
        <f>O61*$B$61</f>
        <v>0</v>
      </c>
      <c r="Q61" s="138">
        <v>0</v>
      </c>
      <c r="R61" s="137">
        <f>Q61*$B$61</f>
        <v>0</v>
      </c>
      <c r="S61" s="138">
        <v>0</v>
      </c>
      <c r="T61" s="137">
        <f>S61*$B$61</f>
        <v>0</v>
      </c>
      <c r="U61" s="138">
        <v>0</v>
      </c>
      <c r="V61" s="137">
        <f>U61*$B$61</f>
        <v>0</v>
      </c>
      <c r="W61" s="138">
        <v>0</v>
      </c>
      <c r="X61" s="137">
        <f>W61*$B$61</f>
        <v>0</v>
      </c>
      <c r="Y61" s="138">
        <v>0</v>
      </c>
      <c r="Z61" s="137">
        <f>Y61*$B$61</f>
        <v>0</v>
      </c>
      <c r="AA61" s="136">
        <v>0</v>
      </c>
      <c r="AB61" s="137">
        <f>AA61*$B$61</f>
        <v>0</v>
      </c>
      <c r="AC61" s="136">
        <v>0</v>
      </c>
      <c r="AD61" s="137">
        <f>AC61*$B$61</f>
        <v>0</v>
      </c>
      <c r="AE61" s="129">
        <f t="shared" si="13"/>
        <v>0</v>
      </c>
      <c r="AF61" s="121">
        <f t="shared" si="2"/>
        <v>0</v>
      </c>
      <c r="AH61" s="119"/>
    </row>
    <row r="62" spans="1:37" s="1" customFormat="1" ht="15" hidden="1" customHeight="1">
      <c r="A62" s="139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8">
        <v>0</v>
      </c>
      <c r="J62" s="140">
        <f>I62*$B$62</f>
        <v>0</v>
      </c>
      <c r="K62" s="138">
        <v>0</v>
      </c>
      <c r="L62" s="140">
        <f>K62*$B$62</f>
        <v>0</v>
      </c>
      <c r="M62" s="138">
        <v>0</v>
      </c>
      <c r="N62" s="140">
        <f>M62*$B$62</f>
        <v>0</v>
      </c>
      <c r="O62" s="138">
        <v>0</v>
      </c>
      <c r="P62" s="140">
        <f>O62*$B$62</f>
        <v>0</v>
      </c>
      <c r="Q62" s="138">
        <v>0</v>
      </c>
      <c r="R62" s="140">
        <f>Q62*$B$62</f>
        <v>0</v>
      </c>
      <c r="S62" s="138">
        <v>0</v>
      </c>
      <c r="T62" s="140">
        <f>S62*$B$62</f>
        <v>0</v>
      </c>
      <c r="U62" s="138">
        <v>0</v>
      </c>
      <c r="V62" s="140">
        <f>U62*$B$62</f>
        <v>0</v>
      </c>
      <c r="W62" s="138">
        <v>0</v>
      </c>
      <c r="X62" s="140">
        <f>W62*$B$62</f>
        <v>0</v>
      </c>
      <c r="Y62" s="138">
        <v>0</v>
      </c>
      <c r="Z62" s="140">
        <f>Y62*$B$62</f>
        <v>0</v>
      </c>
      <c r="AA62" s="136">
        <v>0</v>
      </c>
      <c r="AB62" s="140">
        <f>AA62*$B$62</f>
        <v>0</v>
      </c>
      <c r="AC62" s="136">
        <v>0</v>
      </c>
      <c r="AD62" s="140">
        <f>AC62*$B$62</f>
        <v>0</v>
      </c>
      <c r="AE62" s="129">
        <f t="shared" si="13"/>
        <v>0</v>
      </c>
      <c r="AF62" s="121">
        <f t="shared" si="2"/>
        <v>0</v>
      </c>
      <c r="AH62" s="119"/>
      <c r="AI62" s="146"/>
    </row>
    <row r="63" spans="1:37" s="1" customFormat="1" ht="15" hidden="1" customHeight="1">
      <c r="A63" s="141"/>
      <c r="B63" s="215"/>
      <c r="C63" s="136">
        <v>0</v>
      </c>
      <c r="D63" s="137">
        <f>C63*$B$63</f>
        <v>0</v>
      </c>
      <c r="E63" s="136">
        <v>0</v>
      </c>
      <c r="F63" s="137">
        <f>E63*$B$63</f>
        <v>0</v>
      </c>
      <c r="G63" s="136">
        <v>0</v>
      </c>
      <c r="H63" s="137">
        <f>G63*$B$63</f>
        <v>0</v>
      </c>
      <c r="I63" s="136">
        <v>0</v>
      </c>
      <c r="J63" s="137">
        <f>I63*$B$63</f>
        <v>0</v>
      </c>
      <c r="K63" s="136">
        <v>0</v>
      </c>
      <c r="L63" s="137">
        <f>K63*$B$63</f>
        <v>0</v>
      </c>
      <c r="M63" s="136">
        <v>0</v>
      </c>
      <c r="N63" s="137">
        <f>M63*$B$63</f>
        <v>0</v>
      </c>
      <c r="O63" s="136">
        <v>0</v>
      </c>
      <c r="P63" s="137">
        <f>O63*$B$63</f>
        <v>0</v>
      </c>
      <c r="Q63" s="136">
        <v>0</v>
      </c>
      <c r="R63" s="137">
        <f>Q63*$B$63</f>
        <v>0</v>
      </c>
      <c r="S63" s="136">
        <v>0</v>
      </c>
      <c r="T63" s="137">
        <f>S63*$B$63</f>
        <v>0</v>
      </c>
      <c r="U63" s="136">
        <v>0</v>
      </c>
      <c r="V63" s="137">
        <f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A63" s="136">
        <v>0</v>
      </c>
      <c r="AB63" s="137">
        <f>AA63*$B$63</f>
        <v>0</v>
      </c>
      <c r="AC63" s="136">
        <v>0</v>
      </c>
      <c r="AD63" s="137">
        <f>AC63*$B$63</f>
        <v>0</v>
      </c>
      <c r="AE63" s="129">
        <f t="shared" si="13"/>
        <v>0</v>
      </c>
      <c r="AF63" s="121">
        <f t="shared" si="2"/>
        <v>0</v>
      </c>
      <c r="AH63" s="119"/>
      <c r="AI63" s="146"/>
    </row>
    <row r="64" spans="1:37" s="1" customFormat="1" ht="15" hidden="1" customHeight="1">
      <c r="A64" s="142"/>
      <c r="B64" s="215"/>
      <c r="C64" s="136">
        <v>0</v>
      </c>
      <c r="D64" s="140">
        <f>C64*$B$64</f>
        <v>0</v>
      </c>
      <c r="E64" s="136">
        <v>0</v>
      </c>
      <c r="F64" s="140">
        <f>E64*$B$64</f>
        <v>0</v>
      </c>
      <c r="G64" s="136">
        <v>0</v>
      </c>
      <c r="H64" s="140">
        <f>G64*$B$64</f>
        <v>0</v>
      </c>
      <c r="I64" s="136">
        <v>0</v>
      </c>
      <c r="J64" s="140">
        <f>I64*$B$64</f>
        <v>0</v>
      </c>
      <c r="K64" s="136">
        <v>0</v>
      </c>
      <c r="L64" s="140">
        <f>K64*$B$64</f>
        <v>0</v>
      </c>
      <c r="M64" s="136">
        <v>0</v>
      </c>
      <c r="N64" s="140">
        <f>M64*$B$64</f>
        <v>0</v>
      </c>
      <c r="O64" s="136">
        <v>0</v>
      </c>
      <c r="P64" s="140">
        <f>O64*$B$64</f>
        <v>0</v>
      </c>
      <c r="Q64" s="136">
        <v>0</v>
      </c>
      <c r="R64" s="140">
        <f>Q64*$B$64</f>
        <v>0</v>
      </c>
      <c r="S64" s="136">
        <v>0</v>
      </c>
      <c r="T64" s="140">
        <f>S64*$B$64</f>
        <v>0</v>
      </c>
      <c r="U64" s="136">
        <v>0</v>
      </c>
      <c r="V64" s="140">
        <f>U64*$B$64</f>
        <v>0</v>
      </c>
      <c r="W64" s="136">
        <v>0</v>
      </c>
      <c r="X64" s="140">
        <f>W64*$B$64</f>
        <v>0</v>
      </c>
      <c r="Y64" s="136">
        <v>0</v>
      </c>
      <c r="Z64" s="140">
        <f>Y64*$B$64</f>
        <v>0</v>
      </c>
      <c r="AA64" s="136">
        <v>0</v>
      </c>
      <c r="AB64" s="140">
        <f>AA64*$B$64</f>
        <v>0</v>
      </c>
      <c r="AC64" s="136">
        <v>0</v>
      </c>
      <c r="AD64" s="140">
        <f>AC64*$B$64</f>
        <v>0</v>
      </c>
      <c r="AE64" s="129">
        <f t="shared" si="13"/>
        <v>0</v>
      </c>
      <c r="AF64" s="121">
        <f t="shared" si="2"/>
        <v>0</v>
      </c>
      <c r="AH64" s="119"/>
      <c r="AI64" s="146"/>
    </row>
    <row r="65" spans="1:37" s="1" customFormat="1" ht="15" hidden="1" customHeight="1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ref="F65:F70" si="15">E65*$B$65</f>
        <v>0</v>
      </c>
      <c r="G65" s="136">
        <v>0</v>
      </c>
      <c r="H65" s="137">
        <f>G65*$B$65</f>
        <v>0</v>
      </c>
      <c r="I65" s="136">
        <v>0</v>
      </c>
      <c r="J65" s="137">
        <f t="shared" ref="J65:J70" si="16">I65*$B$65</f>
        <v>0</v>
      </c>
      <c r="K65" s="136">
        <v>0</v>
      </c>
      <c r="L65" s="137">
        <f t="shared" ref="L65:L70" si="17">K65*$B$65</f>
        <v>0</v>
      </c>
      <c r="M65" s="136">
        <v>0</v>
      </c>
      <c r="N65" s="137">
        <f t="shared" ref="N65:N70" si="18">M65*$B$65</f>
        <v>0</v>
      </c>
      <c r="O65" s="136">
        <v>0</v>
      </c>
      <c r="P65" s="137">
        <f t="shared" ref="P65:P70" si="19">O65*$B$65</f>
        <v>0</v>
      </c>
      <c r="Q65" s="136">
        <v>0</v>
      </c>
      <c r="R65" s="137">
        <f t="shared" ref="R65:R70" si="20">Q65*$B$65</f>
        <v>0</v>
      </c>
      <c r="S65" s="136">
        <v>0</v>
      </c>
      <c r="T65" s="137">
        <f t="shared" ref="T65:T70" si="21">S65*$B$65</f>
        <v>0</v>
      </c>
      <c r="U65" s="136">
        <v>0</v>
      </c>
      <c r="V65" s="137">
        <f t="shared" ref="V65:V70" si="22">U65*$B$65</f>
        <v>0</v>
      </c>
      <c r="W65" s="136">
        <v>0</v>
      </c>
      <c r="X65" s="137">
        <f t="shared" ref="X65:X70" si="23">W65*$B$65</f>
        <v>0</v>
      </c>
      <c r="Y65" s="136">
        <v>0</v>
      </c>
      <c r="Z65" s="137">
        <f t="shared" ref="Z65:Z70" si="24">Y65*$B$65</f>
        <v>0</v>
      </c>
      <c r="AA65" s="136">
        <v>0</v>
      </c>
      <c r="AB65" s="137">
        <f>AA65*$B$65</f>
        <v>0</v>
      </c>
      <c r="AC65" s="136">
        <v>0</v>
      </c>
      <c r="AD65" s="137">
        <f>AC65*$B$65</f>
        <v>0</v>
      </c>
      <c r="AE65" s="129">
        <f t="shared" si="13"/>
        <v>0</v>
      </c>
      <c r="AF65" s="121">
        <f t="shared" si="2"/>
        <v>0</v>
      </c>
      <c r="AH65" s="119"/>
      <c r="AI65" s="146"/>
    </row>
    <row r="66" spans="1:37" s="1" customFormat="1" ht="15" hidden="1" customHeight="1">
      <c r="A66" s="142"/>
      <c r="B66" s="215"/>
      <c r="C66" s="136">
        <v>0</v>
      </c>
      <c r="D66" s="137">
        <f>C66*$B$66</f>
        <v>0</v>
      </c>
      <c r="E66" s="136">
        <v>0</v>
      </c>
      <c r="F66" s="137">
        <f t="shared" si="15"/>
        <v>0</v>
      </c>
      <c r="G66" s="136">
        <v>0</v>
      </c>
      <c r="H66" s="137">
        <f>G66*$B$65</f>
        <v>0</v>
      </c>
      <c r="I66" s="136">
        <v>0</v>
      </c>
      <c r="J66" s="137">
        <f t="shared" si="16"/>
        <v>0</v>
      </c>
      <c r="K66" s="136">
        <v>0</v>
      </c>
      <c r="L66" s="137">
        <f t="shared" si="17"/>
        <v>0</v>
      </c>
      <c r="M66" s="136">
        <v>0</v>
      </c>
      <c r="N66" s="137">
        <f t="shared" si="18"/>
        <v>0</v>
      </c>
      <c r="O66" s="136">
        <v>0</v>
      </c>
      <c r="P66" s="137">
        <f t="shared" si="19"/>
        <v>0</v>
      </c>
      <c r="Q66" s="136">
        <v>0</v>
      </c>
      <c r="R66" s="137">
        <f t="shared" si="20"/>
        <v>0</v>
      </c>
      <c r="S66" s="136">
        <v>0</v>
      </c>
      <c r="T66" s="137">
        <f t="shared" si="21"/>
        <v>0</v>
      </c>
      <c r="U66" s="136">
        <v>0</v>
      </c>
      <c r="V66" s="137">
        <f t="shared" si="22"/>
        <v>0</v>
      </c>
      <c r="W66" s="136">
        <v>0</v>
      </c>
      <c r="X66" s="137">
        <f t="shared" si="23"/>
        <v>0</v>
      </c>
      <c r="Y66" s="136">
        <v>0</v>
      </c>
      <c r="Z66" s="137">
        <f t="shared" si="24"/>
        <v>0</v>
      </c>
      <c r="AA66" s="136">
        <v>0</v>
      </c>
      <c r="AB66" s="137">
        <f>AA66*$B$65</f>
        <v>0</v>
      </c>
      <c r="AC66" s="136">
        <v>0</v>
      </c>
      <c r="AD66" s="137">
        <f>AC66*$B$65</f>
        <v>0</v>
      </c>
      <c r="AE66" s="129">
        <f t="shared" si="13"/>
        <v>0</v>
      </c>
      <c r="AF66" s="121">
        <f t="shared" si="2"/>
        <v>0</v>
      </c>
      <c r="AH66" s="119"/>
      <c r="AI66" s="146"/>
    </row>
    <row r="67" spans="1:37" s="1" customFormat="1" ht="15" hidden="1" customHeight="1">
      <c r="A67" s="142"/>
      <c r="B67" s="215"/>
      <c r="C67" s="136">
        <v>0</v>
      </c>
      <c r="D67" s="137">
        <f>C67*$B$67</f>
        <v>0</v>
      </c>
      <c r="E67" s="136">
        <v>0</v>
      </c>
      <c r="F67" s="137">
        <f t="shared" si="15"/>
        <v>0</v>
      </c>
      <c r="G67" s="136">
        <v>0</v>
      </c>
      <c r="H67" s="137">
        <f>G67*$B$65</f>
        <v>0</v>
      </c>
      <c r="I67" s="136">
        <v>0</v>
      </c>
      <c r="J67" s="137">
        <f t="shared" si="16"/>
        <v>0</v>
      </c>
      <c r="K67" s="136">
        <v>0</v>
      </c>
      <c r="L67" s="137">
        <f t="shared" si="17"/>
        <v>0</v>
      </c>
      <c r="M67" s="136">
        <v>0</v>
      </c>
      <c r="N67" s="137">
        <f t="shared" si="18"/>
        <v>0</v>
      </c>
      <c r="O67" s="136">
        <v>0</v>
      </c>
      <c r="P67" s="137">
        <f t="shared" si="19"/>
        <v>0</v>
      </c>
      <c r="Q67" s="136">
        <v>0</v>
      </c>
      <c r="R67" s="137">
        <f t="shared" si="20"/>
        <v>0</v>
      </c>
      <c r="S67" s="136">
        <v>0</v>
      </c>
      <c r="T67" s="137">
        <f t="shared" si="21"/>
        <v>0</v>
      </c>
      <c r="U67" s="136">
        <v>0</v>
      </c>
      <c r="V67" s="137">
        <f t="shared" si="22"/>
        <v>0</v>
      </c>
      <c r="W67" s="136">
        <v>0</v>
      </c>
      <c r="X67" s="137">
        <f t="shared" si="23"/>
        <v>0</v>
      </c>
      <c r="Y67" s="136">
        <v>0</v>
      </c>
      <c r="Z67" s="137">
        <f t="shared" si="24"/>
        <v>0</v>
      </c>
      <c r="AA67" s="136">
        <v>0</v>
      </c>
      <c r="AB67" s="137">
        <f>AA67*$B$65</f>
        <v>0</v>
      </c>
      <c r="AC67" s="136">
        <v>0</v>
      </c>
      <c r="AD67" s="137">
        <f>AC67*$B$65</f>
        <v>0</v>
      </c>
      <c r="AE67" s="129">
        <f t="shared" si="13"/>
        <v>0</v>
      </c>
      <c r="AF67" s="121">
        <f t="shared" si="2"/>
        <v>0</v>
      </c>
      <c r="AH67" s="119"/>
      <c r="AI67" s="146"/>
    </row>
    <row r="68" spans="1:37" s="1" customFormat="1" ht="33" customHeight="1">
      <c r="A68" s="135" t="s">
        <v>46</v>
      </c>
      <c r="B68" s="215"/>
      <c r="C68" s="136">
        <v>0</v>
      </c>
      <c r="D68" s="137">
        <f>C68*$B$70</f>
        <v>0</v>
      </c>
      <c r="E68" s="136">
        <v>0</v>
      </c>
      <c r="F68" s="137">
        <f t="shared" si="15"/>
        <v>0</v>
      </c>
      <c r="G68" s="136">
        <v>0</v>
      </c>
      <c r="H68" s="137">
        <f>G68*B68</f>
        <v>0</v>
      </c>
      <c r="I68" s="136">
        <v>0</v>
      </c>
      <c r="J68" s="137">
        <f t="shared" si="16"/>
        <v>0</v>
      </c>
      <c r="K68" s="136">
        <v>0</v>
      </c>
      <c r="L68" s="137">
        <f t="shared" si="17"/>
        <v>0</v>
      </c>
      <c r="M68" s="136">
        <v>0</v>
      </c>
      <c r="N68" s="137">
        <f t="shared" si="18"/>
        <v>0</v>
      </c>
      <c r="O68" s="136">
        <v>0</v>
      </c>
      <c r="P68" s="137">
        <f t="shared" si="19"/>
        <v>0</v>
      </c>
      <c r="Q68" s="136">
        <v>0</v>
      </c>
      <c r="R68" s="137">
        <f t="shared" si="20"/>
        <v>0</v>
      </c>
      <c r="S68" s="136">
        <v>0</v>
      </c>
      <c r="T68" s="137">
        <f t="shared" si="21"/>
        <v>0</v>
      </c>
      <c r="U68" s="136">
        <v>0</v>
      </c>
      <c r="V68" s="137">
        <f t="shared" si="22"/>
        <v>0</v>
      </c>
      <c r="W68" s="136">
        <v>0</v>
      </c>
      <c r="X68" s="137">
        <f t="shared" si="23"/>
        <v>0</v>
      </c>
      <c r="Y68" s="136">
        <v>0</v>
      </c>
      <c r="Z68" s="137">
        <f t="shared" si="24"/>
        <v>0</v>
      </c>
      <c r="AA68" s="136">
        <v>0</v>
      </c>
      <c r="AB68" s="137">
        <f>AA68*$B$65</f>
        <v>0</v>
      </c>
      <c r="AC68" s="136">
        <v>0</v>
      </c>
      <c r="AD68" s="137">
        <f>AC68*$B$65</f>
        <v>0</v>
      </c>
      <c r="AE68" s="129">
        <v>0</v>
      </c>
      <c r="AF68" s="121">
        <f t="shared" si="2"/>
        <v>0</v>
      </c>
      <c r="AH68" s="119"/>
      <c r="AI68" s="146"/>
    </row>
    <row r="69" spans="1:37" s="1" customFormat="1" ht="17.25" customHeight="1">
      <c r="A69" s="135" t="s">
        <v>47</v>
      </c>
      <c r="B69" s="215"/>
      <c r="C69" s="136">
        <v>0</v>
      </c>
      <c r="D69" s="137">
        <f t="shared" ref="D69" si="25">C69*$B$51</f>
        <v>0</v>
      </c>
      <c r="E69" s="136">
        <v>0</v>
      </c>
      <c r="F69" s="137">
        <f t="shared" si="15"/>
        <v>0</v>
      </c>
      <c r="G69" s="136">
        <v>0</v>
      </c>
      <c r="H69" s="137">
        <f>G69*$B$65</f>
        <v>0</v>
      </c>
      <c r="I69" s="136">
        <v>0</v>
      </c>
      <c r="J69" s="137">
        <f t="shared" si="16"/>
        <v>0</v>
      </c>
      <c r="K69" s="136">
        <v>0</v>
      </c>
      <c r="L69" s="137">
        <f t="shared" si="17"/>
        <v>0</v>
      </c>
      <c r="M69" s="136">
        <v>0</v>
      </c>
      <c r="N69" s="137">
        <f t="shared" si="18"/>
        <v>0</v>
      </c>
      <c r="O69" s="136">
        <v>0</v>
      </c>
      <c r="P69" s="137">
        <f t="shared" si="19"/>
        <v>0</v>
      </c>
      <c r="Q69" s="136">
        <v>0</v>
      </c>
      <c r="R69" s="137">
        <f t="shared" si="20"/>
        <v>0</v>
      </c>
      <c r="S69" s="136">
        <v>0</v>
      </c>
      <c r="T69" s="137">
        <f t="shared" si="21"/>
        <v>0</v>
      </c>
      <c r="U69" s="136">
        <v>0</v>
      </c>
      <c r="V69" s="137">
        <f t="shared" si="22"/>
        <v>0</v>
      </c>
      <c r="W69" s="136">
        <v>0</v>
      </c>
      <c r="X69" s="137">
        <f t="shared" si="23"/>
        <v>0</v>
      </c>
      <c r="Y69" s="136">
        <v>0</v>
      </c>
      <c r="Z69" s="137">
        <f t="shared" si="24"/>
        <v>0</v>
      </c>
      <c r="AA69" s="136">
        <v>0</v>
      </c>
      <c r="AB69" s="137">
        <f>AA69*B69</f>
        <v>0</v>
      </c>
      <c r="AC69" s="136">
        <v>0</v>
      </c>
      <c r="AD69" s="137">
        <f>AC69*B69</f>
        <v>0</v>
      </c>
      <c r="AE69" s="129">
        <f t="shared" si="13"/>
        <v>0</v>
      </c>
      <c r="AF69" s="121">
        <f t="shared" si="2"/>
        <v>0</v>
      </c>
      <c r="AH69" s="119"/>
      <c r="AI69" s="146"/>
    </row>
    <row r="70" spans="1:37" s="1" customFormat="1" ht="17.25" hidden="1" customHeight="1">
      <c r="A70" s="135"/>
      <c r="B70" s="215"/>
      <c r="C70" s="136">
        <v>0</v>
      </c>
      <c r="D70" s="137">
        <f t="shared" ref="D70" si="26">C70*$B$52</f>
        <v>0</v>
      </c>
      <c r="E70" s="136">
        <v>0</v>
      </c>
      <c r="F70" s="137">
        <f t="shared" si="15"/>
        <v>0</v>
      </c>
      <c r="G70" s="136">
        <v>0</v>
      </c>
      <c r="H70" s="137">
        <f>G70*$B$65</f>
        <v>0</v>
      </c>
      <c r="I70" s="136">
        <v>0</v>
      </c>
      <c r="J70" s="137">
        <f t="shared" si="16"/>
        <v>0</v>
      </c>
      <c r="K70" s="136">
        <v>0</v>
      </c>
      <c r="L70" s="137">
        <f t="shared" si="17"/>
        <v>0</v>
      </c>
      <c r="M70" s="136">
        <v>0</v>
      </c>
      <c r="N70" s="137">
        <f t="shared" si="18"/>
        <v>0</v>
      </c>
      <c r="O70" s="136">
        <v>0</v>
      </c>
      <c r="P70" s="137">
        <f t="shared" si="19"/>
        <v>0</v>
      </c>
      <c r="Q70" s="136">
        <v>0</v>
      </c>
      <c r="R70" s="137">
        <f t="shared" si="20"/>
        <v>0</v>
      </c>
      <c r="S70" s="136">
        <v>0</v>
      </c>
      <c r="T70" s="137">
        <f t="shared" si="21"/>
        <v>0</v>
      </c>
      <c r="U70" s="136">
        <v>0</v>
      </c>
      <c r="V70" s="137">
        <f t="shared" si="22"/>
        <v>0</v>
      </c>
      <c r="W70" s="136">
        <v>0</v>
      </c>
      <c r="X70" s="137">
        <f t="shared" si="23"/>
        <v>0</v>
      </c>
      <c r="Y70" s="136">
        <v>0</v>
      </c>
      <c r="Z70" s="137">
        <f t="shared" si="24"/>
        <v>0</v>
      </c>
      <c r="AA70" s="136"/>
      <c r="AB70" s="137">
        <f>AA70*B70</f>
        <v>0</v>
      </c>
      <c r="AC70" s="136">
        <v>0</v>
      </c>
      <c r="AD70" s="137">
        <f>AC70*B70</f>
        <v>0</v>
      </c>
      <c r="AE70" s="129">
        <f t="shared" si="13"/>
        <v>0</v>
      </c>
      <c r="AF70" s="121">
        <f t="shared" si="2"/>
        <v>0</v>
      </c>
      <c r="AH70" s="119"/>
      <c r="AI70" s="146"/>
    </row>
    <row r="71" spans="1:37" s="1" customFormat="1" ht="13.5" hidden="1" customHeight="1" thickBot="1">
      <c r="A71" s="211"/>
      <c r="B71" s="212"/>
      <c r="C71" s="136">
        <v>0</v>
      </c>
      <c r="D71" s="137">
        <f t="shared" ref="D71" si="27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A71" s="87">
        <v>0</v>
      </c>
      <c r="AB71" s="37">
        <f>AA71*$B$71</f>
        <v>0</v>
      </c>
      <c r="AC71" s="87">
        <v>0</v>
      </c>
      <c r="AD71" s="37">
        <f>AC71*$B$71</f>
        <v>0</v>
      </c>
      <c r="AE71" s="88">
        <f t="shared" si="13"/>
        <v>0</v>
      </c>
      <c r="AF71" s="121">
        <f t="shared" si="2"/>
        <v>0</v>
      </c>
      <c r="AH71" s="119"/>
      <c r="AI71" s="146"/>
    </row>
    <row r="72" spans="1:37" s="1" customFormat="1" ht="13.5" hidden="1" customHeight="1" thickBot="1">
      <c r="A72" s="211"/>
      <c r="B72" s="212"/>
      <c r="C72" s="136">
        <v>0</v>
      </c>
      <c r="D72" s="137">
        <f t="shared" ref="D72" si="28">C72*$B$54</f>
        <v>0</v>
      </c>
      <c r="E72" s="87">
        <v>0</v>
      </c>
      <c r="F72" s="115">
        <f>E72*$B$72</f>
        <v>0</v>
      </c>
      <c r="G72" s="87">
        <v>0</v>
      </c>
      <c r="H72" s="115">
        <f>G72*$B$72</f>
        <v>0</v>
      </c>
      <c r="I72" s="87">
        <v>0</v>
      </c>
      <c r="J72" s="115">
        <f>I72*$B$72</f>
        <v>0</v>
      </c>
      <c r="K72" s="87">
        <v>0</v>
      </c>
      <c r="L72" s="115">
        <f>K72*$B$72</f>
        <v>0</v>
      </c>
      <c r="M72" s="87">
        <v>0</v>
      </c>
      <c r="N72" s="115">
        <f>M72*$B$72</f>
        <v>0</v>
      </c>
      <c r="O72" s="87">
        <v>0</v>
      </c>
      <c r="P72" s="115">
        <f>O72*$B$72</f>
        <v>0</v>
      </c>
      <c r="Q72" s="87">
        <v>0</v>
      </c>
      <c r="R72" s="115">
        <f>Q72*$B$72</f>
        <v>0</v>
      </c>
      <c r="S72" s="87">
        <v>0</v>
      </c>
      <c r="T72" s="115">
        <f>S72*$B$72</f>
        <v>0</v>
      </c>
      <c r="U72" s="87">
        <v>0</v>
      </c>
      <c r="V72" s="115">
        <f>U72*$B$72</f>
        <v>0</v>
      </c>
      <c r="W72" s="87">
        <v>0</v>
      </c>
      <c r="X72" s="115">
        <f>W72*$B$72</f>
        <v>0</v>
      </c>
      <c r="Y72" s="87">
        <v>0</v>
      </c>
      <c r="Z72" s="115">
        <f>Y72*$B$72</f>
        <v>0</v>
      </c>
      <c r="AA72" s="87">
        <v>0</v>
      </c>
      <c r="AB72" s="115">
        <f>AA72*$B$72</f>
        <v>0</v>
      </c>
      <c r="AC72" s="87">
        <v>0</v>
      </c>
      <c r="AD72" s="115">
        <f>AC72*$B$72</f>
        <v>0</v>
      </c>
      <c r="AE72" s="88">
        <f t="shared" si="13"/>
        <v>0</v>
      </c>
      <c r="AF72" s="121">
        <f t="shared" si="2"/>
        <v>0</v>
      </c>
      <c r="AH72" s="119"/>
      <c r="AI72" s="146"/>
    </row>
    <row r="73" spans="1:37" s="1" customFormat="1" ht="13.5" hidden="1" customHeight="1" thickBot="1">
      <c r="A73" s="213"/>
      <c r="B73" s="214"/>
      <c r="C73" s="136">
        <v>0</v>
      </c>
      <c r="D73" s="137">
        <f t="shared" ref="D73" si="29">C73*$B$55</f>
        <v>0</v>
      </c>
      <c r="E73" s="87">
        <v>0</v>
      </c>
      <c r="F73" s="37">
        <f>E73*$B$73</f>
        <v>0</v>
      </c>
      <c r="G73" s="87">
        <v>0</v>
      </c>
      <c r="H73" s="37">
        <f>G73*$B$73</f>
        <v>0</v>
      </c>
      <c r="I73" s="87">
        <v>0</v>
      </c>
      <c r="J73" s="37">
        <f>I73*$B$73</f>
        <v>0</v>
      </c>
      <c r="K73" s="87">
        <v>0</v>
      </c>
      <c r="L73" s="37">
        <f>K73*$B$73</f>
        <v>0</v>
      </c>
      <c r="M73" s="87">
        <v>0</v>
      </c>
      <c r="N73" s="37">
        <f>M73*$B$73</f>
        <v>0</v>
      </c>
      <c r="O73" s="87">
        <v>0</v>
      </c>
      <c r="P73" s="37">
        <f>O73*$B$73</f>
        <v>0</v>
      </c>
      <c r="Q73" s="87">
        <v>0</v>
      </c>
      <c r="R73" s="37">
        <f>Q73*$B$73</f>
        <v>0</v>
      </c>
      <c r="S73" s="87">
        <v>0</v>
      </c>
      <c r="T73" s="37">
        <f>S73*$B$73</f>
        <v>0</v>
      </c>
      <c r="U73" s="87">
        <v>0</v>
      </c>
      <c r="V73" s="37">
        <f>U73*$B$73</f>
        <v>0</v>
      </c>
      <c r="W73" s="87">
        <v>0</v>
      </c>
      <c r="X73" s="37">
        <f>W73*$B$73</f>
        <v>0</v>
      </c>
      <c r="Y73" s="87">
        <v>0</v>
      </c>
      <c r="Z73" s="37">
        <f>Y73*$B$73</f>
        <v>0</v>
      </c>
      <c r="AA73" s="87">
        <v>0</v>
      </c>
      <c r="AB73" s="37">
        <f>AA73*$B$73</f>
        <v>0</v>
      </c>
      <c r="AC73" s="87">
        <v>0</v>
      </c>
      <c r="AD73" s="37">
        <f>AC73*$B$73</f>
        <v>0</v>
      </c>
      <c r="AE73" s="88">
        <f t="shared" si="13"/>
        <v>0</v>
      </c>
      <c r="AF73" s="121">
        <f t="shared" si="2"/>
        <v>0</v>
      </c>
      <c r="AH73" s="119"/>
      <c r="AI73" s="146"/>
    </row>
    <row r="74" spans="1:37" s="1" customFormat="1" ht="13.5" hidden="1" customHeight="1" thickBot="1">
      <c r="A74" s="152"/>
      <c r="B74" s="153"/>
      <c r="C74" s="136">
        <v>0</v>
      </c>
      <c r="D74" s="137">
        <f t="shared" ref="D74:D75" si="30">C74*$B$56</f>
        <v>0</v>
      </c>
      <c r="E74" s="93">
        <v>0</v>
      </c>
      <c r="F74" s="154">
        <f>E74*$B$74</f>
        <v>0</v>
      </c>
      <c r="G74" s="93">
        <v>0</v>
      </c>
      <c r="H74" s="154">
        <f>G74*$B$74</f>
        <v>0</v>
      </c>
      <c r="I74" s="155">
        <v>0</v>
      </c>
      <c r="J74" s="154">
        <f>I74*$B$74</f>
        <v>0</v>
      </c>
      <c r="K74" s="155">
        <v>0</v>
      </c>
      <c r="L74" s="154">
        <f>K74*$B$74</f>
        <v>0</v>
      </c>
      <c r="M74" s="155">
        <v>0</v>
      </c>
      <c r="N74" s="154">
        <f>M74*$B$74</f>
        <v>0</v>
      </c>
      <c r="O74" s="155">
        <v>0</v>
      </c>
      <c r="P74" s="154">
        <f>O74*$B$74</f>
        <v>0</v>
      </c>
      <c r="Q74" s="155">
        <v>0</v>
      </c>
      <c r="R74" s="154">
        <f>Q74*$B$74</f>
        <v>0</v>
      </c>
      <c r="S74" s="155">
        <v>0</v>
      </c>
      <c r="T74" s="154">
        <f>S74*$B$74</f>
        <v>0</v>
      </c>
      <c r="U74" s="155">
        <v>0</v>
      </c>
      <c r="V74" s="154">
        <f>U74*$B$74</f>
        <v>0</v>
      </c>
      <c r="W74" s="155">
        <v>0</v>
      </c>
      <c r="X74" s="154">
        <f>W74*$B$74</f>
        <v>0</v>
      </c>
      <c r="Y74" s="155">
        <v>0</v>
      </c>
      <c r="Z74" s="154">
        <f>Y74*$B$74</f>
        <v>0</v>
      </c>
      <c r="AA74" s="93">
        <v>0</v>
      </c>
      <c r="AB74" s="154">
        <f>AA74*$B$74</f>
        <v>0</v>
      </c>
      <c r="AC74" s="93">
        <v>0</v>
      </c>
      <c r="AD74" s="154">
        <f>AC74*$B$74</f>
        <v>0</v>
      </c>
      <c r="AE74" s="156">
        <f t="shared" si="13"/>
        <v>0</v>
      </c>
      <c r="AF74" s="121">
        <f t="shared" si="2"/>
        <v>0</v>
      </c>
      <c r="AH74" s="119"/>
      <c r="AI74" s="146"/>
    </row>
    <row r="75" spans="1:37" ht="18.75" customHeight="1">
      <c r="A75" s="135" t="s">
        <v>48</v>
      </c>
      <c r="B75" s="215"/>
      <c r="C75" s="136">
        <v>0</v>
      </c>
      <c r="D75" s="137">
        <f t="shared" si="30"/>
        <v>0</v>
      </c>
      <c r="E75" s="136">
        <v>0</v>
      </c>
      <c r="F75" s="137">
        <f>E75*$B$47</f>
        <v>0</v>
      </c>
      <c r="G75" s="136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8">
        <v>0</v>
      </c>
      <c r="X75" s="137">
        <f>W75*$B$47</f>
        <v>0</v>
      </c>
      <c r="Y75" s="138">
        <v>0</v>
      </c>
      <c r="Z75" s="137">
        <f>Y75*$B$47</f>
        <v>0</v>
      </c>
      <c r="AA75" s="136">
        <v>0</v>
      </c>
      <c r="AB75" s="137">
        <f>AA75*$B$47</f>
        <v>0</v>
      </c>
      <c r="AC75" s="136">
        <v>0</v>
      </c>
      <c r="AD75" s="137">
        <f>AC75*$B$47</f>
        <v>0</v>
      </c>
      <c r="AE75" s="129">
        <f t="shared" si="13"/>
        <v>0</v>
      </c>
      <c r="AF75" s="121">
        <f t="shared" si="2"/>
        <v>0</v>
      </c>
      <c r="AH75" s="119"/>
    </row>
    <row r="76" spans="1:37" ht="18.75" hidden="1" customHeight="1">
      <c r="A76" s="135"/>
      <c r="B76" s="215"/>
      <c r="C76" s="136">
        <v>0</v>
      </c>
      <c r="D76" s="137">
        <f t="shared" ref="D76" si="31">C76*$B$58</f>
        <v>0</v>
      </c>
      <c r="E76" s="136">
        <v>0</v>
      </c>
      <c r="F76" s="137">
        <f>E76*$B$48</f>
        <v>0</v>
      </c>
      <c r="G76" s="136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U76*$B$47</f>
        <v>0</v>
      </c>
      <c r="W76" s="138">
        <v>0</v>
      </c>
      <c r="X76" s="137">
        <f>W76*$B$47</f>
        <v>0</v>
      </c>
      <c r="Y76" s="138">
        <v>0</v>
      </c>
      <c r="Z76" s="137">
        <f>Y76*$B$47</f>
        <v>0</v>
      </c>
      <c r="AA76" s="136">
        <v>0</v>
      </c>
      <c r="AB76" s="137">
        <f>AA76*$B$48</f>
        <v>0</v>
      </c>
      <c r="AC76" s="136">
        <v>0</v>
      </c>
      <c r="AD76" s="137">
        <f>AC76*$B$48</f>
        <v>0</v>
      </c>
      <c r="AE76" s="129">
        <f t="shared" si="13"/>
        <v>0</v>
      </c>
      <c r="AF76" s="121">
        <f t="shared" si="2"/>
        <v>0</v>
      </c>
      <c r="AH76" s="119"/>
    </row>
    <row r="77" spans="1:37" ht="18.75" hidden="1" customHeight="1">
      <c r="A77" s="135"/>
      <c r="B77" s="215"/>
      <c r="C77" s="136">
        <v>0</v>
      </c>
      <c r="D77" s="137">
        <f t="shared" ref="D77" si="32">C77*$B$59</f>
        <v>0</v>
      </c>
      <c r="E77" s="136">
        <v>1</v>
      </c>
      <c r="F77" s="137">
        <f>E77*$B$49</f>
        <v>0</v>
      </c>
      <c r="G77" s="136">
        <v>0</v>
      </c>
      <c r="H77" s="137">
        <f>G77*$B$49</f>
        <v>0</v>
      </c>
      <c r="I77" s="138">
        <v>0</v>
      </c>
      <c r="J77" s="137">
        <f>I77*$B$49</f>
        <v>0</v>
      </c>
      <c r="K77" s="138">
        <v>0</v>
      </c>
      <c r="L77" s="137">
        <f>K77*$B$49</f>
        <v>0</v>
      </c>
      <c r="M77" s="138">
        <v>0</v>
      </c>
      <c r="N77" s="137">
        <f>M77*$B$49</f>
        <v>0</v>
      </c>
      <c r="O77" s="138">
        <v>0</v>
      </c>
      <c r="P77" s="137">
        <f>O77*$B$49</f>
        <v>0</v>
      </c>
      <c r="Q77" s="138">
        <v>0</v>
      </c>
      <c r="R77" s="137">
        <f>Q77*$B$49</f>
        <v>0</v>
      </c>
      <c r="S77" s="138">
        <v>0</v>
      </c>
      <c r="T77" s="137">
        <f>S77*$B$49</f>
        <v>0</v>
      </c>
      <c r="U77" s="138">
        <v>0</v>
      </c>
      <c r="V77" s="137">
        <f>U77*$B$49</f>
        <v>0</v>
      </c>
      <c r="W77" s="138">
        <v>0</v>
      </c>
      <c r="X77" s="137">
        <f>W77*$B$49</f>
        <v>0</v>
      </c>
      <c r="Y77" s="138">
        <v>0</v>
      </c>
      <c r="Z77" s="137">
        <f>Y77*$B$49</f>
        <v>0</v>
      </c>
      <c r="AA77" s="136">
        <v>0</v>
      </c>
      <c r="AB77" s="137">
        <f>AA77*$B$49</f>
        <v>0</v>
      </c>
      <c r="AC77" s="136">
        <v>0</v>
      </c>
      <c r="AD77" s="137">
        <f>AC77*$B$49</f>
        <v>0</v>
      </c>
      <c r="AE77" s="129">
        <f t="shared" si="13"/>
        <v>1</v>
      </c>
      <c r="AF77" s="121">
        <f t="shared" ref="AF77:AF98" si="33">D77+F77+H77+AD77+AB77</f>
        <v>0</v>
      </c>
      <c r="AH77" s="119"/>
    </row>
    <row r="78" spans="1:37" ht="18.75" hidden="1" customHeight="1">
      <c r="A78" s="135"/>
      <c r="B78" s="215"/>
      <c r="C78" s="136">
        <v>0</v>
      </c>
      <c r="D78" s="137">
        <f t="shared" ref="D78" si="34">C78*$B$60</f>
        <v>0</v>
      </c>
      <c r="E78" s="136">
        <v>0</v>
      </c>
      <c r="F78" s="137">
        <f>E78*$B$50</f>
        <v>0</v>
      </c>
      <c r="G78" s="136">
        <v>1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8">
        <v>0</v>
      </c>
      <c r="X78" s="137">
        <f>W78*$B$50</f>
        <v>0</v>
      </c>
      <c r="Y78" s="138">
        <v>0</v>
      </c>
      <c r="Z78" s="137">
        <f>Y78*$B$50</f>
        <v>0</v>
      </c>
      <c r="AA78" s="136">
        <v>1</v>
      </c>
      <c r="AB78" s="137">
        <f>AA78*$B$50</f>
        <v>0</v>
      </c>
      <c r="AC78" s="136">
        <v>1</v>
      </c>
      <c r="AD78" s="137">
        <f>AC78*$B$50</f>
        <v>0</v>
      </c>
      <c r="AE78" s="129">
        <f t="shared" si="13"/>
        <v>2</v>
      </c>
      <c r="AF78" s="121">
        <f t="shared" si="33"/>
        <v>0</v>
      </c>
      <c r="AH78" s="119"/>
    </row>
    <row r="79" spans="1:37" ht="13">
      <c r="A79" s="135" t="s">
        <v>49</v>
      </c>
      <c r="B79" s="215"/>
      <c r="C79" s="136">
        <v>0</v>
      </c>
      <c r="D79" s="137">
        <f t="shared" ref="D79" si="35">C79*$B$61</f>
        <v>0</v>
      </c>
      <c r="E79" s="136">
        <v>0</v>
      </c>
      <c r="F79" s="137">
        <f>E79*B79</f>
        <v>0</v>
      </c>
      <c r="G79" s="136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8">
        <v>0</v>
      </c>
      <c r="X79" s="137">
        <f>W79*$B$50</f>
        <v>0</v>
      </c>
      <c r="Y79" s="138">
        <v>0</v>
      </c>
      <c r="Z79" s="137">
        <f>Y79*$B$50</f>
        <v>0</v>
      </c>
      <c r="AA79" s="136">
        <v>0</v>
      </c>
      <c r="AB79" s="137">
        <f>AA79*$B$50</f>
        <v>0</v>
      </c>
      <c r="AC79" s="136">
        <v>0</v>
      </c>
      <c r="AD79" s="137">
        <f>AC79*$B$50</f>
        <v>0</v>
      </c>
      <c r="AE79" s="129">
        <f t="shared" si="13"/>
        <v>0</v>
      </c>
      <c r="AF79" s="121">
        <f t="shared" si="33"/>
        <v>0</v>
      </c>
      <c r="AH79" s="119"/>
      <c r="AK79" s="119"/>
    </row>
    <row r="80" spans="1:37" ht="15" hidden="1" customHeight="1">
      <c r="A80" s="135"/>
      <c r="B80" s="215"/>
      <c r="C80" s="136">
        <v>0</v>
      </c>
      <c r="D80" s="140">
        <f t="shared" ref="D80" si="36">C80*$B$62</f>
        <v>0</v>
      </c>
      <c r="E80" s="136">
        <v>0</v>
      </c>
      <c r="F80" s="137">
        <f>E80*$B$52</f>
        <v>0</v>
      </c>
      <c r="G80" s="136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8">
        <v>0</v>
      </c>
      <c r="X80" s="137">
        <f>W80*$B$52</f>
        <v>0</v>
      </c>
      <c r="Y80" s="138">
        <v>0</v>
      </c>
      <c r="Z80" s="137">
        <f>Y80*$B$52</f>
        <v>0</v>
      </c>
      <c r="AA80" s="136">
        <v>0</v>
      </c>
      <c r="AB80" s="137">
        <f>AA80*$B$52</f>
        <v>0</v>
      </c>
      <c r="AC80" s="136">
        <v>0</v>
      </c>
      <c r="AD80" s="137">
        <f>AC80*$B$52</f>
        <v>0</v>
      </c>
      <c r="AE80" s="129">
        <f t="shared" si="13"/>
        <v>0</v>
      </c>
      <c r="AF80" s="121">
        <f t="shared" si="33"/>
        <v>0</v>
      </c>
      <c r="AH80" s="119"/>
    </row>
    <row r="81" spans="1:35" ht="15" hidden="1" customHeight="1">
      <c r="A81" s="135"/>
      <c r="B81" s="215"/>
      <c r="C81" s="136">
        <v>0</v>
      </c>
      <c r="D81" s="137">
        <f t="shared" ref="D81" si="37">C81*$B$63</f>
        <v>0</v>
      </c>
      <c r="E81" s="136">
        <v>0</v>
      </c>
      <c r="F81" s="137">
        <f>E81*$B$52</f>
        <v>0</v>
      </c>
      <c r="G81" s="136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8">
        <v>0</v>
      </c>
      <c r="X81" s="137">
        <f>W81*$B$52</f>
        <v>0</v>
      </c>
      <c r="Y81" s="138">
        <v>0</v>
      </c>
      <c r="Z81" s="137">
        <f>Y81*$B$52</f>
        <v>0</v>
      </c>
      <c r="AA81" s="136">
        <v>0</v>
      </c>
      <c r="AB81" s="137">
        <f>AA81*$B$52</f>
        <v>0</v>
      </c>
      <c r="AC81" s="136">
        <v>0</v>
      </c>
      <c r="AD81" s="137">
        <f>AC81*$B$52</f>
        <v>0</v>
      </c>
      <c r="AE81" s="129">
        <f t="shared" si="13"/>
        <v>0</v>
      </c>
      <c r="AF81" s="121">
        <f t="shared" si="33"/>
        <v>0</v>
      </c>
      <c r="AH81" s="119"/>
    </row>
    <row r="82" spans="1:35" ht="15" hidden="1" customHeight="1">
      <c r="A82" s="135"/>
      <c r="B82" s="215"/>
      <c r="C82" s="136">
        <v>0</v>
      </c>
      <c r="D82" s="140">
        <f t="shared" ref="D82" si="38">C82*$B$64</f>
        <v>0</v>
      </c>
      <c r="E82" s="136">
        <v>0</v>
      </c>
      <c r="F82" s="137">
        <f>E82*$B$54</f>
        <v>0</v>
      </c>
      <c r="G82" s="136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8">
        <v>0</v>
      </c>
      <c r="X82" s="137">
        <f>W82*$B$54</f>
        <v>0</v>
      </c>
      <c r="Y82" s="138">
        <v>0</v>
      </c>
      <c r="Z82" s="137">
        <f>Y82*$B$54</f>
        <v>0</v>
      </c>
      <c r="AA82" s="136">
        <v>0</v>
      </c>
      <c r="AB82" s="137">
        <f>AA82*$B$54</f>
        <v>0</v>
      </c>
      <c r="AC82" s="136">
        <v>0</v>
      </c>
      <c r="AD82" s="137">
        <f>AC82*$B$54</f>
        <v>0</v>
      </c>
      <c r="AE82" s="129">
        <f t="shared" si="13"/>
        <v>0</v>
      </c>
      <c r="AF82" s="121">
        <f t="shared" si="33"/>
        <v>0</v>
      </c>
      <c r="AH82" s="119"/>
    </row>
    <row r="83" spans="1:35" ht="15" hidden="1" customHeight="1">
      <c r="A83" s="139"/>
      <c r="B83" s="215"/>
      <c r="C83" s="136">
        <v>0</v>
      </c>
      <c r="D83" s="137">
        <f t="shared" ref="D83" si="39">C83*$B$65</f>
        <v>0</v>
      </c>
      <c r="E83" s="136">
        <v>0</v>
      </c>
      <c r="F83" s="137">
        <f>E83*$B$54</f>
        <v>0</v>
      </c>
      <c r="G83" s="136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8">
        <v>0</v>
      </c>
      <c r="X83" s="137">
        <f>W83*$B$54</f>
        <v>0</v>
      </c>
      <c r="Y83" s="138">
        <v>0</v>
      </c>
      <c r="Z83" s="137">
        <f>Y83*$B$54</f>
        <v>0</v>
      </c>
      <c r="AA83" s="136">
        <v>0</v>
      </c>
      <c r="AB83" s="137">
        <f>AA83*$B$54</f>
        <v>0</v>
      </c>
      <c r="AC83" s="136">
        <v>0</v>
      </c>
      <c r="AD83" s="137">
        <f>AC83*$B$54</f>
        <v>0</v>
      </c>
      <c r="AE83" s="129">
        <f t="shared" si="13"/>
        <v>0</v>
      </c>
      <c r="AF83" s="121">
        <f t="shared" si="33"/>
        <v>0</v>
      </c>
      <c r="AH83" s="119"/>
    </row>
    <row r="84" spans="1:35" ht="15" hidden="1" customHeight="1">
      <c r="A84" s="139"/>
      <c r="B84" s="215"/>
      <c r="C84" s="136">
        <v>0</v>
      </c>
      <c r="D84" s="137">
        <f t="shared" ref="D84" si="40">C84*$B$66</f>
        <v>0</v>
      </c>
      <c r="E84" s="136">
        <v>0</v>
      </c>
      <c r="F84" s="137">
        <f>E84*$B$56</f>
        <v>0</v>
      </c>
      <c r="G84" s="136">
        <v>0</v>
      </c>
      <c r="H84" s="137">
        <f>G84*$B$56</f>
        <v>0</v>
      </c>
      <c r="I84" s="138">
        <v>0</v>
      </c>
      <c r="J84" s="137">
        <f>I84*$B$56</f>
        <v>0</v>
      </c>
      <c r="K84" s="138">
        <v>0</v>
      </c>
      <c r="L84" s="137">
        <f>K84*$B$56</f>
        <v>0</v>
      </c>
      <c r="M84" s="138">
        <v>0</v>
      </c>
      <c r="N84" s="137">
        <f>M84*$B$56</f>
        <v>0</v>
      </c>
      <c r="O84" s="138">
        <v>0</v>
      </c>
      <c r="P84" s="137">
        <f>O84*$B$56</f>
        <v>0</v>
      </c>
      <c r="Q84" s="138">
        <v>0</v>
      </c>
      <c r="R84" s="137">
        <f>Q84*$B$56</f>
        <v>0</v>
      </c>
      <c r="S84" s="138">
        <v>0</v>
      </c>
      <c r="T84" s="137">
        <f>S84*$B$56</f>
        <v>0</v>
      </c>
      <c r="U84" s="138">
        <v>0</v>
      </c>
      <c r="V84" s="137">
        <f>U84*$B$56</f>
        <v>0</v>
      </c>
      <c r="W84" s="138">
        <v>0</v>
      </c>
      <c r="X84" s="137">
        <f>W84*$B$56</f>
        <v>0</v>
      </c>
      <c r="Y84" s="138">
        <v>0</v>
      </c>
      <c r="Z84" s="137">
        <f>Y84*$B$56</f>
        <v>0</v>
      </c>
      <c r="AA84" s="136">
        <v>0</v>
      </c>
      <c r="AB84" s="137">
        <f>AA84*$B$56</f>
        <v>0</v>
      </c>
      <c r="AC84" s="136">
        <v>0</v>
      </c>
      <c r="AD84" s="137">
        <f>AC84*$B$56</f>
        <v>0</v>
      </c>
      <c r="AE84" s="129">
        <f t="shared" si="13"/>
        <v>0</v>
      </c>
      <c r="AF84" s="121">
        <f t="shared" si="33"/>
        <v>0</v>
      </c>
      <c r="AH84" s="119"/>
    </row>
    <row r="85" spans="1:35" ht="15" hidden="1" customHeight="1">
      <c r="A85" s="139"/>
      <c r="B85" s="215"/>
      <c r="C85" s="136">
        <v>0</v>
      </c>
      <c r="D85" s="137">
        <f t="shared" ref="D85" si="41">C85*$B$67</f>
        <v>0</v>
      </c>
      <c r="E85" s="136">
        <v>0</v>
      </c>
      <c r="F85" s="137">
        <f>E85*$B$56</f>
        <v>0</v>
      </c>
      <c r="G85" s="136">
        <v>0</v>
      </c>
      <c r="H85" s="137">
        <f>G85*$B$56</f>
        <v>0</v>
      </c>
      <c r="I85" s="138">
        <v>0</v>
      </c>
      <c r="J85" s="137">
        <f>I85*$B$56</f>
        <v>0</v>
      </c>
      <c r="K85" s="138">
        <v>0</v>
      </c>
      <c r="L85" s="137">
        <f>K85*$B$56</f>
        <v>0</v>
      </c>
      <c r="M85" s="138">
        <v>0</v>
      </c>
      <c r="N85" s="137">
        <f>M85*$B$56</f>
        <v>0</v>
      </c>
      <c r="O85" s="138">
        <v>0</v>
      </c>
      <c r="P85" s="137">
        <f>O85*$B$56</f>
        <v>0</v>
      </c>
      <c r="Q85" s="138">
        <v>0</v>
      </c>
      <c r="R85" s="137">
        <f>Q85*$B$56</f>
        <v>0</v>
      </c>
      <c r="S85" s="138">
        <v>0</v>
      </c>
      <c r="T85" s="137">
        <f>S85*$B$56</f>
        <v>0</v>
      </c>
      <c r="U85" s="138">
        <v>0</v>
      </c>
      <c r="V85" s="137">
        <f>U85*$B$56</f>
        <v>0</v>
      </c>
      <c r="W85" s="138">
        <v>0</v>
      </c>
      <c r="X85" s="137">
        <f>W85*$B$56</f>
        <v>0</v>
      </c>
      <c r="Y85" s="138">
        <v>0</v>
      </c>
      <c r="Z85" s="137">
        <f>Y85*$B$56</f>
        <v>0</v>
      </c>
      <c r="AA85" s="136">
        <v>0</v>
      </c>
      <c r="AB85" s="137">
        <f>AA85*$B$56</f>
        <v>0</v>
      </c>
      <c r="AC85" s="136">
        <v>0</v>
      </c>
      <c r="AD85" s="137">
        <f>AC85*$B$56</f>
        <v>0</v>
      </c>
      <c r="AE85" s="129">
        <f t="shared" si="13"/>
        <v>0</v>
      </c>
      <c r="AF85" s="121">
        <f t="shared" si="33"/>
        <v>0</v>
      </c>
      <c r="AH85" s="119"/>
    </row>
    <row r="86" spans="1:35" ht="15" hidden="1" customHeight="1">
      <c r="A86" s="139"/>
      <c r="B86" s="215"/>
      <c r="C86" s="136">
        <v>0</v>
      </c>
      <c r="D86" s="137">
        <f t="shared" ref="D86" si="42">C86*$B$70</f>
        <v>0</v>
      </c>
      <c r="E86" s="136">
        <v>0</v>
      </c>
      <c r="F86" s="137">
        <f>E86*$B$54</f>
        <v>0</v>
      </c>
      <c r="G86" s="136">
        <v>0</v>
      </c>
      <c r="H86" s="137">
        <f>G86*$B$54</f>
        <v>0</v>
      </c>
      <c r="I86" s="138">
        <v>0</v>
      </c>
      <c r="J86" s="137">
        <f>I86*$B$54</f>
        <v>0</v>
      </c>
      <c r="K86" s="138">
        <v>0</v>
      </c>
      <c r="L86" s="137">
        <f>K86*$B$54</f>
        <v>0</v>
      </c>
      <c r="M86" s="138">
        <v>0</v>
      </c>
      <c r="N86" s="137">
        <f>M86*$B$54</f>
        <v>0</v>
      </c>
      <c r="O86" s="138">
        <v>0</v>
      </c>
      <c r="P86" s="137">
        <f>O86*$B$54</f>
        <v>0</v>
      </c>
      <c r="Q86" s="138">
        <v>0</v>
      </c>
      <c r="R86" s="137">
        <f>Q86*$B$54</f>
        <v>0</v>
      </c>
      <c r="S86" s="138">
        <v>0</v>
      </c>
      <c r="T86" s="137">
        <f>S86*$B$54</f>
        <v>0</v>
      </c>
      <c r="U86" s="138">
        <v>0</v>
      </c>
      <c r="V86" s="137">
        <f>U86*$B$54</f>
        <v>0</v>
      </c>
      <c r="W86" s="138">
        <v>0</v>
      </c>
      <c r="X86" s="137">
        <f>W86*$B$54</f>
        <v>0</v>
      </c>
      <c r="Y86" s="138">
        <v>0</v>
      </c>
      <c r="Z86" s="137">
        <f>Y86*$B$54</f>
        <v>0</v>
      </c>
      <c r="AA86" s="136">
        <v>0</v>
      </c>
      <c r="AB86" s="137">
        <f>AA86*$B$54</f>
        <v>0</v>
      </c>
      <c r="AC86" s="136">
        <v>0</v>
      </c>
      <c r="AD86" s="137">
        <f>AC86*$B$54</f>
        <v>0</v>
      </c>
      <c r="AE86" s="129">
        <f t="shared" si="13"/>
        <v>0</v>
      </c>
      <c r="AF86" s="121">
        <f t="shared" si="33"/>
        <v>0</v>
      </c>
      <c r="AH86" s="119"/>
    </row>
    <row r="87" spans="1:35" ht="15" hidden="1" customHeight="1">
      <c r="A87" s="139"/>
      <c r="B87" s="215"/>
      <c r="C87" s="136">
        <v>0</v>
      </c>
      <c r="D87" s="137">
        <f t="shared" ref="D87" si="43">C87*$B$51</f>
        <v>0</v>
      </c>
      <c r="E87" s="136">
        <v>0</v>
      </c>
      <c r="F87" s="137">
        <f>E87*$B$59</f>
        <v>0</v>
      </c>
      <c r="G87" s="136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8">
        <v>0</v>
      </c>
      <c r="X87" s="137">
        <f>W87*$B$59</f>
        <v>0</v>
      </c>
      <c r="Y87" s="138">
        <v>0</v>
      </c>
      <c r="Z87" s="137">
        <f>Y87*$B$59</f>
        <v>0</v>
      </c>
      <c r="AA87" s="136">
        <v>0</v>
      </c>
      <c r="AB87" s="137">
        <f>AA87*$B$59</f>
        <v>0</v>
      </c>
      <c r="AC87" s="136">
        <v>0</v>
      </c>
      <c r="AD87" s="137">
        <f>AC87*$B$59</f>
        <v>0</v>
      </c>
      <c r="AE87" s="129">
        <f t="shared" si="13"/>
        <v>0</v>
      </c>
      <c r="AF87" s="121">
        <f t="shared" si="33"/>
        <v>0</v>
      </c>
      <c r="AH87" s="119"/>
    </row>
    <row r="88" spans="1:35" ht="15" hidden="1" customHeight="1">
      <c r="A88" s="139"/>
      <c r="B88" s="215"/>
      <c r="C88" s="136">
        <v>0</v>
      </c>
      <c r="D88" s="137">
        <f t="shared" ref="D88" si="44">C88*$B$52</f>
        <v>0</v>
      </c>
      <c r="E88" s="136">
        <v>0</v>
      </c>
      <c r="F88" s="137">
        <f>E88*$B$59</f>
        <v>0</v>
      </c>
      <c r="G88" s="136">
        <v>0</v>
      </c>
      <c r="H88" s="137">
        <f>G88*$B$59</f>
        <v>0</v>
      </c>
      <c r="I88" s="138">
        <v>0</v>
      </c>
      <c r="J88" s="137">
        <f>I88*$B$59</f>
        <v>0</v>
      </c>
      <c r="K88" s="138">
        <v>0</v>
      </c>
      <c r="L88" s="137">
        <f>K88*$B$59</f>
        <v>0</v>
      </c>
      <c r="M88" s="138">
        <v>0</v>
      </c>
      <c r="N88" s="137">
        <f>M88*$B$59</f>
        <v>0</v>
      </c>
      <c r="O88" s="138">
        <v>0</v>
      </c>
      <c r="P88" s="137">
        <f>O88*$B$59</f>
        <v>0</v>
      </c>
      <c r="Q88" s="138">
        <v>0</v>
      </c>
      <c r="R88" s="137">
        <f>Q88*$B$59</f>
        <v>0</v>
      </c>
      <c r="S88" s="138">
        <v>0</v>
      </c>
      <c r="T88" s="137">
        <f>S88*$B$59</f>
        <v>0</v>
      </c>
      <c r="U88" s="138">
        <v>0</v>
      </c>
      <c r="V88" s="137">
        <f>U88*$B$59</f>
        <v>0</v>
      </c>
      <c r="W88" s="138">
        <v>0</v>
      </c>
      <c r="X88" s="137">
        <f>W88*$B$59</f>
        <v>0</v>
      </c>
      <c r="Y88" s="138">
        <v>0</v>
      </c>
      <c r="Z88" s="137">
        <f>Y88*$B$59</f>
        <v>0</v>
      </c>
      <c r="AA88" s="136">
        <v>0</v>
      </c>
      <c r="AB88" s="137">
        <f>AA88*$B$59</f>
        <v>0</v>
      </c>
      <c r="AC88" s="136">
        <v>0</v>
      </c>
      <c r="AD88" s="137">
        <f>AC88*$B$59</f>
        <v>0</v>
      </c>
      <c r="AE88" s="129">
        <f t="shared" si="13"/>
        <v>0</v>
      </c>
      <c r="AF88" s="121">
        <f t="shared" si="33"/>
        <v>0</v>
      </c>
      <c r="AH88" s="119"/>
    </row>
    <row r="89" spans="1:35" ht="15" hidden="1" customHeight="1">
      <c r="A89" s="139"/>
      <c r="B89" s="215"/>
      <c r="C89" s="136">
        <v>0</v>
      </c>
      <c r="D89" s="137">
        <f t="shared" ref="D89" si="45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8">
        <v>0</v>
      </c>
      <c r="J89" s="137">
        <f>I89*$B$61</f>
        <v>0</v>
      </c>
      <c r="K89" s="138">
        <v>0</v>
      </c>
      <c r="L89" s="137">
        <f>K89*$B$61</f>
        <v>0</v>
      </c>
      <c r="M89" s="138">
        <v>0</v>
      </c>
      <c r="N89" s="137">
        <f>M89*$B$61</f>
        <v>0</v>
      </c>
      <c r="O89" s="138">
        <v>0</v>
      </c>
      <c r="P89" s="137">
        <f>O89*$B$61</f>
        <v>0</v>
      </c>
      <c r="Q89" s="138">
        <v>0</v>
      </c>
      <c r="R89" s="137">
        <f>Q89*$B$61</f>
        <v>0</v>
      </c>
      <c r="S89" s="138">
        <v>0</v>
      </c>
      <c r="T89" s="137">
        <f>S89*$B$61</f>
        <v>0</v>
      </c>
      <c r="U89" s="138">
        <v>0</v>
      </c>
      <c r="V89" s="137">
        <f>U89*$B$61</f>
        <v>0</v>
      </c>
      <c r="W89" s="138">
        <v>0</v>
      </c>
      <c r="X89" s="137">
        <f>W89*$B$61</f>
        <v>0</v>
      </c>
      <c r="Y89" s="138">
        <v>0</v>
      </c>
      <c r="Z89" s="137">
        <f>Y89*$B$61</f>
        <v>0</v>
      </c>
      <c r="AA89" s="136">
        <v>0</v>
      </c>
      <c r="AB89" s="137">
        <f>AA89*$B$61</f>
        <v>0</v>
      </c>
      <c r="AC89" s="136">
        <v>0</v>
      </c>
      <c r="AD89" s="137">
        <f>AC89*$B$61</f>
        <v>0</v>
      </c>
      <c r="AE89" s="129">
        <f t="shared" si="13"/>
        <v>0</v>
      </c>
      <c r="AF89" s="121">
        <f t="shared" si="33"/>
        <v>0</v>
      </c>
      <c r="AH89" s="119"/>
    </row>
    <row r="90" spans="1:35" s="1" customFormat="1" ht="15" hidden="1" customHeight="1">
      <c r="A90" s="139"/>
      <c r="B90" s="215"/>
      <c r="C90" s="136">
        <v>0</v>
      </c>
      <c r="D90" s="137">
        <f t="shared" ref="D90" si="46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8">
        <v>0</v>
      </c>
      <c r="J90" s="140">
        <f>I90*$B$62</f>
        <v>0</v>
      </c>
      <c r="K90" s="138">
        <v>0</v>
      </c>
      <c r="L90" s="140">
        <f>K90*$B$62</f>
        <v>0</v>
      </c>
      <c r="M90" s="138">
        <v>0</v>
      </c>
      <c r="N90" s="140">
        <f>M90*$B$62</f>
        <v>0</v>
      </c>
      <c r="O90" s="138">
        <v>0</v>
      </c>
      <c r="P90" s="140">
        <f>O90*$B$62</f>
        <v>0</v>
      </c>
      <c r="Q90" s="138">
        <v>0</v>
      </c>
      <c r="R90" s="140">
        <f>Q90*$B$62</f>
        <v>0</v>
      </c>
      <c r="S90" s="138">
        <v>0</v>
      </c>
      <c r="T90" s="140">
        <f>S90*$B$62</f>
        <v>0</v>
      </c>
      <c r="U90" s="138">
        <v>0</v>
      </c>
      <c r="V90" s="140">
        <f>U90*$B$62</f>
        <v>0</v>
      </c>
      <c r="W90" s="138">
        <v>0</v>
      </c>
      <c r="X90" s="140">
        <f>W90*$B$62</f>
        <v>0</v>
      </c>
      <c r="Y90" s="138">
        <v>0</v>
      </c>
      <c r="Z90" s="140">
        <f>Y90*$B$62</f>
        <v>0</v>
      </c>
      <c r="AA90" s="136">
        <v>0</v>
      </c>
      <c r="AB90" s="140">
        <f>AA90*$B$62</f>
        <v>0</v>
      </c>
      <c r="AC90" s="136">
        <v>0</v>
      </c>
      <c r="AD90" s="140">
        <f>AC90*$B$62</f>
        <v>0</v>
      </c>
      <c r="AE90" s="129">
        <f t="shared" si="13"/>
        <v>0</v>
      </c>
      <c r="AF90" s="121">
        <f t="shared" si="33"/>
        <v>0</v>
      </c>
      <c r="AH90" s="119"/>
      <c r="AI90" s="146"/>
    </row>
    <row r="91" spans="1:35" s="1" customFormat="1" ht="15" hidden="1" customHeight="1">
      <c r="A91" s="141"/>
      <c r="B91" s="215"/>
      <c r="C91" s="136">
        <v>0</v>
      </c>
      <c r="D91" s="137">
        <f t="shared" ref="D91" si="47">C91*$B$55</f>
        <v>0</v>
      </c>
      <c r="E91" s="136">
        <v>0</v>
      </c>
      <c r="F91" s="137">
        <f>E91*$B$63</f>
        <v>0</v>
      </c>
      <c r="G91" s="136">
        <v>0</v>
      </c>
      <c r="H91" s="137">
        <f>G91*$B$63</f>
        <v>0</v>
      </c>
      <c r="I91" s="136">
        <v>0</v>
      </c>
      <c r="J91" s="137">
        <f>I91*$B$63</f>
        <v>0</v>
      </c>
      <c r="K91" s="136">
        <v>0</v>
      </c>
      <c r="L91" s="137">
        <f>K91*$B$63</f>
        <v>0</v>
      </c>
      <c r="M91" s="136">
        <v>0</v>
      </c>
      <c r="N91" s="137">
        <f>M91*$B$63</f>
        <v>0</v>
      </c>
      <c r="O91" s="136">
        <v>0</v>
      </c>
      <c r="P91" s="137">
        <f>O91*$B$63</f>
        <v>0</v>
      </c>
      <c r="Q91" s="136">
        <v>0</v>
      </c>
      <c r="R91" s="137">
        <f>Q91*$B$63</f>
        <v>0</v>
      </c>
      <c r="S91" s="136">
        <v>0</v>
      </c>
      <c r="T91" s="137">
        <f>S91*$B$63</f>
        <v>0</v>
      </c>
      <c r="U91" s="136">
        <v>0</v>
      </c>
      <c r="V91" s="137">
        <f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A91" s="136">
        <v>0</v>
      </c>
      <c r="AB91" s="137">
        <f>AA91*$B$63</f>
        <v>0</v>
      </c>
      <c r="AC91" s="136">
        <v>0</v>
      </c>
      <c r="AD91" s="137">
        <f>AC91*$B$63</f>
        <v>0</v>
      </c>
      <c r="AE91" s="129">
        <f t="shared" si="13"/>
        <v>0</v>
      </c>
      <c r="AF91" s="121">
        <f t="shared" si="33"/>
        <v>0</v>
      </c>
      <c r="AH91" s="119"/>
      <c r="AI91" s="146"/>
    </row>
    <row r="92" spans="1:35" s="1" customFormat="1" ht="15" hidden="1" customHeight="1">
      <c r="A92" s="142"/>
      <c r="B92" s="215"/>
      <c r="C92" s="136">
        <v>0</v>
      </c>
      <c r="D92" s="137">
        <f t="shared" ref="D92:D93" si="48">C92*$B$56</f>
        <v>0</v>
      </c>
      <c r="E92" s="136">
        <v>0</v>
      </c>
      <c r="F92" s="140">
        <f>E92*$B$64</f>
        <v>0</v>
      </c>
      <c r="G92" s="136">
        <v>0</v>
      </c>
      <c r="H92" s="140">
        <f>G92*$B$64</f>
        <v>0</v>
      </c>
      <c r="I92" s="136">
        <v>0</v>
      </c>
      <c r="J92" s="140">
        <f>I92*$B$64</f>
        <v>0</v>
      </c>
      <c r="K92" s="136">
        <v>0</v>
      </c>
      <c r="L92" s="140">
        <f>K92*$B$64</f>
        <v>0</v>
      </c>
      <c r="M92" s="136">
        <v>0</v>
      </c>
      <c r="N92" s="140">
        <f>M92*$B$64</f>
        <v>0</v>
      </c>
      <c r="O92" s="136">
        <v>0</v>
      </c>
      <c r="P92" s="140">
        <f>O92*$B$64</f>
        <v>0</v>
      </c>
      <c r="Q92" s="136">
        <v>0</v>
      </c>
      <c r="R92" s="140">
        <f>Q92*$B$64</f>
        <v>0</v>
      </c>
      <c r="S92" s="136">
        <v>0</v>
      </c>
      <c r="T92" s="140">
        <f>S92*$B$64</f>
        <v>0</v>
      </c>
      <c r="U92" s="136">
        <v>0</v>
      </c>
      <c r="V92" s="140">
        <f>U92*$B$64</f>
        <v>0</v>
      </c>
      <c r="W92" s="136">
        <v>0</v>
      </c>
      <c r="X92" s="140">
        <f>W92*$B$64</f>
        <v>0</v>
      </c>
      <c r="Y92" s="136">
        <v>0</v>
      </c>
      <c r="Z92" s="140">
        <f>Y92*$B$64</f>
        <v>0</v>
      </c>
      <c r="AA92" s="136">
        <v>0</v>
      </c>
      <c r="AB92" s="140">
        <f>AA92*$B$64</f>
        <v>0</v>
      </c>
      <c r="AC92" s="136">
        <v>0</v>
      </c>
      <c r="AD92" s="140">
        <f>AC92*$B$64</f>
        <v>0</v>
      </c>
      <c r="AE92" s="129">
        <f t="shared" si="13"/>
        <v>0</v>
      </c>
      <c r="AF92" s="121">
        <f t="shared" si="33"/>
        <v>0</v>
      </c>
      <c r="AH92" s="119"/>
      <c r="AI92" s="146"/>
    </row>
    <row r="93" spans="1:35" s="1" customFormat="1" ht="15" hidden="1" customHeight="1">
      <c r="A93" s="142"/>
      <c r="B93" s="215"/>
      <c r="C93" s="136">
        <v>0</v>
      </c>
      <c r="D93" s="137">
        <f t="shared" si="48"/>
        <v>0</v>
      </c>
      <c r="E93" s="136">
        <v>0</v>
      </c>
      <c r="F93" s="137">
        <f t="shared" ref="F93:F96" si="49">E93*$B$65</f>
        <v>0</v>
      </c>
      <c r="G93" s="136">
        <v>0</v>
      </c>
      <c r="H93" s="137">
        <f>G93*$B$65</f>
        <v>0</v>
      </c>
      <c r="I93" s="136">
        <v>0</v>
      </c>
      <c r="J93" s="137">
        <f t="shared" ref="J93:J96" si="50">I93*$B$65</f>
        <v>0</v>
      </c>
      <c r="K93" s="136">
        <v>0</v>
      </c>
      <c r="L93" s="137">
        <f t="shared" ref="L93:L96" si="51">K93*$B$65</f>
        <v>0</v>
      </c>
      <c r="M93" s="136">
        <v>0</v>
      </c>
      <c r="N93" s="137">
        <f t="shared" ref="N93:N96" si="52">M93*$B$65</f>
        <v>0</v>
      </c>
      <c r="O93" s="136">
        <v>0</v>
      </c>
      <c r="P93" s="137">
        <f t="shared" ref="P93:P96" si="53">O93*$B$65</f>
        <v>0</v>
      </c>
      <c r="Q93" s="136">
        <v>0</v>
      </c>
      <c r="R93" s="137">
        <f t="shared" ref="R93:R96" si="54">Q93*$B$65</f>
        <v>0</v>
      </c>
      <c r="S93" s="136">
        <v>0</v>
      </c>
      <c r="T93" s="137">
        <f t="shared" ref="T93:T96" si="55">S93*$B$65</f>
        <v>0</v>
      </c>
      <c r="U93" s="136">
        <v>0</v>
      </c>
      <c r="V93" s="137">
        <f t="shared" ref="V93:V96" si="56">U93*$B$65</f>
        <v>0</v>
      </c>
      <c r="W93" s="136">
        <v>0</v>
      </c>
      <c r="X93" s="137">
        <f t="shared" ref="X93:X96" si="57">W93*$B$65</f>
        <v>0</v>
      </c>
      <c r="Y93" s="136">
        <v>0</v>
      </c>
      <c r="Z93" s="137">
        <f t="shared" ref="Z93:Z96" si="58">Y93*$B$65</f>
        <v>0</v>
      </c>
      <c r="AA93" s="136">
        <v>0</v>
      </c>
      <c r="AB93" s="137">
        <f>AA93*$B$65</f>
        <v>0</v>
      </c>
      <c r="AC93" s="136">
        <v>0</v>
      </c>
      <c r="AD93" s="137">
        <f>AC93*$B$65</f>
        <v>0</v>
      </c>
      <c r="AE93" s="129">
        <f t="shared" si="13"/>
        <v>0</v>
      </c>
      <c r="AF93" s="121">
        <f t="shared" si="33"/>
        <v>0</v>
      </c>
      <c r="AH93" s="119"/>
      <c r="AI93" s="146"/>
    </row>
    <row r="94" spans="1:35" s="1" customFormat="1" ht="15" hidden="1" customHeight="1">
      <c r="A94" s="142"/>
      <c r="B94" s="215"/>
      <c r="C94" s="136">
        <v>0</v>
      </c>
      <c r="D94" s="137">
        <f t="shared" ref="D94" si="59">C94*$B$58</f>
        <v>0</v>
      </c>
      <c r="E94" s="136">
        <v>0</v>
      </c>
      <c r="F94" s="137">
        <f t="shared" si="49"/>
        <v>0</v>
      </c>
      <c r="G94" s="136">
        <v>0</v>
      </c>
      <c r="H94" s="137">
        <f>G94*$B$65</f>
        <v>0</v>
      </c>
      <c r="I94" s="136">
        <v>0</v>
      </c>
      <c r="J94" s="137">
        <f t="shared" si="50"/>
        <v>0</v>
      </c>
      <c r="K94" s="136">
        <v>0</v>
      </c>
      <c r="L94" s="137">
        <f t="shared" si="51"/>
        <v>0</v>
      </c>
      <c r="M94" s="136">
        <v>0</v>
      </c>
      <c r="N94" s="137">
        <f t="shared" si="52"/>
        <v>0</v>
      </c>
      <c r="O94" s="136">
        <v>0</v>
      </c>
      <c r="P94" s="137">
        <f t="shared" si="53"/>
        <v>0</v>
      </c>
      <c r="Q94" s="136">
        <v>0</v>
      </c>
      <c r="R94" s="137">
        <f t="shared" si="54"/>
        <v>0</v>
      </c>
      <c r="S94" s="136">
        <v>0</v>
      </c>
      <c r="T94" s="137">
        <f t="shared" si="55"/>
        <v>0</v>
      </c>
      <c r="U94" s="136">
        <v>0</v>
      </c>
      <c r="V94" s="137">
        <f t="shared" si="56"/>
        <v>0</v>
      </c>
      <c r="W94" s="136">
        <v>0</v>
      </c>
      <c r="X94" s="137">
        <f t="shared" si="57"/>
        <v>0</v>
      </c>
      <c r="Y94" s="136">
        <v>0</v>
      </c>
      <c r="Z94" s="137">
        <f t="shared" si="58"/>
        <v>0</v>
      </c>
      <c r="AA94" s="136">
        <v>0</v>
      </c>
      <c r="AB94" s="137">
        <f>AA94*$B$65</f>
        <v>0</v>
      </c>
      <c r="AC94" s="136">
        <v>0</v>
      </c>
      <c r="AD94" s="137">
        <f>AC94*$B$65</f>
        <v>0</v>
      </c>
      <c r="AE94" s="129">
        <f t="shared" si="13"/>
        <v>0</v>
      </c>
      <c r="AF94" s="121">
        <f t="shared" si="33"/>
        <v>0</v>
      </c>
      <c r="AH94" s="119"/>
      <c r="AI94" s="146"/>
    </row>
    <row r="95" spans="1:35" s="1" customFormat="1" ht="15" hidden="1" customHeight="1">
      <c r="A95" s="142"/>
      <c r="B95" s="215"/>
      <c r="C95" s="136">
        <v>0</v>
      </c>
      <c r="D95" s="137">
        <f t="shared" ref="D95" si="60">C95*$B$59</f>
        <v>0</v>
      </c>
      <c r="E95" s="136">
        <v>0</v>
      </c>
      <c r="F95" s="137">
        <f t="shared" si="49"/>
        <v>0</v>
      </c>
      <c r="G95" s="136">
        <v>0</v>
      </c>
      <c r="H95" s="137">
        <f>G95*$B$65</f>
        <v>0</v>
      </c>
      <c r="I95" s="136">
        <v>0</v>
      </c>
      <c r="J95" s="137">
        <f t="shared" si="50"/>
        <v>0</v>
      </c>
      <c r="K95" s="136">
        <v>0</v>
      </c>
      <c r="L95" s="137">
        <f t="shared" si="51"/>
        <v>0</v>
      </c>
      <c r="M95" s="136">
        <v>0</v>
      </c>
      <c r="N95" s="137">
        <f t="shared" si="52"/>
        <v>0</v>
      </c>
      <c r="O95" s="136">
        <v>0</v>
      </c>
      <c r="P95" s="137">
        <f t="shared" si="53"/>
        <v>0</v>
      </c>
      <c r="Q95" s="136">
        <v>0</v>
      </c>
      <c r="R95" s="137">
        <f t="shared" si="54"/>
        <v>0</v>
      </c>
      <c r="S95" s="136">
        <v>0</v>
      </c>
      <c r="T95" s="137">
        <f t="shared" si="55"/>
        <v>0</v>
      </c>
      <c r="U95" s="136">
        <v>0</v>
      </c>
      <c r="V95" s="137">
        <f t="shared" si="56"/>
        <v>0</v>
      </c>
      <c r="W95" s="136">
        <v>0</v>
      </c>
      <c r="X95" s="137">
        <f t="shared" si="57"/>
        <v>0</v>
      </c>
      <c r="Y95" s="136">
        <v>0</v>
      </c>
      <c r="Z95" s="137">
        <f t="shared" si="58"/>
        <v>0</v>
      </c>
      <c r="AA95" s="136">
        <v>0</v>
      </c>
      <c r="AB95" s="137">
        <f>AA95*$B$65</f>
        <v>0</v>
      </c>
      <c r="AC95" s="136">
        <v>0</v>
      </c>
      <c r="AD95" s="137">
        <f>AC95*$B$65</f>
        <v>0</v>
      </c>
      <c r="AE95" s="129">
        <f t="shared" si="13"/>
        <v>0</v>
      </c>
      <c r="AF95" s="121">
        <f t="shared" si="33"/>
        <v>0</v>
      </c>
      <c r="AH95" s="119"/>
      <c r="AI95" s="146"/>
    </row>
    <row r="96" spans="1:35" s="1" customFormat="1" ht="15" customHeight="1">
      <c r="A96" s="135" t="s">
        <v>53</v>
      </c>
      <c r="B96" s="215"/>
      <c r="C96" s="136">
        <v>0</v>
      </c>
      <c r="D96" s="137">
        <f t="shared" ref="D96" si="61">C96*$B$60</f>
        <v>0</v>
      </c>
      <c r="E96" s="136">
        <v>0</v>
      </c>
      <c r="F96" s="137">
        <f t="shared" si="49"/>
        <v>0</v>
      </c>
      <c r="G96" s="136">
        <v>0</v>
      </c>
      <c r="H96" s="137">
        <f>G96*B96</f>
        <v>0</v>
      </c>
      <c r="I96" s="136">
        <v>0</v>
      </c>
      <c r="J96" s="137">
        <f t="shared" si="50"/>
        <v>0</v>
      </c>
      <c r="K96" s="136">
        <v>0</v>
      </c>
      <c r="L96" s="137">
        <f t="shared" si="51"/>
        <v>0</v>
      </c>
      <c r="M96" s="136">
        <v>0</v>
      </c>
      <c r="N96" s="137">
        <f t="shared" si="52"/>
        <v>0</v>
      </c>
      <c r="O96" s="136">
        <v>0</v>
      </c>
      <c r="P96" s="137">
        <f t="shared" si="53"/>
        <v>0</v>
      </c>
      <c r="Q96" s="136">
        <v>0</v>
      </c>
      <c r="R96" s="137">
        <f t="shared" si="54"/>
        <v>0</v>
      </c>
      <c r="S96" s="136">
        <v>0</v>
      </c>
      <c r="T96" s="137">
        <f t="shared" si="55"/>
        <v>0</v>
      </c>
      <c r="U96" s="136">
        <v>0</v>
      </c>
      <c r="V96" s="137">
        <f t="shared" si="56"/>
        <v>0</v>
      </c>
      <c r="W96" s="136">
        <v>0</v>
      </c>
      <c r="X96" s="137">
        <f t="shared" si="57"/>
        <v>0</v>
      </c>
      <c r="Y96" s="136">
        <v>0</v>
      </c>
      <c r="Z96" s="137">
        <f t="shared" si="58"/>
        <v>0</v>
      </c>
      <c r="AA96" s="136">
        <v>0</v>
      </c>
      <c r="AB96" s="137">
        <f>AA96*$B$65</f>
        <v>0</v>
      </c>
      <c r="AC96" s="136">
        <v>0</v>
      </c>
      <c r="AD96" s="137">
        <f>AC96*$B$65</f>
        <v>0</v>
      </c>
      <c r="AE96" s="129">
        <v>0</v>
      </c>
      <c r="AF96" s="121">
        <f t="shared" si="33"/>
        <v>0</v>
      </c>
      <c r="AH96" s="119"/>
      <c r="AI96" s="146"/>
    </row>
    <row r="97" spans="1:35" s="1" customFormat="1" ht="30" hidden="1" customHeight="1">
      <c r="A97" s="135" t="s">
        <v>54</v>
      </c>
      <c r="B97" s="215"/>
      <c r="C97" s="136">
        <v>0</v>
      </c>
      <c r="D97" s="137">
        <f>C97*$B$70</f>
        <v>0</v>
      </c>
      <c r="E97" s="136">
        <v>0</v>
      </c>
      <c r="F97" s="137">
        <f>E97*$B$65</f>
        <v>0</v>
      </c>
      <c r="G97" s="136">
        <v>0</v>
      </c>
      <c r="H97" s="137">
        <f>G97*$B$65</f>
        <v>0</v>
      </c>
      <c r="I97" s="136">
        <v>0</v>
      </c>
      <c r="J97" s="137">
        <f>I97*$B$65</f>
        <v>0</v>
      </c>
      <c r="K97" s="136">
        <v>0</v>
      </c>
      <c r="L97" s="137">
        <f>K97*$B$65</f>
        <v>0</v>
      </c>
      <c r="M97" s="136">
        <v>0</v>
      </c>
      <c r="N97" s="137">
        <f>M97*$B$65</f>
        <v>0</v>
      </c>
      <c r="O97" s="136">
        <v>0</v>
      </c>
      <c r="P97" s="137">
        <f>O97*$B$65</f>
        <v>0</v>
      </c>
      <c r="Q97" s="136">
        <v>0</v>
      </c>
      <c r="R97" s="137">
        <f>Q97*$B$65</f>
        <v>0</v>
      </c>
      <c r="S97" s="136">
        <v>0</v>
      </c>
      <c r="T97" s="137">
        <f>S97*$B$65</f>
        <v>0</v>
      </c>
      <c r="U97" s="136">
        <v>0</v>
      </c>
      <c r="V97" s="137">
        <f>U97*$B$65</f>
        <v>0</v>
      </c>
      <c r="W97" s="136">
        <v>0</v>
      </c>
      <c r="X97" s="137">
        <f>W97*$B$65</f>
        <v>0</v>
      </c>
      <c r="Y97" s="136">
        <v>0</v>
      </c>
      <c r="Z97" s="137">
        <f>Y97*$B$65</f>
        <v>0</v>
      </c>
      <c r="AA97" s="136">
        <v>0</v>
      </c>
      <c r="AB97" s="137">
        <f>AA97*B97</f>
        <v>0</v>
      </c>
      <c r="AC97" s="136"/>
      <c r="AD97" s="137">
        <f>AC97*B97</f>
        <v>0</v>
      </c>
      <c r="AE97" s="129">
        <f t="shared" ref="AE97:AE98" si="62">C97+E97+G97+AC97</f>
        <v>0</v>
      </c>
      <c r="AF97" s="121">
        <f t="shared" si="33"/>
        <v>0</v>
      </c>
      <c r="AH97" s="119"/>
      <c r="AI97" s="146"/>
    </row>
    <row r="98" spans="1:35" s="1" customFormat="1" ht="17.25" customHeight="1" thickBot="1">
      <c r="A98" s="135"/>
      <c r="B98" s="215"/>
      <c r="C98" s="136">
        <v>0</v>
      </c>
      <c r="D98" s="137">
        <f>C98*$B$70</f>
        <v>0</v>
      </c>
      <c r="E98" s="136">
        <v>0</v>
      </c>
      <c r="F98" s="137">
        <f>E98*$B$65</f>
        <v>0</v>
      </c>
      <c r="G98" s="136">
        <v>0</v>
      </c>
      <c r="H98" s="137">
        <f>G98*$B$65</f>
        <v>0</v>
      </c>
      <c r="I98" s="136">
        <v>0</v>
      </c>
      <c r="J98" s="137">
        <f>I98*$B$65</f>
        <v>0</v>
      </c>
      <c r="K98" s="136">
        <v>0</v>
      </c>
      <c r="L98" s="137">
        <f>K98*$B$65</f>
        <v>0</v>
      </c>
      <c r="M98" s="136">
        <v>0</v>
      </c>
      <c r="N98" s="137">
        <f>M98*$B$65</f>
        <v>0</v>
      </c>
      <c r="O98" s="136">
        <v>0</v>
      </c>
      <c r="P98" s="137">
        <f>O98*$B$65</f>
        <v>0</v>
      </c>
      <c r="Q98" s="136">
        <v>0</v>
      </c>
      <c r="R98" s="137">
        <f>Q98*$B$65</f>
        <v>0</v>
      </c>
      <c r="S98" s="136">
        <v>0</v>
      </c>
      <c r="T98" s="137">
        <f>S98*$B$65</f>
        <v>0</v>
      </c>
      <c r="U98" s="136">
        <v>0</v>
      </c>
      <c r="V98" s="137">
        <f>U98*$B$65</f>
        <v>0</v>
      </c>
      <c r="W98" s="136">
        <v>0</v>
      </c>
      <c r="X98" s="137">
        <f>W98*$B$65</f>
        <v>0</v>
      </c>
      <c r="Y98" s="136">
        <v>0</v>
      </c>
      <c r="Z98" s="137">
        <f>Y98*$B$65</f>
        <v>0</v>
      </c>
      <c r="AA98" s="136"/>
      <c r="AB98" s="137">
        <f>AA98*B98</f>
        <v>0</v>
      </c>
      <c r="AC98" s="136">
        <v>0</v>
      </c>
      <c r="AD98" s="137">
        <f>AC98*B98</f>
        <v>0</v>
      </c>
      <c r="AE98" s="129">
        <f t="shared" si="62"/>
        <v>0</v>
      </c>
      <c r="AF98" s="121">
        <f t="shared" si="33"/>
        <v>0</v>
      </c>
      <c r="AH98" s="119"/>
      <c r="AI98" s="146"/>
    </row>
    <row r="99" spans="1:35" ht="13">
      <c r="A99" s="160" t="s">
        <v>14</v>
      </c>
      <c r="B99" s="161"/>
      <c r="C99" s="143"/>
      <c r="D99" s="144">
        <f>SUM(D28:D98)</f>
        <v>124388</v>
      </c>
      <c r="E99" s="143"/>
      <c r="F99" s="144">
        <f>SUM(F28:F98)</f>
        <v>0</v>
      </c>
      <c r="G99" s="143"/>
      <c r="H99" s="144">
        <f>SUM(H28:H98)</f>
        <v>0</v>
      </c>
      <c r="I99" s="143"/>
      <c r="J99" s="144" t="e">
        <f>SUM(J26:J74)</f>
        <v>#REF!</v>
      </c>
      <c r="K99" s="143"/>
      <c r="L99" s="144" t="e">
        <f>SUM(L26:L74)</f>
        <v>#REF!</v>
      </c>
      <c r="M99" s="143"/>
      <c r="N99" s="144" t="e">
        <f>SUM(N26:N74)</f>
        <v>#REF!</v>
      </c>
      <c r="O99" s="143"/>
      <c r="P99" s="144" t="e">
        <f>SUM(P26:P74)</f>
        <v>#REF!</v>
      </c>
      <c r="Q99" s="143"/>
      <c r="R99" s="144" t="e">
        <f>SUM(R26:R74)</f>
        <v>#REF!</v>
      </c>
      <c r="S99" s="143"/>
      <c r="T99" s="144" t="e">
        <f>SUM(T26:T74)</f>
        <v>#REF!</v>
      </c>
      <c r="U99" s="143"/>
      <c r="V99" s="144" t="e">
        <f>SUM(V26:V74)</f>
        <v>#REF!</v>
      </c>
      <c r="W99" s="143"/>
      <c r="X99" s="144" t="e">
        <f>SUM(X26:X74)</f>
        <v>#REF!</v>
      </c>
      <c r="Y99" s="143"/>
      <c r="Z99" s="144" t="e">
        <f>SUM(Z26:Z74)</f>
        <v>#REF!</v>
      </c>
      <c r="AA99" s="143"/>
      <c r="AB99" s="144">
        <f>SUM(AB28:AB98)</f>
        <v>0</v>
      </c>
      <c r="AC99" s="143"/>
      <c r="AD99" s="144">
        <f>SUM(AD28:AD98)</f>
        <v>0</v>
      </c>
      <c r="AE99" s="162"/>
      <c r="AF99" s="163">
        <f>SUM(AF28:AF98)</f>
        <v>124388</v>
      </c>
      <c r="AH99" s="216"/>
    </row>
    <row r="100" spans="1:35" ht="13">
      <c r="A100" s="164" t="s">
        <v>15</v>
      </c>
      <c r="B100" s="157"/>
      <c r="C100" s="136"/>
      <c r="D100" s="137">
        <f>D99+D25</f>
        <v>207154.84720000002</v>
      </c>
      <c r="E100" s="137" t="s">
        <v>0</v>
      </c>
      <c r="F100" s="137">
        <f>F99+F25</f>
        <v>0</v>
      </c>
      <c r="G100" s="137" t="s">
        <v>0</v>
      </c>
      <c r="H100" s="137">
        <f>H99+H25</f>
        <v>0</v>
      </c>
      <c r="I100" s="136"/>
      <c r="J100" s="137" t="e">
        <f>SUM(J99,J25)</f>
        <v>#REF!</v>
      </c>
      <c r="K100" s="136"/>
      <c r="L100" s="137" t="e">
        <f>SUM(L99,L25)</f>
        <v>#REF!</v>
      </c>
      <c r="M100" s="136"/>
      <c r="N100" s="137" t="e">
        <f>SUM(N99,N25)</f>
        <v>#REF!</v>
      </c>
      <c r="O100" s="136"/>
      <c r="P100" s="137" t="e">
        <f>SUM(P99,P25)</f>
        <v>#REF!</v>
      </c>
      <c r="Q100" s="136"/>
      <c r="R100" s="137" t="e">
        <f>SUM(R99,R25)</f>
        <v>#REF!</v>
      </c>
      <c r="S100" s="136"/>
      <c r="T100" s="137" t="e">
        <f>SUM(T99,T25)</f>
        <v>#REF!</v>
      </c>
      <c r="U100" s="136"/>
      <c r="V100" s="137" t="e">
        <f>SUM(V99,V25)</f>
        <v>#REF!</v>
      </c>
      <c r="W100" s="136"/>
      <c r="X100" s="137" t="e">
        <f>SUM(X99,X25)</f>
        <v>#REF!</v>
      </c>
      <c r="Y100" s="136"/>
      <c r="Z100" s="137" t="e">
        <f>SUM(Z99,Z25)</f>
        <v>#REF!</v>
      </c>
      <c r="AA100" s="137" t="s">
        <v>0</v>
      </c>
      <c r="AB100" s="137">
        <f>AB99+AB25</f>
        <v>0</v>
      </c>
      <c r="AC100" s="137" t="s">
        <v>0</v>
      </c>
      <c r="AD100" s="137">
        <f>AD99+AD25</f>
        <v>32.214399999999998</v>
      </c>
      <c r="AE100" s="158"/>
      <c r="AF100" s="165">
        <f>AF99+AF25</f>
        <v>207187.06160000002</v>
      </c>
      <c r="AH100" s="216"/>
    </row>
    <row r="101" spans="1:35" ht="14" thickBot="1">
      <c r="A101" s="168" t="s">
        <v>16</v>
      </c>
      <c r="B101" s="169">
        <v>9.7000000000000003E-2</v>
      </c>
      <c r="C101" s="149"/>
      <c r="D101" s="150">
        <f>D100*$B$101</f>
        <v>20094.020178400002</v>
      </c>
      <c r="E101" s="149"/>
      <c r="F101" s="150">
        <f>F100*$B$101</f>
        <v>0</v>
      </c>
      <c r="G101" s="149"/>
      <c r="H101" s="150">
        <f>H100*$B$101</f>
        <v>0</v>
      </c>
      <c r="I101" s="149"/>
      <c r="J101" s="150" t="e">
        <f>J100*$B$101</f>
        <v>#REF!</v>
      </c>
      <c r="K101" s="149"/>
      <c r="L101" s="150" t="e">
        <f>L100*$B$101</f>
        <v>#REF!</v>
      </c>
      <c r="M101" s="149"/>
      <c r="N101" s="150" t="e">
        <f>N100*$B$101</f>
        <v>#REF!</v>
      </c>
      <c r="O101" s="149"/>
      <c r="P101" s="150" t="e">
        <f>P100*$B$101</f>
        <v>#REF!</v>
      </c>
      <c r="Q101" s="149"/>
      <c r="R101" s="150" t="e">
        <f>R100*$B$101</f>
        <v>#REF!</v>
      </c>
      <c r="S101" s="149"/>
      <c r="T101" s="150" t="e">
        <f>T100*$B$101</f>
        <v>#REF!</v>
      </c>
      <c r="U101" s="149"/>
      <c r="V101" s="150" t="e">
        <f>V100*$B$101</f>
        <v>#REF!</v>
      </c>
      <c r="W101" s="149"/>
      <c r="X101" s="150" t="e">
        <f>X100*$B$101</f>
        <v>#REF!</v>
      </c>
      <c r="Y101" s="149"/>
      <c r="Z101" s="150" t="e">
        <f>Z100*$B$101</f>
        <v>#REF!</v>
      </c>
      <c r="AA101" s="149"/>
      <c r="AB101" s="150">
        <f>AB100*$B$101</f>
        <v>0</v>
      </c>
      <c r="AC101" s="149"/>
      <c r="AD101" s="150">
        <f>AD100*$B$101</f>
        <v>3.1247967999999999</v>
      </c>
      <c r="AE101" s="170"/>
      <c r="AF101" s="171">
        <f>D101+F101+H101+AD101+AB101</f>
        <v>20097.144975200001</v>
      </c>
      <c r="AH101" s="216"/>
    </row>
    <row r="102" spans="1:35" ht="13">
      <c r="A102" s="160" t="s">
        <v>17</v>
      </c>
      <c r="B102" s="184"/>
      <c r="C102" s="143"/>
      <c r="D102" s="144">
        <f>D100+D101</f>
        <v>227248.86737840003</v>
      </c>
      <c r="E102" s="143"/>
      <c r="F102" s="144">
        <f>F100+F101</f>
        <v>0</v>
      </c>
      <c r="G102" s="143"/>
      <c r="H102" s="144">
        <f>H100+H101</f>
        <v>0</v>
      </c>
      <c r="I102" s="143"/>
      <c r="J102" s="144" t="e">
        <f>J100+J101</f>
        <v>#REF!</v>
      </c>
      <c r="K102" s="143"/>
      <c r="L102" s="144" t="e">
        <f>L100+L101</f>
        <v>#REF!</v>
      </c>
      <c r="M102" s="143"/>
      <c r="N102" s="144" t="e">
        <f>N100+N101</f>
        <v>#REF!</v>
      </c>
      <c r="O102" s="143"/>
      <c r="P102" s="144" t="e">
        <f>P100+P101</f>
        <v>#REF!</v>
      </c>
      <c r="Q102" s="143"/>
      <c r="R102" s="144" t="e">
        <f>R100+R101</f>
        <v>#REF!</v>
      </c>
      <c r="S102" s="143"/>
      <c r="T102" s="144" t="e">
        <f>T100+T101</f>
        <v>#REF!</v>
      </c>
      <c r="U102" s="143"/>
      <c r="V102" s="144" t="e">
        <f>V100+V101</f>
        <v>#REF!</v>
      </c>
      <c r="W102" s="143"/>
      <c r="X102" s="144" t="e">
        <f>X100+X101</f>
        <v>#REF!</v>
      </c>
      <c r="Y102" s="143"/>
      <c r="Z102" s="144" t="e">
        <f>Z100+Z101</f>
        <v>#REF!</v>
      </c>
      <c r="AA102" s="143"/>
      <c r="AB102" s="144">
        <f>AB100+AB101</f>
        <v>0</v>
      </c>
      <c r="AC102" s="143"/>
      <c r="AD102" s="144">
        <f>AD100+AD101</f>
        <v>35.339196799999996</v>
      </c>
      <c r="AE102" s="162"/>
      <c r="AF102" s="163">
        <f>D102+F102+H102+AD102+AB102</f>
        <v>227284.20657520002</v>
      </c>
      <c r="AG102" s="2"/>
      <c r="AH102" s="216"/>
    </row>
    <row r="103" spans="1:35" ht="15.75" hidden="1" customHeight="1" thickBot="1">
      <c r="A103" s="185"/>
      <c r="B103" s="172"/>
      <c r="C103" s="173"/>
      <c r="D103" s="174"/>
      <c r="E103" s="173"/>
      <c r="F103" s="174"/>
      <c r="G103" s="173"/>
      <c r="H103" s="174"/>
      <c r="I103" s="173"/>
      <c r="J103" s="174"/>
      <c r="K103" s="173"/>
      <c r="L103" s="174"/>
      <c r="M103" s="173"/>
      <c r="N103" s="174"/>
      <c r="O103" s="173"/>
      <c r="P103" s="174"/>
      <c r="Q103" s="173"/>
      <c r="R103" s="174"/>
      <c r="S103" s="173"/>
      <c r="T103" s="174"/>
      <c r="U103" s="173"/>
      <c r="V103" s="174"/>
      <c r="W103" s="173"/>
      <c r="X103" s="174"/>
      <c r="Y103" s="173"/>
      <c r="Z103" s="174"/>
      <c r="AA103" s="173"/>
      <c r="AB103" s="174"/>
      <c r="AC103" s="173"/>
      <c r="AD103" s="174"/>
      <c r="AE103" s="158"/>
      <c r="AF103" s="165">
        <f t="shared" ref="AF103:AF111" si="63">D103+F103+H103+J103+AD103</f>
        <v>0</v>
      </c>
      <c r="AH103" s="216"/>
    </row>
    <row r="104" spans="1:35" ht="15" hidden="1" customHeight="1">
      <c r="A104" s="164" t="s">
        <v>35</v>
      </c>
      <c r="B104" s="159">
        <v>0</v>
      </c>
      <c r="C104" s="136"/>
      <c r="D104" s="137">
        <f>D102*$B$104</f>
        <v>0</v>
      </c>
      <c r="E104" s="136"/>
      <c r="F104" s="137">
        <f>F102*$B$104</f>
        <v>0</v>
      </c>
      <c r="G104" s="136"/>
      <c r="H104" s="137">
        <f>H102*$B$104</f>
        <v>0</v>
      </c>
      <c r="I104" s="136"/>
      <c r="J104" s="137" t="e">
        <f>J102*$B$104</f>
        <v>#REF!</v>
      </c>
      <c r="K104" s="136"/>
      <c r="L104" s="137" t="e">
        <f>L102*$B$104</f>
        <v>#REF!</v>
      </c>
      <c r="M104" s="136"/>
      <c r="N104" s="137" t="e">
        <f>N102*$B$104</f>
        <v>#REF!</v>
      </c>
      <c r="O104" s="136"/>
      <c r="P104" s="137" t="e">
        <f>P102*$B$104</f>
        <v>#REF!</v>
      </c>
      <c r="Q104" s="136"/>
      <c r="R104" s="137" t="e">
        <f>R102*$B$104</f>
        <v>#REF!</v>
      </c>
      <c r="S104" s="136"/>
      <c r="T104" s="137" t="e">
        <f>T102*$B$104</f>
        <v>#REF!</v>
      </c>
      <c r="U104" s="136"/>
      <c r="V104" s="137" t="e">
        <f>V102*$B$104</f>
        <v>#REF!</v>
      </c>
      <c r="W104" s="136"/>
      <c r="X104" s="137" t="e">
        <f>X102*$B$104</f>
        <v>#REF!</v>
      </c>
      <c r="Y104" s="136"/>
      <c r="Z104" s="137" t="e">
        <f>Z102*$B$104</f>
        <v>#REF!</v>
      </c>
      <c r="AA104" s="136"/>
      <c r="AB104" s="137">
        <f>AB102*$B$104</f>
        <v>0</v>
      </c>
      <c r="AC104" s="136"/>
      <c r="AD104" s="137">
        <f>AD102*$B$104</f>
        <v>0</v>
      </c>
      <c r="AE104" s="158"/>
      <c r="AF104" s="165" t="e">
        <f t="shared" si="63"/>
        <v>#REF!</v>
      </c>
      <c r="AH104" s="216"/>
    </row>
    <row r="105" spans="1:35" ht="15" hidden="1" customHeight="1">
      <c r="A105" s="164"/>
      <c r="B105" s="157"/>
      <c r="C105" s="136"/>
      <c r="D105" s="137"/>
      <c r="E105" s="136"/>
      <c r="F105" s="137"/>
      <c r="G105" s="136"/>
      <c r="H105" s="137"/>
      <c r="I105" s="136"/>
      <c r="J105" s="137"/>
      <c r="K105" s="136"/>
      <c r="L105" s="137"/>
      <c r="M105" s="136"/>
      <c r="N105" s="137"/>
      <c r="O105" s="136"/>
      <c r="P105" s="137"/>
      <c r="Q105" s="136"/>
      <c r="R105" s="137"/>
      <c r="S105" s="136"/>
      <c r="T105" s="137"/>
      <c r="U105" s="136"/>
      <c r="V105" s="137"/>
      <c r="W105" s="136"/>
      <c r="X105" s="137"/>
      <c r="Y105" s="136"/>
      <c r="Z105" s="137"/>
      <c r="AA105" s="136"/>
      <c r="AB105" s="137"/>
      <c r="AC105" s="136"/>
      <c r="AD105" s="137"/>
      <c r="AE105" s="158"/>
      <c r="AF105" s="165">
        <f t="shared" si="63"/>
        <v>0</v>
      </c>
      <c r="AH105" s="216"/>
    </row>
    <row r="106" spans="1:35" ht="15.75" hidden="1" customHeight="1" thickBot="1">
      <c r="A106" s="164" t="s">
        <v>18</v>
      </c>
      <c r="B106" s="157" t="s">
        <v>0</v>
      </c>
      <c r="C106" s="136"/>
      <c r="D106" s="175">
        <f>SUM(D102:D104)</f>
        <v>227248.86737840003</v>
      </c>
      <c r="E106" s="176"/>
      <c r="F106" s="175">
        <f>SUM(F102:F104)</f>
        <v>0</v>
      </c>
      <c r="G106" s="176"/>
      <c r="H106" s="175">
        <f>SUM(H102:H104)</f>
        <v>0</v>
      </c>
      <c r="I106" s="176"/>
      <c r="J106" s="175" t="e">
        <f>SUM(J102:J104)</f>
        <v>#REF!</v>
      </c>
      <c r="K106" s="176"/>
      <c r="L106" s="175" t="e">
        <f>SUM(L102:L104)</f>
        <v>#REF!</v>
      </c>
      <c r="M106" s="176"/>
      <c r="N106" s="175" t="e">
        <f>SUM(N102:N104)</f>
        <v>#REF!</v>
      </c>
      <c r="O106" s="176"/>
      <c r="P106" s="175" t="e">
        <f>SUM(P102:P104)</f>
        <v>#REF!</v>
      </c>
      <c r="Q106" s="176"/>
      <c r="R106" s="175" t="e">
        <f>SUM(R102:R104)</f>
        <v>#REF!</v>
      </c>
      <c r="S106" s="176"/>
      <c r="T106" s="175" t="e">
        <f>SUM(T102:T104)</f>
        <v>#REF!</v>
      </c>
      <c r="U106" s="176"/>
      <c r="V106" s="175" t="e">
        <f>SUM(V102:V104)</f>
        <v>#REF!</v>
      </c>
      <c r="W106" s="176"/>
      <c r="X106" s="175" t="e">
        <f>SUM(X102:X104)</f>
        <v>#REF!</v>
      </c>
      <c r="Y106" s="176"/>
      <c r="Z106" s="175" t="e">
        <f>SUM(Z102:Z104)</f>
        <v>#REF!</v>
      </c>
      <c r="AA106" s="176"/>
      <c r="AB106" s="175">
        <f>SUM(AB102:AB104)</f>
        <v>0</v>
      </c>
      <c r="AC106" s="176"/>
      <c r="AD106" s="175">
        <f>SUM(AD102:AD104)</f>
        <v>35.339196799999996</v>
      </c>
      <c r="AE106" s="158"/>
      <c r="AF106" s="165" t="e">
        <f t="shared" si="63"/>
        <v>#REF!</v>
      </c>
      <c r="AH106" s="216"/>
    </row>
    <row r="107" spans="1:35" ht="15.75" hidden="1" customHeight="1" thickBot="1">
      <c r="A107" s="186"/>
      <c r="B107" s="177"/>
      <c r="C107" s="177"/>
      <c r="D107" s="178"/>
      <c r="E107" s="177"/>
      <c r="F107" s="178"/>
      <c r="G107" s="177"/>
      <c r="H107" s="178"/>
      <c r="I107" s="177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7"/>
      <c r="AB107" s="178"/>
      <c r="AC107" s="177"/>
      <c r="AD107" s="178"/>
      <c r="AE107" s="158"/>
      <c r="AF107" s="165">
        <f t="shared" si="63"/>
        <v>0</v>
      </c>
      <c r="AH107" s="216"/>
    </row>
    <row r="108" spans="1:35" ht="15" hidden="1" customHeight="1">
      <c r="A108" s="186" t="s">
        <v>36</v>
      </c>
      <c r="B108" s="180">
        <v>0</v>
      </c>
      <c r="C108" s="177"/>
      <c r="D108" s="178">
        <f>D106*$B$108</f>
        <v>0</v>
      </c>
      <c r="E108" s="177"/>
      <c r="F108" s="178">
        <f>F106*$B$108</f>
        <v>0</v>
      </c>
      <c r="G108" s="177"/>
      <c r="H108" s="178">
        <f>H106*$B$108</f>
        <v>0</v>
      </c>
      <c r="I108" s="177"/>
      <c r="J108" s="178" t="e">
        <f>J106*$B$108</f>
        <v>#REF!</v>
      </c>
      <c r="K108" s="179"/>
      <c r="L108" s="178" t="e">
        <f>L106*$B$108</f>
        <v>#REF!</v>
      </c>
      <c r="M108" s="179"/>
      <c r="N108" s="178" t="e">
        <f>N106*$B$108</f>
        <v>#REF!</v>
      </c>
      <c r="O108" s="179"/>
      <c r="P108" s="178" t="e">
        <f>P106*$B$108</f>
        <v>#REF!</v>
      </c>
      <c r="Q108" s="179"/>
      <c r="R108" s="178" t="e">
        <f>R106*$B$108</f>
        <v>#REF!</v>
      </c>
      <c r="S108" s="179"/>
      <c r="T108" s="178" t="e">
        <f>T106*$B$108</f>
        <v>#REF!</v>
      </c>
      <c r="U108" s="179"/>
      <c r="V108" s="178" t="e">
        <f>V106*$B$108</f>
        <v>#REF!</v>
      </c>
      <c r="W108" s="179"/>
      <c r="X108" s="178" t="e">
        <f>X106*$B$108</f>
        <v>#REF!</v>
      </c>
      <c r="Y108" s="179"/>
      <c r="Z108" s="178" t="e">
        <f>Z106*$B$108</f>
        <v>#REF!</v>
      </c>
      <c r="AA108" s="177"/>
      <c r="AB108" s="178">
        <f>AB106*$B$108</f>
        <v>0</v>
      </c>
      <c r="AC108" s="177"/>
      <c r="AD108" s="178">
        <f>AD106*$B$108</f>
        <v>0</v>
      </c>
      <c r="AE108" s="158"/>
      <c r="AF108" s="165" t="e">
        <f t="shared" si="63"/>
        <v>#REF!</v>
      </c>
      <c r="AH108" s="216"/>
    </row>
    <row r="109" spans="1:35" ht="15" hidden="1" customHeight="1">
      <c r="A109" s="186"/>
      <c r="B109" s="177"/>
      <c r="C109" s="177"/>
      <c r="D109" s="178"/>
      <c r="E109" s="177"/>
      <c r="F109" s="178"/>
      <c r="G109" s="177"/>
      <c r="H109" s="178"/>
      <c r="I109" s="177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7"/>
      <c r="AB109" s="178"/>
      <c r="AC109" s="177"/>
      <c r="AD109" s="178"/>
      <c r="AE109" s="158"/>
      <c r="AF109" s="165">
        <f t="shared" si="63"/>
        <v>0</v>
      </c>
      <c r="AH109" s="216"/>
    </row>
    <row r="110" spans="1:35" ht="15" hidden="1" customHeight="1">
      <c r="A110" s="187" t="s">
        <v>21</v>
      </c>
      <c r="B110" s="180">
        <v>0</v>
      </c>
      <c r="C110" s="177"/>
      <c r="D110" s="178">
        <f>D106*$B$110</f>
        <v>0</v>
      </c>
      <c r="E110" s="182"/>
      <c r="F110" s="178">
        <f>F106*$B$110</f>
        <v>0</v>
      </c>
      <c r="G110" s="182"/>
      <c r="H110" s="178">
        <f>H106*$B$110</f>
        <v>0</v>
      </c>
      <c r="I110" s="182"/>
      <c r="J110" s="178" t="e">
        <f>J106*$B$110</f>
        <v>#REF!</v>
      </c>
      <c r="K110" s="182"/>
      <c r="L110" s="178" t="e">
        <f>L106*$B$110</f>
        <v>#REF!</v>
      </c>
      <c r="M110" s="182"/>
      <c r="N110" s="178" t="e">
        <f>N106*$B$110</f>
        <v>#REF!</v>
      </c>
      <c r="O110" s="182"/>
      <c r="P110" s="178" t="e">
        <f>P106*$B$110</f>
        <v>#REF!</v>
      </c>
      <c r="Q110" s="182"/>
      <c r="R110" s="178" t="e">
        <f>R106*$B$110</f>
        <v>#REF!</v>
      </c>
      <c r="S110" s="182"/>
      <c r="T110" s="178" t="e">
        <f>T106*$B$110</f>
        <v>#REF!</v>
      </c>
      <c r="U110" s="182"/>
      <c r="V110" s="178" t="e">
        <f>V106*$B$110</f>
        <v>#REF!</v>
      </c>
      <c r="W110" s="182"/>
      <c r="X110" s="178" t="e">
        <f>X106*$B$110</f>
        <v>#REF!</v>
      </c>
      <c r="Y110" s="178"/>
      <c r="Z110" s="178" t="e">
        <f t="shared" ref="Z110" si="64">Z106*$B$110</f>
        <v>#REF!</v>
      </c>
      <c r="AA110" s="182"/>
      <c r="AB110" s="178">
        <f>AB106*$B$110</f>
        <v>0</v>
      </c>
      <c r="AC110" s="182"/>
      <c r="AD110" s="178">
        <f>AD106*$B$110</f>
        <v>0</v>
      </c>
      <c r="AE110" s="158"/>
      <c r="AF110" s="165" t="e">
        <f t="shared" si="63"/>
        <v>#REF!</v>
      </c>
      <c r="AH110" s="216"/>
    </row>
    <row r="111" spans="1:35" ht="15" hidden="1" customHeight="1">
      <c r="A111" s="187"/>
      <c r="B111" s="181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58"/>
      <c r="AF111" s="165">
        <f t="shared" si="63"/>
        <v>0</v>
      </c>
      <c r="AH111" s="216"/>
    </row>
    <row r="112" spans="1:35" ht="13">
      <c r="A112" s="188" t="s">
        <v>32</v>
      </c>
      <c r="B112" s="183">
        <v>0.1</v>
      </c>
      <c r="C112" s="177"/>
      <c r="D112" s="203">
        <f>D102*B112</f>
        <v>22724.886737840003</v>
      </c>
      <c r="E112" s="204"/>
      <c r="F112" s="203">
        <f>F102*B112</f>
        <v>0</v>
      </c>
      <c r="G112" s="204"/>
      <c r="H112" s="203">
        <f>H102*B112</f>
        <v>0</v>
      </c>
      <c r="I112" s="204"/>
      <c r="J112" s="203" t="e">
        <f>SUM(J110,J108,J106,)</f>
        <v>#REF!</v>
      </c>
      <c r="K112" s="204"/>
      <c r="L112" s="203" t="e">
        <f>SUM(L110,L108,L106,)</f>
        <v>#REF!</v>
      </c>
      <c r="M112" s="204"/>
      <c r="N112" s="203" t="e">
        <f>SUM(N110,N108,N106,)</f>
        <v>#REF!</v>
      </c>
      <c r="O112" s="204"/>
      <c r="P112" s="203" t="e">
        <f>SUM(P110,P108,P106,)</f>
        <v>#REF!</v>
      </c>
      <c r="Q112" s="204"/>
      <c r="R112" s="203" t="e">
        <f>SUM(R110,R108,R106,)</f>
        <v>#REF!</v>
      </c>
      <c r="S112" s="204"/>
      <c r="T112" s="203" t="e">
        <f>SUM(T110,T108,T106,)</f>
        <v>#REF!</v>
      </c>
      <c r="U112" s="204"/>
      <c r="V112" s="203" t="e">
        <f>SUM(V110,V108,V106,)</f>
        <v>#REF!</v>
      </c>
      <c r="W112" s="204"/>
      <c r="X112" s="203" t="e">
        <f>SUM(X110,X108,X106,)</f>
        <v>#REF!</v>
      </c>
      <c r="Y112" s="203"/>
      <c r="Z112" s="203" t="e">
        <f>SUM(Z110,Z108,Z106,)</f>
        <v>#REF!</v>
      </c>
      <c r="AA112" s="204"/>
      <c r="AB112" s="203">
        <f>AB102*B112</f>
        <v>0</v>
      </c>
      <c r="AC112" s="204"/>
      <c r="AD112" s="203">
        <f>AD102*B112</f>
        <v>3.5339196799999999</v>
      </c>
      <c r="AE112" s="158"/>
      <c r="AF112" s="165">
        <f>D112+F112+H112+AD112+AB112</f>
        <v>22728.420657520004</v>
      </c>
      <c r="AH112" s="216"/>
    </row>
    <row r="113" spans="1:35" ht="14" thickBot="1">
      <c r="A113" s="189" t="s">
        <v>33</v>
      </c>
      <c r="B113" s="190"/>
      <c r="C113" s="190"/>
      <c r="D113" s="191">
        <f>D112+D102</f>
        <v>249973.75411624002</v>
      </c>
      <c r="E113" s="190"/>
      <c r="F113" s="191">
        <f>F112+F102</f>
        <v>0</v>
      </c>
      <c r="G113" s="192"/>
      <c r="H113" s="191">
        <f>H112+H102</f>
        <v>0</v>
      </c>
      <c r="I113" s="190"/>
      <c r="J113" s="190"/>
      <c r="K113" s="190"/>
      <c r="L113" s="190"/>
      <c r="M113" s="190"/>
      <c r="N113" s="190"/>
      <c r="O113" s="190"/>
      <c r="P113" s="190"/>
      <c r="Q113" s="191"/>
      <c r="R113" s="190"/>
      <c r="S113" s="190"/>
      <c r="T113" s="190"/>
      <c r="U113" s="190"/>
      <c r="V113" s="190"/>
      <c r="W113" s="190"/>
      <c r="X113" s="190"/>
      <c r="Y113" s="190"/>
      <c r="Z113" s="190"/>
      <c r="AA113" s="192"/>
      <c r="AB113" s="191">
        <f>AB112+AB102</f>
        <v>0</v>
      </c>
      <c r="AC113" s="192"/>
      <c r="AD113" s="191">
        <f>AD112+AD102</f>
        <v>38.873116479999993</v>
      </c>
      <c r="AE113" s="170"/>
      <c r="AF113" s="171">
        <f>D113+F113+H113+J113+AD113+AB113</f>
        <v>250012.62723272003</v>
      </c>
      <c r="AH113" s="216"/>
    </row>
    <row r="114" spans="1:35" ht="13">
      <c r="A114" s="193" t="s">
        <v>31</v>
      </c>
      <c r="B114" s="194"/>
      <c r="C114" s="195"/>
      <c r="D114" s="196">
        <f>AF114*D117</f>
        <v>0</v>
      </c>
      <c r="E114" s="195"/>
      <c r="F114" s="196">
        <f>F113*F117</f>
        <v>0</v>
      </c>
      <c r="G114" s="195"/>
      <c r="H114" s="196">
        <f>H113*H117</f>
        <v>0</v>
      </c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6"/>
      <c r="W114" s="196"/>
      <c r="X114" s="196"/>
      <c r="Y114" s="196"/>
      <c r="Z114" s="196"/>
      <c r="AA114" s="195"/>
      <c r="AB114" s="196">
        <f>AB113*AB117</f>
        <v>0</v>
      </c>
      <c r="AC114" s="195"/>
      <c r="AD114" s="196">
        <f>AD113*AD117</f>
        <v>0.38873116479999992</v>
      </c>
      <c r="AE114" s="162"/>
      <c r="AF114" s="163"/>
      <c r="AH114" s="216"/>
    </row>
    <row r="115" spans="1:35" ht="14" thickBot="1">
      <c r="A115" s="197" t="s">
        <v>34</v>
      </c>
      <c r="B115" s="198"/>
      <c r="C115" s="199"/>
      <c r="D115" s="200">
        <f>D114+D113</f>
        <v>249973.75411624002</v>
      </c>
      <c r="E115" s="199"/>
      <c r="F115" s="200">
        <f>F114+F113</f>
        <v>0</v>
      </c>
      <c r="G115" s="199"/>
      <c r="H115" s="200">
        <f>H114+H113</f>
        <v>0</v>
      </c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200"/>
      <c r="W115" s="200"/>
      <c r="X115" s="200"/>
      <c r="Y115" s="200"/>
      <c r="Z115" s="200"/>
      <c r="AA115" s="199"/>
      <c r="AB115" s="200">
        <f>AB114+AB113</f>
        <v>0</v>
      </c>
      <c r="AC115" s="200"/>
      <c r="AD115" s="200">
        <f t="shared" ref="AD115" si="65">AD114+AD113</f>
        <v>39.261847644799992</v>
      </c>
      <c r="AE115" s="166"/>
      <c r="AF115" s="167">
        <f>AF113+AF114</f>
        <v>250012.62723272003</v>
      </c>
      <c r="AH115" s="216"/>
    </row>
    <row r="116" spans="1:35" ht="13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117"/>
      <c r="AH116" s="119"/>
    </row>
    <row r="117" spans="1:35" ht="13">
      <c r="A117" s="116"/>
      <c r="B117" s="3"/>
      <c r="C117" s="116"/>
      <c r="D117" s="120"/>
      <c r="E117" s="116"/>
      <c r="F117" s="120"/>
      <c r="G117" s="116"/>
      <c r="H117" s="120"/>
      <c r="I117" s="116"/>
      <c r="J117" s="116"/>
      <c r="K117" s="116"/>
      <c r="L117" s="116"/>
      <c r="M117" s="116"/>
      <c r="N117" s="116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116"/>
      <c r="AB117" s="120"/>
      <c r="AC117" s="116"/>
      <c r="AD117" s="120">
        <v>0.01</v>
      </c>
      <c r="AE117" s="118"/>
      <c r="AF117" s="3"/>
      <c r="AH117" s="216"/>
    </row>
    <row r="118" spans="1:35" ht="1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128"/>
      <c r="AH118" s="119"/>
      <c r="AI118" s="148"/>
    </row>
    <row r="119" spans="1:35" ht="13">
      <c r="A119" s="3"/>
      <c r="B119" s="3"/>
      <c r="C119" s="3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117"/>
      <c r="AH119" s="123"/>
    </row>
    <row r="120" spans="1:35" ht="13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4"/>
      <c r="AH120" s="119"/>
    </row>
    <row r="121" spans="1:35" ht="13">
      <c r="A121" s="3"/>
      <c r="B121" s="217"/>
      <c r="C121" s="3"/>
      <c r="D121" s="145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3"/>
      <c r="AF121" s="4"/>
      <c r="AI121" s="147"/>
    </row>
    <row r="122" spans="1:35" ht="13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117"/>
      <c r="AI122" s="147"/>
    </row>
    <row r="123" spans="1:35" ht="13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128"/>
    </row>
    <row r="124" spans="1:35" ht="13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5" ht="13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4"/>
    </row>
    <row r="126" spans="1:35" ht="13">
      <c r="A126" s="3"/>
      <c r="B126" s="217"/>
      <c r="C126" s="3"/>
      <c r="D126" s="14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5" ht="13">
      <c r="A127" s="3"/>
      <c r="B127" s="217"/>
      <c r="C127" s="3"/>
      <c r="D127" s="14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128"/>
    </row>
    <row r="128" spans="1:35">
      <c r="B128" s="145"/>
      <c r="D128" s="145"/>
    </row>
    <row r="129" spans="2:32">
      <c r="B129" s="145"/>
      <c r="D129" s="145"/>
      <c r="AF129" s="151"/>
    </row>
    <row r="130" spans="2:32">
      <c r="D130" s="145"/>
    </row>
    <row r="131" spans="2:32">
      <c r="D131" s="145"/>
      <c r="AF131" s="119"/>
    </row>
    <row r="132" spans="2:32">
      <c r="D132" s="145"/>
    </row>
    <row r="133" spans="2:32">
      <c r="D133" s="145"/>
      <c r="AD133" s="119"/>
      <c r="AF133" s="119"/>
    </row>
    <row r="134" spans="2:32">
      <c r="D134" s="145"/>
    </row>
    <row r="135" spans="2:32">
      <c r="D135" s="145"/>
      <c r="AF135" s="119"/>
    </row>
    <row r="136" spans="2:32">
      <c r="D136" s="145"/>
    </row>
    <row r="137" spans="2:32">
      <c r="D137" s="145"/>
    </row>
    <row r="138" spans="2:32">
      <c r="D138" s="145"/>
    </row>
    <row r="139" spans="2:32">
      <c r="D139" s="145"/>
    </row>
    <row r="140" spans="2:32">
      <c r="D140" s="145"/>
    </row>
    <row r="141" spans="2:32">
      <c r="D141" s="145"/>
    </row>
    <row r="142" spans="2:32">
      <c r="D142" s="145"/>
    </row>
    <row r="143" spans="2:32">
      <c r="D143" s="145"/>
    </row>
    <row r="144" spans="2:32">
      <c r="D144" s="145"/>
    </row>
    <row r="145" spans="4:4">
      <c r="D145" s="145"/>
    </row>
    <row r="146" spans="4:4">
      <c r="D146" s="145"/>
    </row>
    <row r="147" spans="4:4">
      <c r="D147" s="145"/>
    </row>
    <row r="148" spans="4:4">
      <c r="D148" s="145"/>
    </row>
    <row r="149" spans="4:4">
      <c r="D149" s="145"/>
    </row>
    <row r="150" spans="4:4">
      <c r="D150" s="145"/>
    </row>
    <row r="151" spans="4:4">
      <c r="D151" s="145"/>
    </row>
  </sheetData>
  <mergeCells count="29">
    <mergeCell ref="K2:L5"/>
    <mergeCell ref="A2:A3"/>
    <mergeCell ref="C2:D5"/>
    <mergeCell ref="E2:F5"/>
    <mergeCell ref="G2:H5"/>
    <mergeCell ref="I2:J5"/>
    <mergeCell ref="Y2:Z5"/>
    <mergeCell ref="AA2:AB5"/>
    <mergeCell ref="AC2:AD5"/>
    <mergeCell ref="C6:D6"/>
    <mergeCell ref="E6:F6"/>
    <mergeCell ref="G6:H6"/>
    <mergeCell ref="I6:J6"/>
    <mergeCell ref="K6:L6"/>
    <mergeCell ref="M6:N6"/>
    <mergeCell ref="O6:P6"/>
    <mergeCell ref="M2:N5"/>
    <mergeCell ref="O2:P5"/>
    <mergeCell ref="Q2:R5"/>
    <mergeCell ref="S2:T5"/>
    <mergeCell ref="U2:V5"/>
    <mergeCell ref="W2:X5"/>
    <mergeCell ref="AC6:AD6"/>
    <mergeCell ref="Q6:R6"/>
    <mergeCell ref="S6:T6"/>
    <mergeCell ref="U6:V6"/>
    <mergeCell ref="W6:X6"/>
    <mergeCell ref="Y6:Z6"/>
    <mergeCell ref="AA6:AB6"/>
  </mergeCells>
  <phoneticPr fontId="6" type="noConversion"/>
  <printOptions horizontalCentered="1" verticalCentered="1"/>
  <pageMargins left="0.25" right="0.25" top="0.25" bottom="0.25" header="0.5" footer="0.5"/>
  <pageSetup paperSize="3" scale="61" orientation="landscape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K151"/>
  <sheetViews>
    <sheetView workbookViewId="0">
      <pane ySplit="3480" topLeftCell="A4" activePane="bottomLeft"/>
      <selection activeCell="F43" sqref="F43"/>
      <selection pane="bottomLeft" activeCell="A17" sqref="A17"/>
    </sheetView>
  </sheetViews>
  <sheetFormatPr baseColWidth="10" defaultColWidth="8.83203125" defaultRowHeight="12" x14ac:dyDescent="0"/>
  <cols>
    <col min="1" max="1" width="79.5" customWidth="1"/>
    <col min="2" max="2" width="16.5" customWidth="1"/>
    <col min="3" max="3" width="7.5" customWidth="1"/>
    <col min="4" max="4" width="17.5" customWidth="1"/>
    <col min="5" max="5" width="6.6640625" customWidth="1"/>
    <col min="6" max="6" width="13.6640625" customWidth="1"/>
    <col min="7" max="7" width="7.6640625" customWidth="1"/>
    <col min="8" max="8" width="13.33203125" customWidth="1"/>
    <col min="9" max="9" width="11.33203125" hidden="1" customWidth="1"/>
    <col min="10" max="10" width="13.1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3.6640625" hidden="1" customWidth="1"/>
    <col min="21" max="21" width="9.5" hidden="1" customWidth="1"/>
    <col min="22" max="22" width="13.6640625" hidden="1" customWidth="1"/>
    <col min="23" max="23" width="9.5" hidden="1" customWidth="1"/>
    <col min="24" max="24" width="12.83203125" hidden="1" customWidth="1"/>
    <col min="25" max="25" width="10.83203125" hidden="1" customWidth="1"/>
    <col min="26" max="26" width="15.33203125" hidden="1" customWidth="1"/>
    <col min="27" max="27" width="7.6640625" hidden="1" customWidth="1"/>
    <col min="28" max="28" width="13.6640625" hidden="1" customWidth="1"/>
    <col min="29" max="29" width="7.6640625" hidden="1" customWidth="1"/>
    <col min="30" max="30" width="14.5" hidden="1" customWidth="1"/>
    <col min="31" max="31" width="9.5" customWidth="1"/>
    <col min="32" max="32" width="21.1640625" customWidth="1"/>
    <col min="33" max="33" width="4" customWidth="1"/>
    <col min="34" max="34" width="122.5" customWidth="1"/>
    <col min="35" max="35" width="16.5" style="145" customWidth="1"/>
  </cols>
  <sheetData>
    <row r="1" spans="1:34" ht="20.25" customHeight="1" thickBot="1">
      <c r="A1" s="5"/>
      <c r="B1" s="5"/>
      <c r="C1" s="5"/>
      <c r="D1" s="5"/>
      <c r="E1" s="5"/>
      <c r="F1" s="5"/>
      <c r="G1" s="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  <c r="AB1" s="5"/>
      <c r="AC1" s="6"/>
      <c r="AD1" s="5"/>
      <c r="AE1" s="5"/>
      <c r="AF1" s="5"/>
    </row>
    <row r="2" spans="1:34" ht="13.5" customHeight="1">
      <c r="A2" s="234" t="s">
        <v>57</v>
      </c>
      <c r="B2" s="7"/>
      <c r="C2" s="229" t="s">
        <v>41</v>
      </c>
      <c r="D2" s="230"/>
      <c r="E2" s="229" t="s">
        <v>42</v>
      </c>
      <c r="F2" s="230"/>
      <c r="G2" s="229" t="s">
        <v>43</v>
      </c>
      <c r="H2" s="230"/>
      <c r="I2" s="229" t="s">
        <v>23</v>
      </c>
      <c r="J2" s="230"/>
      <c r="K2" s="229" t="s">
        <v>24</v>
      </c>
      <c r="L2" s="230"/>
      <c r="M2" s="229" t="s">
        <v>25</v>
      </c>
      <c r="N2" s="230"/>
      <c r="O2" s="229" t="s">
        <v>26</v>
      </c>
      <c r="P2" s="230"/>
      <c r="Q2" s="229" t="s">
        <v>27</v>
      </c>
      <c r="R2" s="230"/>
      <c r="S2" s="229" t="s">
        <v>28</v>
      </c>
      <c r="T2" s="230"/>
      <c r="U2" s="229" t="s">
        <v>29</v>
      </c>
      <c r="V2" s="230"/>
      <c r="W2" s="229" t="s">
        <v>30</v>
      </c>
      <c r="X2" s="230"/>
      <c r="Y2" s="229" t="s">
        <v>22</v>
      </c>
      <c r="Z2" s="230"/>
      <c r="AA2" s="229" t="s">
        <v>45</v>
      </c>
      <c r="AB2" s="230"/>
      <c r="AC2" s="229" t="s">
        <v>47</v>
      </c>
      <c r="AD2" s="230"/>
      <c r="AE2" s="8"/>
      <c r="AF2" s="9"/>
    </row>
    <row r="3" spans="1:34" ht="45.75" customHeight="1" thickBot="1">
      <c r="A3" s="235"/>
      <c r="B3" s="10" t="s">
        <v>0</v>
      </c>
      <c r="C3" s="231"/>
      <c r="D3" s="232"/>
      <c r="E3" s="231"/>
      <c r="F3" s="232"/>
      <c r="G3" s="231"/>
      <c r="H3" s="232"/>
      <c r="I3" s="231"/>
      <c r="J3" s="232"/>
      <c r="K3" s="231"/>
      <c r="L3" s="232"/>
      <c r="M3" s="231"/>
      <c r="N3" s="232"/>
      <c r="O3" s="231"/>
      <c r="P3" s="232"/>
      <c r="Q3" s="231"/>
      <c r="R3" s="232"/>
      <c r="S3" s="231"/>
      <c r="T3" s="232"/>
      <c r="U3" s="231"/>
      <c r="V3" s="232"/>
      <c r="W3" s="231"/>
      <c r="X3" s="232"/>
      <c r="Y3" s="231"/>
      <c r="Z3" s="232"/>
      <c r="AA3" s="231"/>
      <c r="AB3" s="232"/>
      <c r="AC3" s="231"/>
      <c r="AD3" s="232"/>
      <c r="AE3" s="11"/>
      <c r="AF3" s="12"/>
    </row>
    <row r="4" spans="1:34" ht="14" thickBot="1">
      <c r="A4" s="13">
        <f>AF115</f>
        <v>250014.25627772007</v>
      </c>
      <c r="B4" s="10" t="s">
        <v>0</v>
      </c>
      <c r="C4" s="231"/>
      <c r="D4" s="232"/>
      <c r="E4" s="231"/>
      <c r="F4" s="232"/>
      <c r="G4" s="231"/>
      <c r="H4" s="232"/>
      <c r="I4" s="231"/>
      <c r="J4" s="232"/>
      <c r="K4" s="231"/>
      <c r="L4" s="232"/>
      <c r="M4" s="231"/>
      <c r="N4" s="232"/>
      <c r="O4" s="231"/>
      <c r="P4" s="232"/>
      <c r="Q4" s="231"/>
      <c r="R4" s="232"/>
      <c r="S4" s="231"/>
      <c r="T4" s="232"/>
      <c r="U4" s="231"/>
      <c r="V4" s="232"/>
      <c r="W4" s="231"/>
      <c r="X4" s="232"/>
      <c r="Y4" s="231"/>
      <c r="Z4" s="232"/>
      <c r="AA4" s="231"/>
      <c r="AB4" s="232"/>
      <c r="AC4" s="231"/>
      <c r="AD4" s="232"/>
      <c r="AE4" s="14" t="s">
        <v>1</v>
      </c>
      <c r="AF4" s="15"/>
    </row>
    <row r="5" spans="1:34" ht="21.75" customHeight="1" thickBot="1">
      <c r="A5" s="16"/>
      <c r="B5" s="10" t="s">
        <v>0</v>
      </c>
      <c r="C5" s="231"/>
      <c r="D5" s="232"/>
      <c r="E5" s="231"/>
      <c r="F5" s="232"/>
      <c r="G5" s="231"/>
      <c r="H5" s="232"/>
      <c r="I5" s="231"/>
      <c r="J5" s="232"/>
      <c r="K5" s="231"/>
      <c r="L5" s="232"/>
      <c r="M5" s="231"/>
      <c r="N5" s="232"/>
      <c r="O5" s="231"/>
      <c r="P5" s="232"/>
      <c r="Q5" s="231"/>
      <c r="R5" s="232"/>
      <c r="S5" s="231"/>
      <c r="T5" s="232"/>
      <c r="U5" s="231"/>
      <c r="V5" s="232"/>
      <c r="W5" s="231"/>
      <c r="X5" s="232"/>
      <c r="Y5" s="231"/>
      <c r="Z5" s="232"/>
      <c r="AA5" s="231"/>
      <c r="AB5" s="232"/>
      <c r="AC5" s="231"/>
      <c r="AD5" s="232"/>
      <c r="AE5" s="14"/>
      <c r="AF5" s="15"/>
    </row>
    <row r="6" spans="1:34" ht="14" thickBot="1">
      <c r="A6" s="17" t="s">
        <v>77</v>
      </c>
      <c r="B6" s="18" t="s">
        <v>0</v>
      </c>
      <c r="C6" s="227" t="s">
        <v>19</v>
      </c>
      <c r="D6" s="228"/>
      <c r="E6" s="227" t="s">
        <v>19</v>
      </c>
      <c r="F6" s="228"/>
      <c r="G6" s="227" t="s">
        <v>19</v>
      </c>
      <c r="H6" s="228"/>
      <c r="I6" s="227" t="s">
        <v>19</v>
      </c>
      <c r="J6" s="228"/>
      <c r="K6" s="227" t="s">
        <v>19</v>
      </c>
      <c r="L6" s="228"/>
      <c r="M6" s="233" t="s">
        <v>19</v>
      </c>
      <c r="N6" s="228"/>
      <c r="O6" s="233" t="s">
        <v>19</v>
      </c>
      <c r="P6" s="228"/>
      <c r="Q6" s="227" t="s">
        <v>19</v>
      </c>
      <c r="R6" s="228"/>
      <c r="S6" s="227" t="s">
        <v>19</v>
      </c>
      <c r="T6" s="228"/>
      <c r="U6" s="227" t="s">
        <v>19</v>
      </c>
      <c r="V6" s="228"/>
      <c r="W6" s="227" t="s">
        <v>19</v>
      </c>
      <c r="X6" s="228"/>
      <c r="Y6" s="227" t="s">
        <v>19</v>
      </c>
      <c r="Z6" s="228"/>
      <c r="AA6" s="227" t="s">
        <v>19</v>
      </c>
      <c r="AB6" s="228"/>
      <c r="AC6" s="227" t="s">
        <v>19</v>
      </c>
      <c r="AD6" s="228"/>
      <c r="AE6" s="19"/>
      <c r="AF6" s="20"/>
    </row>
    <row r="7" spans="1:34" ht="13">
      <c r="A7" s="21" t="s">
        <v>2</v>
      </c>
      <c r="B7" s="21" t="s">
        <v>3</v>
      </c>
      <c r="C7" s="22"/>
      <c r="D7" s="23"/>
      <c r="E7" s="22"/>
      <c r="F7" s="23"/>
      <c r="G7" s="22"/>
      <c r="H7" s="23"/>
      <c r="I7" s="24"/>
      <c r="J7" s="25"/>
      <c r="K7" s="24"/>
      <c r="L7" s="25"/>
      <c r="M7" s="24"/>
      <c r="N7" s="25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  <c r="AA7" s="22"/>
      <c r="AB7" s="23"/>
      <c r="AC7" s="22"/>
      <c r="AD7" s="23"/>
      <c r="AE7" s="26"/>
      <c r="AF7" s="27"/>
    </row>
    <row r="8" spans="1:34" ht="19" thickBot="1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A8" s="30" t="s">
        <v>5</v>
      </c>
      <c r="AB8" s="31" t="s">
        <v>6</v>
      </c>
      <c r="AC8" s="30" t="s">
        <v>5</v>
      </c>
      <c r="AD8" s="31" t="s">
        <v>6</v>
      </c>
      <c r="AE8" s="32" t="s">
        <v>5</v>
      </c>
      <c r="AF8" s="33" t="s">
        <v>6</v>
      </c>
      <c r="AH8" s="223" t="s">
        <v>55</v>
      </c>
    </row>
    <row r="9" spans="1:34" ht="13">
      <c r="A9" s="34" t="s">
        <v>56</v>
      </c>
      <c r="B9" s="35">
        <v>37</v>
      </c>
      <c r="C9" s="36">
        <v>180</v>
      </c>
      <c r="D9" s="37">
        <f>C9*$B$9</f>
        <v>6660</v>
      </c>
      <c r="E9" s="36">
        <v>0</v>
      </c>
      <c r="F9" s="37">
        <f>E9*$B$9</f>
        <v>0</v>
      </c>
      <c r="G9" s="36">
        <v>180</v>
      </c>
      <c r="H9" s="37">
        <f>G9*$B$9</f>
        <v>6660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A9" s="36">
        <v>0</v>
      </c>
      <c r="AB9" s="37">
        <f>AA9*$B$9</f>
        <v>0</v>
      </c>
      <c r="AC9" s="36">
        <v>0</v>
      </c>
      <c r="AD9" s="37">
        <f>AC9*$B$9</f>
        <v>0</v>
      </c>
      <c r="AE9" s="38">
        <f>AC9+AA9+G9+E9+C9</f>
        <v>360</v>
      </c>
      <c r="AF9" s="121">
        <f t="shared" ref="AF9:AF11" si="0">D9+F9+H9+AD9</f>
        <v>13320</v>
      </c>
      <c r="AH9" s="123" t="s">
        <v>71</v>
      </c>
    </row>
    <row r="10" spans="1:34" ht="22.25" customHeight="1">
      <c r="A10" s="39" t="s">
        <v>37</v>
      </c>
      <c r="B10" s="222">
        <v>19</v>
      </c>
      <c r="C10" s="36">
        <v>0</v>
      </c>
      <c r="D10" s="37">
        <f>C10*$B$10</f>
        <v>0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A10" s="36">
        <v>0</v>
      </c>
      <c r="AB10" s="37">
        <f>AA10*$B$10</f>
        <v>0</v>
      </c>
      <c r="AC10" s="36">
        <v>0</v>
      </c>
      <c r="AD10" s="37">
        <f>AC10*$B$10</f>
        <v>0</v>
      </c>
      <c r="AE10" s="38">
        <f t="shared" ref="AE10:AE12" si="1">AC10+AA10+G10+E10+C10</f>
        <v>0</v>
      </c>
      <c r="AF10" s="121">
        <f t="shared" si="0"/>
        <v>0</v>
      </c>
      <c r="AH10" s="219"/>
    </row>
    <row r="11" spans="1:34" ht="13">
      <c r="A11" s="39" t="s">
        <v>39</v>
      </c>
      <c r="B11" s="40">
        <v>23</v>
      </c>
      <c r="C11" s="36">
        <v>160</v>
      </c>
      <c r="D11" s="37">
        <f>C11*$B$11</f>
        <v>3680</v>
      </c>
      <c r="E11" s="36">
        <v>0</v>
      </c>
      <c r="F11" s="37">
        <f>E11*$B$11</f>
        <v>0</v>
      </c>
      <c r="G11" s="36">
        <v>160</v>
      </c>
      <c r="H11" s="37">
        <f>G11*$B$11</f>
        <v>3680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A11" s="36">
        <v>0</v>
      </c>
      <c r="AB11" s="37">
        <f>AA11*$B$11</f>
        <v>0</v>
      </c>
      <c r="AC11" s="36">
        <v>0</v>
      </c>
      <c r="AD11" s="37">
        <f>AC11*$B$11</f>
        <v>0</v>
      </c>
      <c r="AE11" s="38">
        <f t="shared" si="1"/>
        <v>320</v>
      </c>
      <c r="AF11" s="121">
        <f t="shared" si="0"/>
        <v>7360</v>
      </c>
      <c r="AH11" s="123" t="s">
        <v>72</v>
      </c>
    </row>
    <row r="12" spans="1:34" ht="13">
      <c r="A12" s="41" t="s">
        <v>74</v>
      </c>
      <c r="B12" s="40">
        <v>16</v>
      </c>
      <c r="C12" s="42">
        <v>6</v>
      </c>
      <c r="D12" s="37">
        <f>C12*$B$12</f>
        <v>96</v>
      </c>
      <c r="E12" s="36"/>
      <c r="F12" s="37">
        <f>E12*$B$12</f>
        <v>0</v>
      </c>
      <c r="G12" s="36">
        <v>6</v>
      </c>
      <c r="H12" s="37">
        <f>G12*$B$12</f>
        <v>96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0</v>
      </c>
      <c r="Z12" s="37">
        <f>Y12*$B$12</f>
        <v>0</v>
      </c>
      <c r="AA12" s="36">
        <v>0</v>
      </c>
      <c r="AB12" s="37">
        <f>AA12*$B$12</f>
        <v>0</v>
      </c>
      <c r="AC12" s="36">
        <v>2</v>
      </c>
      <c r="AD12" s="37">
        <f>AC12*$B$12</f>
        <v>32</v>
      </c>
      <c r="AE12" s="38">
        <f t="shared" si="1"/>
        <v>14</v>
      </c>
      <c r="AF12" s="121">
        <f>D12+F12+H12+AD12+AB12</f>
        <v>224</v>
      </c>
      <c r="AH12" s="123" t="s">
        <v>73</v>
      </c>
    </row>
    <row r="13" spans="1:34" ht="13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A13" s="46"/>
      <c r="AB13" s="48"/>
      <c r="AC13" s="46"/>
      <c r="AD13" s="48"/>
      <c r="AE13" s="38"/>
      <c r="AF13" s="121">
        <f t="shared" ref="AF13:AF76" si="2">D13+F13+H13+AD13+AB13</f>
        <v>0</v>
      </c>
      <c r="AH13" s="220"/>
    </row>
    <row r="14" spans="1:34" ht="13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  <c r="AA14" s="49"/>
      <c r="AB14" s="50"/>
      <c r="AC14" s="49"/>
      <c r="AD14" s="50"/>
      <c r="AE14" s="38"/>
      <c r="AF14" s="121">
        <f t="shared" si="2"/>
        <v>0</v>
      </c>
    </row>
    <row r="15" spans="1:34" ht="13">
      <c r="A15" s="51" t="s">
        <v>58</v>
      </c>
      <c r="B15" s="40">
        <v>35</v>
      </c>
      <c r="C15" s="36">
        <v>232</v>
      </c>
      <c r="D15" s="52">
        <f>B15*C15</f>
        <v>8120</v>
      </c>
      <c r="E15" s="36">
        <v>0</v>
      </c>
      <c r="F15" s="52">
        <f>E15*$B$18</f>
        <v>0</v>
      </c>
      <c r="G15" s="36">
        <v>200</v>
      </c>
      <c r="H15" s="52">
        <f>G15*B15</f>
        <v>7000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A15" s="36">
        <v>0</v>
      </c>
      <c r="AB15" s="52">
        <f>AA15*$B$18</f>
        <v>0</v>
      </c>
      <c r="AC15" s="36">
        <v>0</v>
      </c>
      <c r="AD15" s="52">
        <f>AC15*$B$18</f>
        <v>0</v>
      </c>
      <c r="AE15" s="38"/>
      <c r="AF15" s="121">
        <f t="shared" si="2"/>
        <v>15120</v>
      </c>
      <c r="AH15" t="s">
        <v>83</v>
      </c>
    </row>
    <row r="16" spans="1:34" ht="13">
      <c r="A16" s="51" t="s">
        <v>69</v>
      </c>
      <c r="B16" s="40">
        <v>28</v>
      </c>
      <c r="C16" s="36">
        <v>232</v>
      </c>
      <c r="D16" s="52">
        <f t="shared" ref="D16:D19" si="3">B16*C16</f>
        <v>6496</v>
      </c>
      <c r="E16" s="36">
        <v>0</v>
      </c>
      <c r="F16" s="52">
        <f>E16*$B$18</f>
        <v>0</v>
      </c>
      <c r="G16" s="36">
        <v>200</v>
      </c>
      <c r="H16" s="52">
        <f t="shared" ref="H16:H19" si="4">G16*B16</f>
        <v>5600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A16" s="36">
        <v>0</v>
      </c>
      <c r="AB16" s="52">
        <f>AA16*$B$18</f>
        <v>0</v>
      </c>
      <c r="AC16" s="36">
        <v>0</v>
      </c>
      <c r="AD16" s="52">
        <f>AC16*$B$18</f>
        <v>0</v>
      </c>
      <c r="AE16" s="38"/>
      <c r="AF16" s="121">
        <f t="shared" si="2"/>
        <v>12096</v>
      </c>
      <c r="AH16" t="s">
        <v>82</v>
      </c>
    </row>
    <row r="17" spans="1:34" ht="13">
      <c r="A17" s="51" t="s">
        <v>70</v>
      </c>
      <c r="B17" s="40">
        <v>23</v>
      </c>
      <c r="C17" s="36">
        <v>232</v>
      </c>
      <c r="D17" s="52">
        <f t="shared" si="3"/>
        <v>5336</v>
      </c>
      <c r="E17" s="36">
        <v>0</v>
      </c>
      <c r="F17" s="52">
        <f>E17*$B$18</f>
        <v>0</v>
      </c>
      <c r="G17" s="36">
        <v>200</v>
      </c>
      <c r="H17" s="52">
        <f t="shared" si="4"/>
        <v>4600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A17" s="36">
        <v>0</v>
      </c>
      <c r="AB17" s="52">
        <f>AA17*$B$18</f>
        <v>0</v>
      </c>
      <c r="AC17" s="36">
        <v>0</v>
      </c>
      <c r="AD17" s="52">
        <f>AC17*$B$18</f>
        <v>0</v>
      </c>
      <c r="AE17" s="38"/>
      <c r="AF17" s="121">
        <f t="shared" si="2"/>
        <v>9936</v>
      </c>
      <c r="AH17" t="s">
        <v>82</v>
      </c>
    </row>
    <row r="18" spans="1:34" ht="13">
      <c r="A18" s="51" t="s">
        <v>86</v>
      </c>
      <c r="B18" s="40">
        <v>28</v>
      </c>
      <c r="C18" s="36">
        <v>232</v>
      </c>
      <c r="D18" s="52">
        <f t="shared" si="3"/>
        <v>6496</v>
      </c>
      <c r="E18" s="36">
        <v>0</v>
      </c>
      <c r="F18" s="52">
        <f>E18*$B$18</f>
        <v>0</v>
      </c>
      <c r="G18" s="36">
        <v>200</v>
      </c>
      <c r="H18" s="52">
        <f t="shared" si="4"/>
        <v>5600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A18" s="36">
        <v>0</v>
      </c>
      <c r="AB18" s="52">
        <f>AA18*$B$18</f>
        <v>0</v>
      </c>
      <c r="AC18" s="36">
        <v>0</v>
      </c>
      <c r="AD18" s="52">
        <f>AC18*$B$18</f>
        <v>0</v>
      </c>
      <c r="AE18" s="38"/>
      <c r="AF18" s="121">
        <f t="shared" si="2"/>
        <v>12096</v>
      </c>
      <c r="AH18" t="s">
        <v>85</v>
      </c>
    </row>
    <row r="19" spans="1:34" ht="13">
      <c r="A19" s="51" t="s">
        <v>8</v>
      </c>
      <c r="B19" s="40">
        <v>28</v>
      </c>
      <c r="C19" s="36">
        <v>232</v>
      </c>
      <c r="D19" s="52">
        <f t="shared" si="3"/>
        <v>6496</v>
      </c>
      <c r="E19" s="36">
        <v>0</v>
      </c>
      <c r="F19" s="52">
        <f>E19*$B$19</f>
        <v>0</v>
      </c>
      <c r="G19" s="36">
        <v>200</v>
      </c>
      <c r="H19" s="52">
        <f t="shared" si="4"/>
        <v>5600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A19" s="36">
        <v>0</v>
      </c>
      <c r="AB19" s="52">
        <f>AA19*$B$19</f>
        <v>0</v>
      </c>
      <c r="AC19" s="36">
        <v>0</v>
      </c>
      <c r="AD19" s="52">
        <f>AC19*$B$19</f>
        <v>0</v>
      </c>
      <c r="AE19" s="38"/>
      <c r="AF19" s="121">
        <f t="shared" si="2"/>
        <v>12096</v>
      </c>
      <c r="AH19" s="123" t="s">
        <v>84</v>
      </c>
    </row>
    <row r="20" spans="1:34" ht="13">
      <c r="A20" s="53"/>
      <c r="B20" s="54"/>
      <c r="C20" s="55"/>
      <c r="D20" s="56"/>
      <c r="E20" s="57"/>
      <c r="F20" s="58"/>
      <c r="G20" s="57"/>
      <c r="H20" s="56"/>
      <c r="I20" s="55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8"/>
      <c r="Y20" s="57"/>
      <c r="Z20" s="58"/>
      <c r="AA20" s="57"/>
      <c r="AB20" s="56"/>
      <c r="AC20" s="57"/>
      <c r="AD20" s="56"/>
      <c r="AE20" s="38"/>
      <c r="AF20" s="121">
        <f t="shared" si="2"/>
        <v>0</v>
      </c>
    </row>
    <row r="21" spans="1:34" ht="13">
      <c r="A21" s="60" t="s">
        <v>9</v>
      </c>
      <c r="B21" s="40"/>
      <c r="C21" s="61">
        <f t="shared" ref="C21:H21" si="5">SUM(C9:C20)</f>
        <v>1506</v>
      </c>
      <c r="D21" s="63">
        <f t="shared" si="5"/>
        <v>43380</v>
      </c>
      <c r="E21" s="61">
        <f t="shared" si="5"/>
        <v>0</v>
      </c>
      <c r="F21" s="63">
        <f t="shared" si="5"/>
        <v>0</v>
      </c>
      <c r="G21" s="61">
        <f t="shared" si="5"/>
        <v>1346</v>
      </c>
      <c r="H21" s="63">
        <f t="shared" si="5"/>
        <v>38836</v>
      </c>
      <c r="I21" s="61">
        <f t="shared" ref="I21:Z21" si="6">SUM(I9:I12)</f>
        <v>0</v>
      </c>
      <c r="J21" s="62">
        <f t="shared" si="6"/>
        <v>0</v>
      </c>
      <c r="K21" s="61">
        <f t="shared" si="6"/>
        <v>0</v>
      </c>
      <c r="L21" s="62">
        <f t="shared" si="6"/>
        <v>0</v>
      </c>
      <c r="M21" s="61">
        <f t="shared" si="6"/>
        <v>0</v>
      </c>
      <c r="N21" s="62">
        <f t="shared" si="6"/>
        <v>0</v>
      </c>
      <c r="O21" s="61">
        <f t="shared" si="6"/>
        <v>0</v>
      </c>
      <c r="P21" s="62">
        <f t="shared" si="6"/>
        <v>0</v>
      </c>
      <c r="Q21" s="61">
        <f t="shared" si="6"/>
        <v>0</v>
      </c>
      <c r="R21" s="62">
        <f t="shared" si="6"/>
        <v>0</v>
      </c>
      <c r="S21" s="61">
        <f t="shared" si="6"/>
        <v>0</v>
      </c>
      <c r="T21" s="62">
        <f t="shared" si="6"/>
        <v>0</v>
      </c>
      <c r="U21" s="61">
        <f t="shared" si="6"/>
        <v>0</v>
      </c>
      <c r="V21" s="62">
        <f t="shared" si="6"/>
        <v>0</v>
      </c>
      <c r="W21" s="61">
        <f t="shared" si="6"/>
        <v>0</v>
      </c>
      <c r="X21" s="62">
        <f t="shared" si="6"/>
        <v>0</v>
      </c>
      <c r="Y21" s="61">
        <f t="shared" si="6"/>
        <v>0</v>
      </c>
      <c r="Z21" s="62">
        <f t="shared" si="6"/>
        <v>0</v>
      </c>
      <c r="AA21" s="61"/>
      <c r="AB21" s="63">
        <f>SUM(AB9:AB12)</f>
        <v>0</v>
      </c>
      <c r="AC21" s="61">
        <f>SUM(AC9:AC20)</f>
        <v>2</v>
      </c>
      <c r="AD21" s="63">
        <f>SUM(AD9:AD12)</f>
        <v>32</v>
      </c>
      <c r="AE21" s="38">
        <f>C21+E21+G21+AC21</f>
        <v>2854</v>
      </c>
      <c r="AF21" s="121">
        <f t="shared" si="2"/>
        <v>82248</v>
      </c>
      <c r="AH21" s="119"/>
    </row>
    <row r="22" spans="1:34" ht="13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A22" s="66"/>
      <c r="AB22" s="68"/>
      <c r="AC22" s="66"/>
      <c r="AD22" s="68"/>
      <c r="AE22" s="38">
        <f>C22+E22+G22+AC22</f>
        <v>0</v>
      </c>
      <c r="AF22" s="121">
        <f t="shared" si="2"/>
        <v>0</v>
      </c>
      <c r="AH22" s="119"/>
    </row>
    <row r="23" spans="1:34" ht="13">
      <c r="A23" s="69" t="s">
        <v>20</v>
      </c>
      <c r="B23" s="70">
        <v>6.7000000000000002E-3</v>
      </c>
      <c r="C23" s="71" t="s">
        <v>0</v>
      </c>
      <c r="D23" s="72">
        <f>D21*$B$23</f>
        <v>290.64600000000002</v>
      </c>
      <c r="E23" s="71" t="s">
        <v>0</v>
      </c>
      <c r="F23" s="72">
        <f>F21*$B$23</f>
        <v>0</v>
      </c>
      <c r="G23" s="71" t="s">
        <v>0</v>
      </c>
      <c r="H23" s="72">
        <f>H21*$B$23</f>
        <v>260.20120000000003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</v>
      </c>
      <c r="AA23" s="71" t="s">
        <v>0</v>
      </c>
      <c r="AB23" s="72">
        <f>AB21*$B$23</f>
        <v>0</v>
      </c>
      <c r="AC23" s="71" t="s">
        <v>0</v>
      </c>
      <c r="AD23" s="72">
        <f>AD21*$B$23</f>
        <v>0.21440000000000001</v>
      </c>
      <c r="AE23" s="38"/>
      <c r="AF23" s="121">
        <f t="shared" si="2"/>
        <v>551.0616</v>
      </c>
      <c r="AH23" s="119"/>
    </row>
    <row r="24" spans="1:34" ht="14" thickBot="1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A24" s="74"/>
      <c r="AB24" s="75"/>
      <c r="AC24" s="74"/>
      <c r="AD24" s="75"/>
      <c r="AE24" s="38">
        <f>C24+E24+G24+AC24</f>
        <v>0</v>
      </c>
      <c r="AF24" s="121">
        <f t="shared" si="2"/>
        <v>0</v>
      </c>
      <c r="AH24" s="119"/>
    </row>
    <row r="25" spans="1:34" ht="14" thickBot="1">
      <c r="A25" s="76" t="s">
        <v>10</v>
      </c>
      <c r="B25" s="77"/>
      <c r="C25" s="78">
        <f>SUM(C21:C21)</f>
        <v>1506</v>
      </c>
      <c r="D25" s="79">
        <f>SUM(D21:D21, D23)</f>
        <v>43670.646000000001</v>
      </c>
      <c r="E25" s="78">
        <f>SUM(E21:E21)</f>
        <v>0</v>
      </c>
      <c r="F25" s="79">
        <f>SUM(F21:F21, F23:F23)</f>
        <v>0</v>
      </c>
      <c r="G25" s="78">
        <f>SUM(G21:G21)</f>
        <v>1346</v>
      </c>
      <c r="H25" s="79">
        <f>SUM(H21:H21, H23:H23)</f>
        <v>39096.201200000003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0</v>
      </c>
      <c r="Z25" s="79">
        <f>SUM(Z21:Z21, Z23:Z23)</f>
        <v>0</v>
      </c>
      <c r="AA25" s="78">
        <f>SUM(AA21:AA21)</f>
        <v>0</v>
      </c>
      <c r="AB25" s="79">
        <f>SUM(AB21:AB21, AB23:AB23)</f>
        <v>0</v>
      </c>
      <c r="AC25" s="78">
        <f>SUM(AC21:AC21)</f>
        <v>2</v>
      </c>
      <c r="AD25" s="79">
        <f>SUM(AD21:AD21, AD23:AD23)</f>
        <v>32.214399999999998</v>
      </c>
      <c r="AE25" s="38">
        <f>C25+E25+G25+AC25</f>
        <v>2854</v>
      </c>
      <c r="AF25" s="121">
        <f t="shared" si="2"/>
        <v>82799.061600000001</v>
      </c>
      <c r="AH25" s="119"/>
    </row>
    <row r="26" spans="1:34" ht="14" thickBot="1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A26" s="82"/>
      <c r="AB26" s="83"/>
      <c r="AC26" s="82"/>
      <c r="AD26" s="83"/>
      <c r="AE26" s="84"/>
      <c r="AF26" s="121">
        <f t="shared" si="2"/>
        <v>0</v>
      </c>
      <c r="AH26" s="119"/>
    </row>
    <row r="27" spans="1:34" ht="13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A27" s="87"/>
      <c r="AB27" s="37"/>
      <c r="AC27" s="87"/>
      <c r="AD27" s="37"/>
      <c r="AE27" s="88" t="s">
        <v>0</v>
      </c>
      <c r="AF27" s="121">
        <f t="shared" si="2"/>
        <v>0</v>
      </c>
      <c r="AH27" s="119"/>
    </row>
    <row r="28" spans="1:34" ht="13">
      <c r="A28" s="89" t="s">
        <v>59</v>
      </c>
      <c r="B28" s="90">
        <v>75</v>
      </c>
      <c r="C28" s="87">
        <v>25</v>
      </c>
      <c r="D28" s="52">
        <f>C28*$B$28</f>
        <v>1875</v>
      </c>
      <c r="E28" s="87">
        <v>0</v>
      </c>
      <c r="F28" s="52">
        <f>E28*$B$28</f>
        <v>0</v>
      </c>
      <c r="G28" s="87">
        <v>17</v>
      </c>
      <c r="H28" s="52">
        <f>G28*$B$28</f>
        <v>1275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A28" s="87">
        <v>0</v>
      </c>
      <c r="AB28" s="52">
        <f>AA28*$B$28</f>
        <v>0</v>
      </c>
      <c r="AC28" s="87">
        <v>0</v>
      </c>
      <c r="AD28" s="52">
        <f>AC28*$B$28</f>
        <v>0</v>
      </c>
      <c r="AE28" s="38">
        <f>C28+E28+G28+AC28</f>
        <v>42</v>
      </c>
      <c r="AF28" s="121">
        <f>D28+F28+H28+AB28+AD28</f>
        <v>3150</v>
      </c>
      <c r="AH28" s="201" t="s">
        <v>75</v>
      </c>
    </row>
    <row r="29" spans="1:34" ht="13">
      <c r="A29" s="89" t="s">
        <v>76</v>
      </c>
      <c r="B29" s="90">
        <v>2200</v>
      </c>
      <c r="C29" s="87">
        <v>2</v>
      </c>
      <c r="D29" s="52">
        <f>C29*B29</f>
        <v>4400</v>
      </c>
      <c r="E29" s="87">
        <v>0</v>
      </c>
      <c r="F29" s="52">
        <f>E29*D29</f>
        <v>0</v>
      </c>
      <c r="G29" s="87">
        <v>2</v>
      </c>
      <c r="H29" s="52">
        <f>G29*B29</f>
        <v>4400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A29" s="87">
        <v>0</v>
      </c>
      <c r="AB29" s="52">
        <f>AA29*$B$28</f>
        <v>0</v>
      </c>
      <c r="AC29" s="87">
        <v>0</v>
      </c>
      <c r="AD29" s="52">
        <f>AC29*$B$28</f>
        <v>0</v>
      </c>
      <c r="AE29" s="38">
        <f>C29+E29+G29+AC29</f>
        <v>4</v>
      </c>
      <c r="AF29" s="121">
        <f>D29+F29+H29+AB29+AD29</f>
        <v>8800</v>
      </c>
      <c r="AH29" s="201" t="s">
        <v>87</v>
      </c>
    </row>
    <row r="30" spans="1:34" ht="14" thickBot="1">
      <c r="A30" s="91"/>
      <c r="B30" s="92"/>
      <c r="C30" s="93"/>
      <c r="D30" s="94"/>
      <c r="E30" s="95"/>
      <c r="F30" s="94"/>
      <c r="G30" s="93"/>
      <c r="H30" s="94"/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>
        <v>0</v>
      </c>
      <c r="X30" s="94">
        <f>W30*$B$30</f>
        <v>0</v>
      </c>
      <c r="Y30" s="93">
        <v>0</v>
      </c>
      <c r="Z30" s="94">
        <f>Y30*$B$30</f>
        <v>0</v>
      </c>
      <c r="AA30" s="93"/>
      <c r="AB30" s="94"/>
      <c r="AC30" s="93"/>
      <c r="AD30" s="94"/>
      <c r="AE30" s="59">
        <f>C30+E30+G30+I30+K30+M30+O30+Q30+S30+U30+W30+Y30+AA30</f>
        <v>0</v>
      </c>
      <c r="AF30" s="121">
        <f t="shared" si="2"/>
        <v>0</v>
      </c>
      <c r="AH30" s="119"/>
    </row>
    <row r="31" spans="1:34" ht="14" thickBot="1">
      <c r="A31" s="96" t="s">
        <v>12</v>
      </c>
      <c r="B31" s="97"/>
      <c r="C31" s="98"/>
      <c r="D31" s="99"/>
      <c r="E31" s="100"/>
      <c r="F31" s="99"/>
      <c r="G31" s="100"/>
      <c r="H31" s="99"/>
      <c r="I31" s="98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A31" s="100"/>
      <c r="AB31" s="99"/>
      <c r="AC31" s="100"/>
      <c r="AD31" s="99"/>
      <c r="AE31" s="84"/>
      <c r="AF31" s="121">
        <f t="shared" si="2"/>
        <v>0</v>
      </c>
      <c r="AH31" s="119"/>
    </row>
    <row r="32" spans="1:34" ht="13">
      <c r="A32" s="124" t="s">
        <v>50</v>
      </c>
      <c r="B32" s="221">
        <v>5418</v>
      </c>
      <c r="C32" s="87">
        <v>2</v>
      </c>
      <c r="D32" s="37">
        <f>C32*B32</f>
        <v>10836</v>
      </c>
      <c r="E32" s="87">
        <v>0</v>
      </c>
      <c r="F32" s="37">
        <f>E32*B32</f>
        <v>0</v>
      </c>
      <c r="G32" s="87">
        <v>1</v>
      </c>
      <c r="H32" s="37">
        <f t="shared" ref="H32:H37" si="7">G32*B32</f>
        <v>5418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>W32*$B$32</f>
        <v>0</v>
      </c>
      <c r="Y32" s="87">
        <v>0</v>
      </c>
      <c r="Z32" s="37">
        <f>Y32*$B$32</f>
        <v>0</v>
      </c>
      <c r="AA32" s="87">
        <v>0</v>
      </c>
      <c r="AB32" s="37">
        <f>AA32*B32</f>
        <v>0</v>
      </c>
      <c r="AC32" s="87">
        <v>0</v>
      </c>
      <c r="AD32" s="37">
        <f t="shared" ref="AD32:AD37" si="8">AC32*B32</f>
        <v>0</v>
      </c>
      <c r="AE32" s="88">
        <f>C32+E32+G32+AC32+AA32</f>
        <v>3</v>
      </c>
      <c r="AF32" s="121">
        <f t="shared" si="2"/>
        <v>16254</v>
      </c>
      <c r="AH32" s="218" t="s">
        <v>63</v>
      </c>
    </row>
    <row r="33" spans="1:34" ht="13">
      <c r="A33" s="124" t="s">
        <v>64</v>
      </c>
      <c r="B33" s="221">
        <v>175</v>
      </c>
      <c r="C33" s="87">
        <v>6</v>
      </c>
      <c r="D33" s="37">
        <f>C33*B33</f>
        <v>1050</v>
      </c>
      <c r="E33" s="87">
        <v>0</v>
      </c>
      <c r="F33" s="37">
        <f>E33*B33</f>
        <v>0</v>
      </c>
      <c r="G33" s="87">
        <v>6</v>
      </c>
      <c r="H33" s="37">
        <f t="shared" si="7"/>
        <v>1050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>W33*$B$32</f>
        <v>0</v>
      </c>
      <c r="Y33" s="87">
        <v>0</v>
      </c>
      <c r="Z33" s="37">
        <f>Y33*$B$32</f>
        <v>0</v>
      </c>
      <c r="AA33" s="87">
        <v>0</v>
      </c>
      <c r="AB33" s="37">
        <f>AA33*B33</f>
        <v>0</v>
      </c>
      <c r="AC33" s="87">
        <v>0</v>
      </c>
      <c r="AD33" s="37">
        <f t="shared" si="8"/>
        <v>0</v>
      </c>
      <c r="AE33" s="88">
        <f>C33+E33+G33+AC33+AA33</f>
        <v>12</v>
      </c>
      <c r="AF33" s="121">
        <f t="shared" si="2"/>
        <v>2100</v>
      </c>
      <c r="AH33" s="218" t="s">
        <v>65</v>
      </c>
    </row>
    <row r="34" spans="1:34" ht="13">
      <c r="A34" s="125" t="s">
        <v>66</v>
      </c>
      <c r="B34" s="101">
        <v>35</v>
      </c>
      <c r="C34" s="87">
        <v>140</v>
      </c>
      <c r="D34" s="37">
        <f t="shared" ref="D34:D37" si="9">C34*B34</f>
        <v>4900</v>
      </c>
      <c r="E34" s="87">
        <v>0</v>
      </c>
      <c r="F34" s="37">
        <f t="shared" ref="F34:F37" si="10">E34*B34</f>
        <v>0</v>
      </c>
      <c r="G34" s="87">
        <v>112</v>
      </c>
      <c r="H34" s="37">
        <f t="shared" si="7"/>
        <v>3920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>W34*$B$34</f>
        <v>0</v>
      </c>
      <c r="Y34" s="87">
        <v>0</v>
      </c>
      <c r="Z34" s="37">
        <f>Y34*$B$34</f>
        <v>0</v>
      </c>
      <c r="AA34" s="87">
        <v>0</v>
      </c>
      <c r="AB34" s="37">
        <f t="shared" ref="AB34:AB43" si="11">AA34*B34</f>
        <v>0</v>
      </c>
      <c r="AC34" s="87">
        <v>0</v>
      </c>
      <c r="AD34" s="37">
        <f t="shared" si="8"/>
        <v>0</v>
      </c>
      <c r="AE34" s="88">
        <f t="shared" ref="AE34:AE37" si="12">C34+E34+G34+AC34+AA34</f>
        <v>252</v>
      </c>
      <c r="AF34" s="121">
        <f t="shared" si="2"/>
        <v>8820</v>
      </c>
      <c r="AH34" s="119" t="s">
        <v>67</v>
      </c>
    </row>
    <row r="35" spans="1:34" ht="13">
      <c r="A35" s="125" t="s">
        <v>51</v>
      </c>
      <c r="B35" s="101">
        <v>55</v>
      </c>
      <c r="C35" s="87">
        <v>6</v>
      </c>
      <c r="D35" s="37">
        <f t="shared" si="9"/>
        <v>330</v>
      </c>
      <c r="E35" s="87">
        <v>0</v>
      </c>
      <c r="F35" s="37">
        <f t="shared" si="10"/>
        <v>0</v>
      </c>
      <c r="G35" s="87">
        <v>6</v>
      </c>
      <c r="H35" s="37">
        <f t="shared" si="7"/>
        <v>330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>W35*$B$34</f>
        <v>0</v>
      </c>
      <c r="Y35" s="87">
        <v>0</v>
      </c>
      <c r="Z35" s="37">
        <f>Y35*$B$34</f>
        <v>0</v>
      </c>
      <c r="AA35" s="87">
        <v>0</v>
      </c>
      <c r="AB35" s="37">
        <f t="shared" si="11"/>
        <v>0</v>
      </c>
      <c r="AC35" s="87">
        <v>0</v>
      </c>
      <c r="AD35" s="37">
        <f t="shared" si="8"/>
        <v>0</v>
      </c>
      <c r="AE35" s="88">
        <f t="shared" si="12"/>
        <v>12</v>
      </c>
      <c r="AF35" s="121">
        <f t="shared" si="2"/>
        <v>660</v>
      </c>
      <c r="AH35" s="119" t="s">
        <v>68</v>
      </c>
    </row>
    <row r="36" spans="1:34" ht="13">
      <c r="A36" s="126" t="s">
        <v>38</v>
      </c>
      <c r="B36" s="101">
        <v>100</v>
      </c>
      <c r="C36" s="87">
        <v>6</v>
      </c>
      <c r="D36" s="37">
        <f t="shared" si="9"/>
        <v>600</v>
      </c>
      <c r="E36" s="87">
        <v>0</v>
      </c>
      <c r="F36" s="37">
        <f t="shared" si="10"/>
        <v>0</v>
      </c>
      <c r="G36" s="87">
        <v>6</v>
      </c>
      <c r="H36" s="37">
        <f t="shared" si="7"/>
        <v>600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>W36*$B$36</f>
        <v>0</v>
      </c>
      <c r="Y36" s="87">
        <v>0</v>
      </c>
      <c r="Z36" s="37">
        <f>Y36*$B$36</f>
        <v>0</v>
      </c>
      <c r="AA36" s="87">
        <v>0</v>
      </c>
      <c r="AB36" s="37">
        <f t="shared" si="11"/>
        <v>0</v>
      </c>
      <c r="AC36" s="87">
        <v>0</v>
      </c>
      <c r="AD36" s="37">
        <f t="shared" si="8"/>
        <v>0</v>
      </c>
      <c r="AE36" s="88">
        <f t="shared" si="12"/>
        <v>12</v>
      </c>
      <c r="AF36" s="121">
        <f t="shared" si="2"/>
        <v>1200</v>
      </c>
      <c r="AH36" s="119"/>
    </row>
    <row r="37" spans="1:34" ht="30.75" customHeight="1" thickBot="1">
      <c r="A37" s="127" t="s">
        <v>62</v>
      </c>
      <c r="B37" s="122">
        <v>480</v>
      </c>
      <c r="C37" s="87">
        <v>2</v>
      </c>
      <c r="D37" s="37">
        <f t="shared" si="9"/>
        <v>960</v>
      </c>
      <c r="E37" s="87">
        <v>0</v>
      </c>
      <c r="F37" s="37">
        <f t="shared" si="10"/>
        <v>0</v>
      </c>
      <c r="G37" s="87">
        <v>1</v>
      </c>
      <c r="H37" s="37">
        <f t="shared" si="7"/>
        <v>480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 t="e">
        <f>W37*#REF!</f>
        <v>#REF!</v>
      </c>
      <c r="Y37" s="87">
        <v>0</v>
      </c>
      <c r="Z37" s="37" t="e">
        <f>Y37*#REF!</f>
        <v>#REF!</v>
      </c>
      <c r="AA37" s="87">
        <v>0</v>
      </c>
      <c r="AB37" s="37">
        <f t="shared" si="11"/>
        <v>0</v>
      </c>
      <c r="AC37" s="87">
        <v>0</v>
      </c>
      <c r="AD37" s="37">
        <f t="shared" si="8"/>
        <v>0</v>
      </c>
      <c r="AE37" s="88">
        <f t="shared" si="12"/>
        <v>3</v>
      </c>
      <c r="AF37" s="121">
        <f t="shared" si="2"/>
        <v>1440</v>
      </c>
      <c r="AH37" s="119" t="s">
        <v>52</v>
      </c>
    </row>
    <row r="38" spans="1:34" ht="14" thickBot="1">
      <c r="A38" s="102" t="s">
        <v>13</v>
      </c>
      <c r="B38" s="103"/>
      <c r="C38" s="104"/>
      <c r="D38" s="105"/>
      <c r="E38" s="106"/>
      <c r="F38" s="105"/>
      <c r="G38" s="106"/>
      <c r="H38" s="105"/>
      <c r="I38" s="104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5"/>
      <c r="Y38" s="106"/>
      <c r="Z38" s="105"/>
      <c r="AA38" s="106"/>
      <c r="AB38" s="106"/>
      <c r="AC38" s="106"/>
      <c r="AD38" s="105"/>
      <c r="AE38" s="88">
        <f t="shared" ref="AE38:AE95" si="13">C38+E38+G38+AC38</f>
        <v>0</v>
      </c>
      <c r="AF38" s="121">
        <f t="shared" si="2"/>
        <v>0</v>
      </c>
      <c r="AH38" s="119"/>
    </row>
    <row r="39" spans="1:34" ht="13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A39" s="209"/>
      <c r="AB39" s="208"/>
      <c r="AC39" s="209"/>
      <c r="AD39" s="208"/>
      <c r="AE39" s="88"/>
      <c r="AF39" s="121"/>
      <c r="AH39" s="210"/>
    </row>
    <row r="40" spans="1:34" ht="13">
      <c r="A40" s="107" t="s">
        <v>60</v>
      </c>
      <c r="B40" s="108">
        <v>39</v>
      </c>
      <c r="C40" s="87">
        <v>18</v>
      </c>
      <c r="D40" s="52">
        <f>C40*$B$40</f>
        <v>702</v>
      </c>
      <c r="E40" s="87">
        <v>0</v>
      </c>
      <c r="F40" s="52">
        <f>E40*$B$40</f>
        <v>0</v>
      </c>
      <c r="G40" s="87">
        <v>18</v>
      </c>
      <c r="H40" s="52">
        <f>G40*B40</f>
        <v>702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52">
        <f>W40*$B$40</f>
        <v>0</v>
      </c>
      <c r="Y40" s="87">
        <v>0</v>
      </c>
      <c r="Z40" s="52">
        <f>Y40*$B$40</f>
        <v>0</v>
      </c>
      <c r="AA40" s="87">
        <v>0</v>
      </c>
      <c r="AB40" s="37">
        <f t="shared" si="11"/>
        <v>0</v>
      </c>
      <c r="AC40" s="87">
        <v>0</v>
      </c>
      <c r="AD40" s="52">
        <f>AC40*$B$40</f>
        <v>0</v>
      </c>
      <c r="AE40" s="88">
        <f t="shared" si="13"/>
        <v>36</v>
      </c>
      <c r="AF40" s="121">
        <f t="shared" si="2"/>
        <v>1404</v>
      </c>
      <c r="AH40" s="202" t="s">
        <v>61</v>
      </c>
    </row>
    <row r="41" spans="1:34" ht="13">
      <c r="A41" s="226" t="s">
        <v>78</v>
      </c>
      <c r="B41" s="108">
        <v>76000</v>
      </c>
      <c r="C41" s="87">
        <v>0.55000000000000004</v>
      </c>
      <c r="D41" s="52">
        <f>C41*B41</f>
        <v>41800</v>
      </c>
      <c r="E41" s="87">
        <v>0</v>
      </c>
      <c r="F41" s="52">
        <v>0.45</v>
      </c>
      <c r="G41" s="87">
        <v>0</v>
      </c>
      <c r="H41" s="52">
        <f>B41*F41</f>
        <v>34200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52">
        <f>W41*$B$40</f>
        <v>0</v>
      </c>
      <c r="Y41" s="87">
        <v>0</v>
      </c>
      <c r="Z41" s="52">
        <f>Y41*$B$40</f>
        <v>0</v>
      </c>
      <c r="AA41" s="87">
        <v>0</v>
      </c>
      <c r="AB41" s="37">
        <f t="shared" si="11"/>
        <v>0</v>
      </c>
      <c r="AC41" s="87">
        <v>0</v>
      </c>
      <c r="AD41" s="52">
        <f>AC41*$B$40</f>
        <v>0</v>
      </c>
      <c r="AE41" s="88">
        <f t="shared" si="13"/>
        <v>0.55000000000000004</v>
      </c>
      <c r="AF41" s="121">
        <f t="shared" si="2"/>
        <v>76000.45</v>
      </c>
      <c r="AH41" s="202" t="s">
        <v>79</v>
      </c>
    </row>
    <row r="42" spans="1:34" ht="13">
      <c r="A42" s="224" t="s">
        <v>88</v>
      </c>
      <c r="B42" s="108">
        <f>B41*0.04</f>
        <v>3040</v>
      </c>
      <c r="C42" s="87">
        <v>0.55000000000000004</v>
      </c>
      <c r="D42" s="52">
        <f>C42*B42</f>
        <v>1672.0000000000002</v>
      </c>
      <c r="E42" s="87">
        <v>0</v>
      </c>
      <c r="F42" s="52">
        <v>0.45</v>
      </c>
      <c r="G42" s="87">
        <v>0</v>
      </c>
      <c r="H42" s="52">
        <f t="shared" ref="H42:H43" si="14">B42*F42</f>
        <v>1368</v>
      </c>
      <c r="I42" s="87">
        <v>0</v>
      </c>
      <c r="J42" s="52">
        <f>I42*$B$40</f>
        <v>0</v>
      </c>
      <c r="K42" s="87">
        <v>0</v>
      </c>
      <c r="L42" s="52">
        <f>K42*$B$40</f>
        <v>0</v>
      </c>
      <c r="M42" s="87">
        <v>0</v>
      </c>
      <c r="N42" s="52">
        <f>M42*$B$40</f>
        <v>0</v>
      </c>
      <c r="O42" s="87">
        <v>0</v>
      </c>
      <c r="P42" s="52">
        <f>O42*$B$40</f>
        <v>0</v>
      </c>
      <c r="Q42" s="87">
        <v>0</v>
      </c>
      <c r="R42" s="52">
        <f>Q42*$B$40</f>
        <v>0</v>
      </c>
      <c r="S42" s="87">
        <v>0</v>
      </c>
      <c r="T42" s="52">
        <f>S42*$B$40</f>
        <v>0</v>
      </c>
      <c r="U42" s="87">
        <v>0</v>
      </c>
      <c r="V42" s="52">
        <f>U42*$B$40</f>
        <v>0</v>
      </c>
      <c r="W42" s="87">
        <v>0</v>
      </c>
      <c r="X42" s="52">
        <f>W42*$B$40</f>
        <v>0</v>
      </c>
      <c r="Y42" s="87">
        <v>0</v>
      </c>
      <c r="Z42" s="52">
        <f>Y42*$B$40</f>
        <v>0</v>
      </c>
      <c r="AA42" s="87">
        <v>0</v>
      </c>
      <c r="AB42" s="37">
        <f t="shared" ref="AB42" si="15">AA42*B42</f>
        <v>0</v>
      </c>
      <c r="AC42" s="87">
        <v>0</v>
      </c>
      <c r="AD42" s="52">
        <f>AC42*$B$40</f>
        <v>0</v>
      </c>
      <c r="AE42" s="88">
        <f t="shared" ref="AE42" si="16">C42+E42+G42+AC42</f>
        <v>0.55000000000000004</v>
      </c>
      <c r="AF42" s="121">
        <f t="shared" ref="AF42" si="17">D42+F42+H42+AD42+AB42</f>
        <v>3040.4500000000003</v>
      </c>
      <c r="AH42" s="202" t="s">
        <v>89</v>
      </c>
    </row>
    <row r="43" spans="1:34" ht="13">
      <c r="A43" s="225" t="s">
        <v>80</v>
      </c>
      <c r="B43" s="108">
        <f>B41*0.02</f>
        <v>1520</v>
      </c>
      <c r="C43" s="87">
        <v>0.55000000000000004</v>
      </c>
      <c r="D43" s="52">
        <f>C43*B43</f>
        <v>836.00000000000011</v>
      </c>
      <c r="E43" s="87">
        <v>0</v>
      </c>
      <c r="F43" s="52">
        <v>0.45</v>
      </c>
      <c r="G43" s="87">
        <v>0</v>
      </c>
      <c r="H43" s="52">
        <f t="shared" si="14"/>
        <v>684</v>
      </c>
      <c r="I43" s="87">
        <v>0</v>
      </c>
      <c r="J43" s="52">
        <f>I43*$B$40</f>
        <v>0</v>
      </c>
      <c r="K43" s="87">
        <v>0</v>
      </c>
      <c r="L43" s="52">
        <f>K43*$B$40</f>
        <v>0</v>
      </c>
      <c r="M43" s="87">
        <v>0</v>
      </c>
      <c r="N43" s="52">
        <f>M43*$B$40</f>
        <v>0</v>
      </c>
      <c r="O43" s="87">
        <v>0</v>
      </c>
      <c r="P43" s="52">
        <f>O43*$B$40</f>
        <v>0</v>
      </c>
      <c r="Q43" s="87">
        <v>0</v>
      </c>
      <c r="R43" s="52">
        <f>Q43*$B$40</f>
        <v>0</v>
      </c>
      <c r="S43" s="87">
        <v>0</v>
      </c>
      <c r="T43" s="52">
        <f>S43*$B$40</f>
        <v>0</v>
      </c>
      <c r="U43" s="87">
        <v>0</v>
      </c>
      <c r="V43" s="52">
        <f>U43*$B$40</f>
        <v>0</v>
      </c>
      <c r="W43" s="87">
        <v>0</v>
      </c>
      <c r="X43" s="52">
        <f>W43*$B$40</f>
        <v>0</v>
      </c>
      <c r="Y43" s="87">
        <v>0</v>
      </c>
      <c r="Z43" s="52">
        <f>Y43*$B$40</f>
        <v>0</v>
      </c>
      <c r="AA43" s="87">
        <v>0</v>
      </c>
      <c r="AB43" s="37">
        <f t="shared" si="11"/>
        <v>0</v>
      </c>
      <c r="AC43" s="87">
        <v>0</v>
      </c>
      <c r="AD43" s="52">
        <f>AC43*$B$40</f>
        <v>0</v>
      </c>
      <c r="AE43" s="88">
        <f t="shared" si="13"/>
        <v>0.55000000000000004</v>
      </c>
      <c r="AF43" s="121">
        <f t="shared" si="2"/>
        <v>1520.4500000000003</v>
      </c>
      <c r="AH43" s="202" t="s">
        <v>81</v>
      </c>
    </row>
    <row r="44" spans="1:34" ht="14" thickBot="1">
      <c r="A44" s="109"/>
      <c r="B44" s="110"/>
      <c r="C44" s="87"/>
      <c r="D44" s="52"/>
      <c r="E44" s="87"/>
      <c r="F44" s="52"/>
      <c r="G44" s="87"/>
      <c r="H44" s="52"/>
      <c r="I44" s="87"/>
      <c r="J44" s="52"/>
      <c r="K44" s="87"/>
      <c r="L44" s="52"/>
      <c r="M44" s="87"/>
      <c r="N44" s="52"/>
      <c r="O44" s="87"/>
      <c r="P44" s="52"/>
      <c r="Q44" s="87"/>
      <c r="R44" s="52"/>
      <c r="S44" s="87"/>
      <c r="T44" s="52"/>
      <c r="U44" s="87"/>
      <c r="V44" s="52"/>
      <c r="W44" s="87"/>
      <c r="X44" s="52"/>
      <c r="Y44" s="87"/>
      <c r="Z44" s="52"/>
      <c r="AA44" s="87"/>
      <c r="AB44" s="52"/>
      <c r="AC44" s="87"/>
      <c r="AD44" s="52"/>
      <c r="AE44" s="88"/>
      <c r="AF44" s="121"/>
      <c r="AH44" s="119"/>
    </row>
    <row r="45" spans="1:34" ht="13.5" hidden="1" customHeight="1" thickBot="1">
      <c r="A45" s="111"/>
      <c r="B45" s="112">
        <v>0</v>
      </c>
      <c r="C45" s="93">
        <v>0</v>
      </c>
      <c r="D45" s="113">
        <f>+C45*B45</f>
        <v>0</v>
      </c>
      <c r="E45" s="93">
        <v>0</v>
      </c>
      <c r="F45" s="113">
        <f>+E45*B45</f>
        <v>0</v>
      </c>
      <c r="G45" s="93">
        <v>0</v>
      </c>
      <c r="H45" s="113">
        <f>+G45*B45</f>
        <v>0</v>
      </c>
      <c r="I45" s="93">
        <v>0</v>
      </c>
      <c r="J45" s="56">
        <f>SUM($B45*I45)</f>
        <v>0</v>
      </c>
      <c r="K45" s="114">
        <v>0</v>
      </c>
      <c r="L45" s="56">
        <f>SUM($B45*K45)</f>
        <v>0</v>
      </c>
      <c r="M45" s="114">
        <v>0</v>
      </c>
      <c r="N45" s="56">
        <f>SUM($B45*M45)</f>
        <v>0</v>
      </c>
      <c r="O45" s="114">
        <v>0</v>
      </c>
      <c r="P45" s="56">
        <f>SUM($B45*O45)</f>
        <v>0</v>
      </c>
      <c r="Q45" s="114">
        <v>0</v>
      </c>
      <c r="R45" s="56">
        <f>SUM($B45*Q45)</f>
        <v>0</v>
      </c>
      <c r="S45" s="114">
        <v>0</v>
      </c>
      <c r="T45" s="56">
        <f>SUM($B45*S45)</f>
        <v>0</v>
      </c>
      <c r="U45" s="114">
        <v>0</v>
      </c>
      <c r="V45" s="56">
        <f>SUM($B45*U45)</f>
        <v>0</v>
      </c>
      <c r="W45" s="114">
        <v>0</v>
      </c>
      <c r="X45" s="56">
        <f>SUM($B45*W45)</f>
        <v>0</v>
      </c>
      <c r="Y45" s="114">
        <v>0</v>
      </c>
      <c r="Z45" s="56">
        <f>SUM($B45*Y45)</f>
        <v>0</v>
      </c>
      <c r="AA45" s="93">
        <v>0</v>
      </c>
      <c r="AB45" s="113">
        <f>+AA45*V45</f>
        <v>0</v>
      </c>
      <c r="AC45" s="93">
        <v>0</v>
      </c>
      <c r="AD45" s="113">
        <f>+AC45*X45</f>
        <v>0</v>
      </c>
      <c r="AE45" s="88">
        <f t="shared" si="13"/>
        <v>0</v>
      </c>
      <c r="AF45" s="121">
        <f t="shared" si="2"/>
        <v>0</v>
      </c>
      <c r="AH45" s="119"/>
    </row>
    <row r="46" spans="1:34" ht="13">
      <c r="A46" s="130" t="s">
        <v>40</v>
      </c>
      <c r="B46" s="131"/>
      <c r="C46" s="132"/>
      <c r="D46" s="133"/>
      <c r="E46" s="132"/>
      <c r="F46" s="133"/>
      <c r="G46" s="132"/>
      <c r="H46" s="133"/>
      <c r="I46" s="132"/>
      <c r="J46" s="133"/>
      <c r="K46" s="134"/>
      <c r="L46" s="133"/>
      <c r="M46" s="134"/>
      <c r="N46" s="133"/>
      <c r="O46" s="134"/>
      <c r="P46" s="133"/>
      <c r="Q46" s="134"/>
      <c r="R46" s="133"/>
      <c r="S46" s="134"/>
      <c r="T46" s="133"/>
      <c r="U46" s="134"/>
      <c r="V46" s="133"/>
      <c r="W46" s="134"/>
      <c r="X46" s="133"/>
      <c r="Y46" s="134"/>
      <c r="Z46" s="133"/>
      <c r="AA46" s="132"/>
      <c r="AB46" s="133"/>
      <c r="AC46" s="132"/>
      <c r="AD46" s="133"/>
      <c r="AE46" s="88">
        <f t="shared" si="13"/>
        <v>0</v>
      </c>
      <c r="AF46" s="121">
        <f t="shared" si="2"/>
        <v>0</v>
      </c>
      <c r="AH46" s="119"/>
    </row>
    <row r="47" spans="1:34" ht="18.75" customHeight="1">
      <c r="A47" s="135" t="s">
        <v>41</v>
      </c>
      <c r="B47" s="215"/>
      <c r="C47" s="136">
        <v>1</v>
      </c>
      <c r="D47" s="137">
        <f>C47*$B$47</f>
        <v>0</v>
      </c>
      <c r="E47" s="136">
        <v>0</v>
      </c>
      <c r="F47" s="137">
        <f>E47*$B$47</f>
        <v>0</v>
      </c>
      <c r="G47" s="136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8">
        <v>0</v>
      </c>
      <c r="X47" s="137">
        <f>W47*$B$47</f>
        <v>0</v>
      </c>
      <c r="Y47" s="138">
        <v>0</v>
      </c>
      <c r="Z47" s="137">
        <f>Y47*$B$47</f>
        <v>0</v>
      </c>
      <c r="AA47" s="136">
        <v>0</v>
      </c>
      <c r="AB47" s="137">
        <f>AA47*$B$47</f>
        <v>0</v>
      </c>
      <c r="AC47" s="136">
        <v>0</v>
      </c>
      <c r="AD47" s="137">
        <f>AC47*$B$47</f>
        <v>0</v>
      </c>
      <c r="AE47" s="129">
        <f t="shared" si="13"/>
        <v>1</v>
      </c>
      <c r="AF47" s="121">
        <f t="shared" si="2"/>
        <v>0</v>
      </c>
      <c r="AH47" s="119"/>
    </row>
    <row r="48" spans="1:34" ht="18.75" hidden="1" customHeight="1">
      <c r="A48" s="135"/>
      <c r="B48" s="215"/>
      <c r="C48" s="136">
        <v>1</v>
      </c>
      <c r="D48" s="137">
        <f>C48*B48</f>
        <v>0</v>
      </c>
      <c r="E48" s="136">
        <v>0</v>
      </c>
      <c r="F48" s="137">
        <f>E48*$B$48</f>
        <v>0</v>
      </c>
      <c r="G48" s="136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U48*$B$47</f>
        <v>0</v>
      </c>
      <c r="W48" s="138">
        <v>0</v>
      </c>
      <c r="X48" s="137">
        <f>W48*$B$47</f>
        <v>0</v>
      </c>
      <c r="Y48" s="138">
        <v>0</v>
      </c>
      <c r="Z48" s="137">
        <f>Y48*$B$47</f>
        <v>0</v>
      </c>
      <c r="AA48" s="136">
        <v>0</v>
      </c>
      <c r="AB48" s="137">
        <f>AA48*$B$48</f>
        <v>0</v>
      </c>
      <c r="AC48" s="136">
        <v>0</v>
      </c>
      <c r="AD48" s="137">
        <f>AC48*$B$48</f>
        <v>0</v>
      </c>
      <c r="AE48" s="129">
        <f t="shared" si="13"/>
        <v>1</v>
      </c>
      <c r="AF48" s="121">
        <f t="shared" si="2"/>
        <v>0</v>
      </c>
      <c r="AH48" s="119"/>
    </row>
    <row r="49" spans="1:37" ht="18.75" hidden="1" customHeight="1">
      <c r="A49" s="135"/>
      <c r="B49" s="215"/>
      <c r="C49" s="136">
        <v>0</v>
      </c>
      <c r="D49" s="137">
        <f>C49*B49</f>
        <v>0</v>
      </c>
      <c r="E49" s="136">
        <v>1</v>
      </c>
      <c r="F49" s="137">
        <f>E49*$B$49</f>
        <v>0</v>
      </c>
      <c r="G49" s="136">
        <v>0</v>
      </c>
      <c r="H49" s="137">
        <f>G49*$B$49</f>
        <v>0</v>
      </c>
      <c r="I49" s="138">
        <v>0</v>
      </c>
      <c r="J49" s="137">
        <f>I49*$B$49</f>
        <v>0</v>
      </c>
      <c r="K49" s="138">
        <v>0</v>
      </c>
      <c r="L49" s="137">
        <f>K49*$B$49</f>
        <v>0</v>
      </c>
      <c r="M49" s="138">
        <v>0</v>
      </c>
      <c r="N49" s="137">
        <f>M49*$B$49</f>
        <v>0</v>
      </c>
      <c r="O49" s="138">
        <v>0</v>
      </c>
      <c r="P49" s="137">
        <f>O49*$B$49</f>
        <v>0</v>
      </c>
      <c r="Q49" s="138">
        <v>0</v>
      </c>
      <c r="R49" s="137">
        <f>Q49*$B$49</f>
        <v>0</v>
      </c>
      <c r="S49" s="138">
        <v>0</v>
      </c>
      <c r="T49" s="137">
        <f>S49*$B$49</f>
        <v>0</v>
      </c>
      <c r="U49" s="138">
        <v>0</v>
      </c>
      <c r="V49" s="137">
        <f>U49*$B$49</f>
        <v>0</v>
      </c>
      <c r="W49" s="138">
        <v>0</v>
      </c>
      <c r="X49" s="137">
        <f>W49*$B$49</f>
        <v>0</v>
      </c>
      <c r="Y49" s="138">
        <v>0</v>
      </c>
      <c r="Z49" s="137">
        <f>Y49*$B$49</f>
        <v>0</v>
      </c>
      <c r="AA49" s="136">
        <v>0</v>
      </c>
      <c r="AB49" s="137">
        <f>AA49*$B$49</f>
        <v>0</v>
      </c>
      <c r="AC49" s="136">
        <v>0</v>
      </c>
      <c r="AD49" s="137">
        <f>AC49*$B$49</f>
        <v>0</v>
      </c>
      <c r="AE49" s="129">
        <f t="shared" si="13"/>
        <v>1</v>
      </c>
      <c r="AF49" s="121">
        <f t="shared" si="2"/>
        <v>0</v>
      </c>
      <c r="AH49" s="119"/>
    </row>
    <row r="50" spans="1:37" ht="18.75" hidden="1" customHeight="1">
      <c r="A50" s="135"/>
      <c r="B50" s="215"/>
      <c r="C50" s="136">
        <v>0</v>
      </c>
      <c r="D50" s="137">
        <f>C50*$B$50</f>
        <v>0</v>
      </c>
      <c r="E50" s="136">
        <v>0</v>
      </c>
      <c r="F50" s="137">
        <f>E50*$B$50</f>
        <v>0</v>
      </c>
      <c r="G50" s="136">
        <v>1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8">
        <v>0</v>
      </c>
      <c r="X50" s="137">
        <f>W50*$B$50</f>
        <v>0</v>
      </c>
      <c r="Y50" s="138">
        <v>0</v>
      </c>
      <c r="Z50" s="137">
        <f>Y50*$B$50</f>
        <v>0</v>
      </c>
      <c r="AA50" s="136">
        <v>1</v>
      </c>
      <c r="AB50" s="137">
        <f>AA50*$B$50</f>
        <v>0</v>
      </c>
      <c r="AC50" s="136">
        <v>1</v>
      </c>
      <c r="AD50" s="137">
        <f>AC50*$B$50</f>
        <v>0</v>
      </c>
      <c r="AE50" s="129">
        <f t="shared" si="13"/>
        <v>2</v>
      </c>
      <c r="AF50" s="121">
        <f t="shared" si="2"/>
        <v>0</v>
      </c>
      <c r="AH50" s="119"/>
    </row>
    <row r="51" spans="1:37" ht="13">
      <c r="A51" s="135" t="s">
        <v>44</v>
      </c>
      <c r="B51" s="215"/>
      <c r="C51" s="136">
        <v>0</v>
      </c>
      <c r="D51" s="137">
        <f>C51*$B$51</f>
        <v>0</v>
      </c>
      <c r="E51" s="136">
        <v>1</v>
      </c>
      <c r="F51" s="137">
        <f>E51*B51</f>
        <v>0</v>
      </c>
      <c r="G51" s="136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8">
        <v>0</v>
      </c>
      <c r="X51" s="137">
        <f>W51*$B$50</f>
        <v>0</v>
      </c>
      <c r="Y51" s="138">
        <v>0</v>
      </c>
      <c r="Z51" s="137">
        <f>Y51*$B$50</f>
        <v>0</v>
      </c>
      <c r="AA51" s="136">
        <v>0</v>
      </c>
      <c r="AB51" s="137">
        <f>AA51*$B$50</f>
        <v>0</v>
      </c>
      <c r="AC51" s="136">
        <v>0</v>
      </c>
      <c r="AD51" s="137">
        <f>AC51*$B$50</f>
        <v>0</v>
      </c>
      <c r="AE51" s="129">
        <f t="shared" si="13"/>
        <v>1</v>
      </c>
      <c r="AF51" s="121">
        <f t="shared" si="2"/>
        <v>0</v>
      </c>
      <c r="AH51" s="119"/>
      <c r="AK51" s="119"/>
    </row>
    <row r="52" spans="1:37" ht="15" hidden="1" customHeight="1">
      <c r="A52" s="135"/>
      <c r="B52" s="215"/>
      <c r="C52" s="136">
        <v>0</v>
      </c>
      <c r="D52" s="137">
        <f>C52*$B$52</f>
        <v>0</v>
      </c>
      <c r="E52" s="136">
        <v>0</v>
      </c>
      <c r="F52" s="137">
        <f>E52*$B$52</f>
        <v>0</v>
      </c>
      <c r="G52" s="136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8">
        <v>0</v>
      </c>
      <c r="X52" s="137">
        <f>W52*$B$52</f>
        <v>0</v>
      </c>
      <c r="Y52" s="138">
        <v>0</v>
      </c>
      <c r="Z52" s="137">
        <f>Y52*$B$52</f>
        <v>0</v>
      </c>
      <c r="AA52" s="136">
        <v>0</v>
      </c>
      <c r="AB52" s="137">
        <f>AA52*$B$52</f>
        <v>0</v>
      </c>
      <c r="AC52" s="136">
        <v>0</v>
      </c>
      <c r="AD52" s="137">
        <f>AC52*$B$52</f>
        <v>0</v>
      </c>
      <c r="AE52" s="129">
        <f t="shared" si="13"/>
        <v>0</v>
      </c>
      <c r="AF52" s="121">
        <f t="shared" si="2"/>
        <v>0</v>
      </c>
      <c r="AH52" s="119"/>
    </row>
    <row r="53" spans="1:37" ht="15" hidden="1" customHeight="1">
      <c r="A53" s="135"/>
      <c r="B53" s="215"/>
      <c r="C53" s="136">
        <v>0</v>
      </c>
      <c r="D53" s="137">
        <f>C53*$B$53</f>
        <v>0</v>
      </c>
      <c r="E53" s="136">
        <v>0</v>
      </c>
      <c r="F53" s="137">
        <f>E53*$B$52</f>
        <v>0</v>
      </c>
      <c r="G53" s="136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8">
        <v>0</v>
      </c>
      <c r="X53" s="137">
        <f>W53*$B$52</f>
        <v>0</v>
      </c>
      <c r="Y53" s="138">
        <v>0</v>
      </c>
      <c r="Z53" s="137">
        <f>Y53*$B$52</f>
        <v>0</v>
      </c>
      <c r="AA53" s="136">
        <v>0</v>
      </c>
      <c r="AB53" s="137">
        <f>AA53*$B$52</f>
        <v>0</v>
      </c>
      <c r="AC53" s="136">
        <v>0</v>
      </c>
      <c r="AD53" s="137">
        <f>AC53*$B$52</f>
        <v>0</v>
      </c>
      <c r="AE53" s="129">
        <f t="shared" si="13"/>
        <v>0</v>
      </c>
      <c r="AF53" s="121">
        <f t="shared" si="2"/>
        <v>0</v>
      </c>
      <c r="AH53" s="119"/>
    </row>
    <row r="54" spans="1:37" ht="15" hidden="1" customHeight="1">
      <c r="A54" s="135"/>
      <c r="B54" s="215"/>
      <c r="C54" s="136">
        <v>0</v>
      </c>
      <c r="D54" s="137">
        <f>C54*$B$54</f>
        <v>0</v>
      </c>
      <c r="E54" s="136">
        <v>0</v>
      </c>
      <c r="F54" s="137">
        <f>E54*$B$54</f>
        <v>0</v>
      </c>
      <c r="G54" s="136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8">
        <v>0</v>
      </c>
      <c r="X54" s="137">
        <f>W54*$B$54</f>
        <v>0</v>
      </c>
      <c r="Y54" s="138">
        <v>0</v>
      </c>
      <c r="Z54" s="137">
        <f>Y54*$B$54</f>
        <v>0</v>
      </c>
      <c r="AA54" s="136">
        <v>0</v>
      </c>
      <c r="AB54" s="137">
        <f>AA54*$B$54</f>
        <v>0</v>
      </c>
      <c r="AC54" s="136">
        <v>0</v>
      </c>
      <c r="AD54" s="137">
        <f>AC54*$B$54</f>
        <v>0</v>
      </c>
      <c r="AE54" s="129">
        <f t="shared" si="13"/>
        <v>0</v>
      </c>
      <c r="AF54" s="121">
        <f t="shared" si="2"/>
        <v>0</v>
      </c>
      <c r="AH54" s="119"/>
    </row>
    <row r="55" spans="1:37" ht="15" hidden="1" customHeight="1">
      <c r="A55" s="139"/>
      <c r="B55" s="215"/>
      <c r="C55" s="136">
        <v>0</v>
      </c>
      <c r="D55" s="137">
        <f>C55*$B$55</f>
        <v>0</v>
      </c>
      <c r="E55" s="136">
        <v>0</v>
      </c>
      <c r="F55" s="137">
        <f>E55*$B$54</f>
        <v>0</v>
      </c>
      <c r="G55" s="136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8">
        <v>0</v>
      </c>
      <c r="X55" s="137">
        <f>W55*$B$54</f>
        <v>0</v>
      </c>
      <c r="Y55" s="138">
        <v>0</v>
      </c>
      <c r="Z55" s="137">
        <f>Y55*$B$54</f>
        <v>0</v>
      </c>
      <c r="AA55" s="136">
        <v>0</v>
      </c>
      <c r="AB55" s="137">
        <f>AA55*$B$54</f>
        <v>0</v>
      </c>
      <c r="AC55" s="136">
        <v>0</v>
      </c>
      <c r="AD55" s="137">
        <f>AC55*$B$54</f>
        <v>0</v>
      </c>
      <c r="AE55" s="129">
        <f t="shared" si="13"/>
        <v>0</v>
      </c>
      <c r="AF55" s="121">
        <f t="shared" si="2"/>
        <v>0</v>
      </c>
      <c r="AH55" s="119"/>
    </row>
    <row r="56" spans="1:37" ht="15" hidden="1" customHeight="1">
      <c r="A56" s="139"/>
      <c r="B56" s="215"/>
      <c r="C56" s="136">
        <v>0</v>
      </c>
      <c r="D56" s="137">
        <f>C56*$B$56</f>
        <v>0</v>
      </c>
      <c r="E56" s="136">
        <v>0</v>
      </c>
      <c r="F56" s="137">
        <f>E56*$B$56</f>
        <v>0</v>
      </c>
      <c r="G56" s="136">
        <v>0</v>
      </c>
      <c r="H56" s="137">
        <f>G56*$B$56</f>
        <v>0</v>
      </c>
      <c r="I56" s="138">
        <v>0</v>
      </c>
      <c r="J56" s="137">
        <f>I56*$B$56</f>
        <v>0</v>
      </c>
      <c r="K56" s="138">
        <v>0</v>
      </c>
      <c r="L56" s="137">
        <f>K56*$B$56</f>
        <v>0</v>
      </c>
      <c r="M56" s="138">
        <v>0</v>
      </c>
      <c r="N56" s="137">
        <f>M56*$B$56</f>
        <v>0</v>
      </c>
      <c r="O56" s="138">
        <v>0</v>
      </c>
      <c r="P56" s="137">
        <f>O56*$B$56</f>
        <v>0</v>
      </c>
      <c r="Q56" s="138">
        <v>0</v>
      </c>
      <c r="R56" s="137">
        <f>Q56*$B$56</f>
        <v>0</v>
      </c>
      <c r="S56" s="138">
        <v>0</v>
      </c>
      <c r="T56" s="137">
        <f>S56*$B$56</f>
        <v>0</v>
      </c>
      <c r="U56" s="138">
        <v>0</v>
      </c>
      <c r="V56" s="137">
        <f>U56*$B$56</f>
        <v>0</v>
      </c>
      <c r="W56" s="138">
        <v>0</v>
      </c>
      <c r="X56" s="137">
        <f>W56*$B$56</f>
        <v>0</v>
      </c>
      <c r="Y56" s="138">
        <v>0</v>
      </c>
      <c r="Z56" s="137">
        <f>Y56*$B$56</f>
        <v>0</v>
      </c>
      <c r="AA56" s="136">
        <v>0</v>
      </c>
      <c r="AB56" s="137">
        <f>AA56*$B$56</f>
        <v>0</v>
      </c>
      <c r="AC56" s="136">
        <v>0</v>
      </c>
      <c r="AD56" s="137">
        <f>AC56*$B$56</f>
        <v>0</v>
      </c>
      <c r="AE56" s="129">
        <f t="shared" si="13"/>
        <v>0</v>
      </c>
      <c r="AF56" s="121">
        <f t="shared" si="2"/>
        <v>0</v>
      </c>
      <c r="AH56" s="119"/>
    </row>
    <row r="57" spans="1:37" ht="15" hidden="1" customHeight="1">
      <c r="A57" s="139"/>
      <c r="B57" s="215"/>
      <c r="C57" s="136">
        <v>0</v>
      </c>
      <c r="D57" s="137">
        <f>C57*$B$56</f>
        <v>0</v>
      </c>
      <c r="E57" s="136">
        <v>0</v>
      </c>
      <c r="F57" s="137">
        <f>E57*$B$56</f>
        <v>0</v>
      </c>
      <c r="G57" s="136">
        <v>0</v>
      </c>
      <c r="H57" s="137">
        <f>G57*$B$56</f>
        <v>0</v>
      </c>
      <c r="I57" s="138">
        <v>0</v>
      </c>
      <c r="J57" s="137">
        <f>I57*$B$56</f>
        <v>0</v>
      </c>
      <c r="K57" s="138">
        <v>0</v>
      </c>
      <c r="L57" s="137">
        <f>K57*$B$56</f>
        <v>0</v>
      </c>
      <c r="M57" s="138">
        <v>0</v>
      </c>
      <c r="N57" s="137">
        <f>M57*$B$56</f>
        <v>0</v>
      </c>
      <c r="O57" s="138">
        <v>0</v>
      </c>
      <c r="P57" s="137">
        <f>O57*$B$56</f>
        <v>0</v>
      </c>
      <c r="Q57" s="138">
        <v>0</v>
      </c>
      <c r="R57" s="137">
        <f>Q57*$B$56</f>
        <v>0</v>
      </c>
      <c r="S57" s="138">
        <v>0</v>
      </c>
      <c r="T57" s="137">
        <f>S57*$B$56</f>
        <v>0</v>
      </c>
      <c r="U57" s="138">
        <v>0</v>
      </c>
      <c r="V57" s="137">
        <f>U57*$B$56</f>
        <v>0</v>
      </c>
      <c r="W57" s="138">
        <v>0</v>
      </c>
      <c r="X57" s="137">
        <f>W57*$B$56</f>
        <v>0</v>
      </c>
      <c r="Y57" s="138">
        <v>0</v>
      </c>
      <c r="Z57" s="137">
        <f>Y57*$B$56</f>
        <v>0</v>
      </c>
      <c r="AA57" s="136">
        <v>0</v>
      </c>
      <c r="AB57" s="137">
        <f>AA57*$B$56</f>
        <v>0</v>
      </c>
      <c r="AC57" s="136">
        <v>0</v>
      </c>
      <c r="AD57" s="137">
        <f>AC57*$B$56</f>
        <v>0</v>
      </c>
      <c r="AE57" s="129">
        <f t="shared" si="13"/>
        <v>0</v>
      </c>
      <c r="AF57" s="121">
        <f t="shared" si="2"/>
        <v>0</v>
      </c>
      <c r="AH57" s="119"/>
    </row>
    <row r="58" spans="1:37" ht="15" hidden="1" customHeight="1">
      <c r="A58" s="139"/>
      <c r="B58" s="215"/>
      <c r="C58" s="136">
        <v>0</v>
      </c>
      <c r="D58" s="137">
        <f>C58*$B$58</f>
        <v>0</v>
      </c>
      <c r="E58" s="136">
        <v>0</v>
      </c>
      <c r="F58" s="137">
        <f>E58*$B$54</f>
        <v>0</v>
      </c>
      <c r="G58" s="136">
        <v>0</v>
      </c>
      <c r="H58" s="137">
        <f>G58*$B$54</f>
        <v>0</v>
      </c>
      <c r="I58" s="138">
        <v>0</v>
      </c>
      <c r="J58" s="137">
        <f>I58*$B$54</f>
        <v>0</v>
      </c>
      <c r="K58" s="138">
        <v>0</v>
      </c>
      <c r="L58" s="137">
        <f>K58*$B$54</f>
        <v>0</v>
      </c>
      <c r="M58" s="138">
        <v>0</v>
      </c>
      <c r="N58" s="137">
        <f>M58*$B$54</f>
        <v>0</v>
      </c>
      <c r="O58" s="138">
        <v>0</v>
      </c>
      <c r="P58" s="137">
        <f>O58*$B$54</f>
        <v>0</v>
      </c>
      <c r="Q58" s="138">
        <v>0</v>
      </c>
      <c r="R58" s="137">
        <f>Q58*$B$54</f>
        <v>0</v>
      </c>
      <c r="S58" s="138">
        <v>0</v>
      </c>
      <c r="T58" s="137">
        <f>S58*$B$54</f>
        <v>0</v>
      </c>
      <c r="U58" s="138">
        <v>0</v>
      </c>
      <c r="V58" s="137">
        <f>U58*$B$54</f>
        <v>0</v>
      </c>
      <c r="W58" s="138">
        <v>0</v>
      </c>
      <c r="X58" s="137">
        <f>W58*$B$54</f>
        <v>0</v>
      </c>
      <c r="Y58" s="138">
        <v>0</v>
      </c>
      <c r="Z58" s="137">
        <f>Y58*$B$54</f>
        <v>0</v>
      </c>
      <c r="AA58" s="136">
        <v>0</v>
      </c>
      <c r="AB58" s="137">
        <f>AA58*$B$54</f>
        <v>0</v>
      </c>
      <c r="AC58" s="136">
        <v>0</v>
      </c>
      <c r="AD58" s="137">
        <f>AC58*$B$54</f>
        <v>0</v>
      </c>
      <c r="AE58" s="129">
        <f t="shared" si="13"/>
        <v>0</v>
      </c>
      <c r="AF58" s="121">
        <f t="shared" si="2"/>
        <v>0</v>
      </c>
      <c r="AH58" s="119"/>
    </row>
    <row r="59" spans="1:37" ht="15" hidden="1" customHeight="1">
      <c r="A59" s="139"/>
      <c r="B59" s="215"/>
      <c r="C59" s="136">
        <v>0</v>
      </c>
      <c r="D59" s="137">
        <f>C59*$B$59</f>
        <v>0</v>
      </c>
      <c r="E59" s="136">
        <v>0</v>
      </c>
      <c r="F59" s="137">
        <f>E59*$B$59</f>
        <v>0</v>
      </c>
      <c r="G59" s="136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8">
        <v>0</v>
      </c>
      <c r="X59" s="137">
        <f>W59*$B$59</f>
        <v>0</v>
      </c>
      <c r="Y59" s="138">
        <v>0</v>
      </c>
      <c r="Z59" s="137">
        <f>Y59*$B$59</f>
        <v>0</v>
      </c>
      <c r="AA59" s="136">
        <v>0</v>
      </c>
      <c r="AB59" s="137">
        <f>AA59*$B$59</f>
        <v>0</v>
      </c>
      <c r="AC59" s="136">
        <v>0</v>
      </c>
      <c r="AD59" s="137">
        <f>AC59*$B$59</f>
        <v>0</v>
      </c>
      <c r="AE59" s="129">
        <f t="shared" si="13"/>
        <v>0</v>
      </c>
      <c r="AF59" s="121">
        <f t="shared" si="2"/>
        <v>0</v>
      </c>
      <c r="AH59" s="119"/>
    </row>
    <row r="60" spans="1:37" ht="15" hidden="1" customHeight="1">
      <c r="A60" s="139"/>
      <c r="B60" s="215"/>
      <c r="C60" s="136">
        <v>0</v>
      </c>
      <c r="D60" s="137">
        <f>C60*$B$60</f>
        <v>0</v>
      </c>
      <c r="E60" s="136">
        <v>0</v>
      </c>
      <c r="F60" s="137">
        <f>E60*$B$59</f>
        <v>0</v>
      </c>
      <c r="G60" s="136">
        <v>0</v>
      </c>
      <c r="H60" s="137">
        <f>G60*$B$59</f>
        <v>0</v>
      </c>
      <c r="I60" s="138">
        <v>0</v>
      </c>
      <c r="J60" s="137">
        <f>I60*$B$59</f>
        <v>0</v>
      </c>
      <c r="K60" s="138">
        <v>0</v>
      </c>
      <c r="L60" s="137">
        <f>K60*$B$59</f>
        <v>0</v>
      </c>
      <c r="M60" s="138">
        <v>0</v>
      </c>
      <c r="N60" s="137">
        <f>M60*$B$59</f>
        <v>0</v>
      </c>
      <c r="O60" s="138">
        <v>0</v>
      </c>
      <c r="P60" s="137">
        <f>O60*$B$59</f>
        <v>0</v>
      </c>
      <c r="Q60" s="138">
        <v>0</v>
      </c>
      <c r="R60" s="137">
        <f>Q60*$B$59</f>
        <v>0</v>
      </c>
      <c r="S60" s="138">
        <v>0</v>
      </c>
      <c r="T60" s="137">
        <f>S60*$B$59</f>
        <v>0</v>
      </c>
      <c r="U60" s="138">
        <v>0</v>
      </c>
      <c r="V60" s="137">
        <f>U60*$B$59</f>
        <v>0</v>
      </c>
      <c r="W60" s="138">
        <v>0</v>
      </c>
      <c r="X60" s="137">
        <f>W60*$B$59</f>
        <v>0</v>
      </c>
      <c r="Y60" s="138">
        <v>0</v>
      </c>
      <c r="Z60" s="137">
        <f>Y60*$B$59</f>
        <v>0</v>
      </c>
      <c r="AA60" s="136">
        <v>0</v>
      </c>
      <c r="AB60" s="137">
        <f>AA60*$B$59</f>
        <v>0</v>
      </c>
      <c r="AC60" s="136">
        <v>0</v>
      </c>
      <c r="AD60" s="137">
        <f>AC60*$B$59</f>
        <v>0</v>
      </c>
      <c r="AE60" s="129">
        <f t="shared" si="13"/>
        <v>0</v>
      </c>
      <c r="AF60" s="121">
        <f t="shared" si="2"/>
        <v>0</v>
      </c>
      <c r="AH60" s="119"/>
    </row>
    <row r="61" spans="1:37" ht="15" hidden="1" customHeight="1">
      <c r="A61" s="139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8">
        <v>0</v>
      </c>
      <c r="J61" s="137">
        <f>I61*$B$61</f>
        <v>0</v>
      </c>
      <c r="K61" s="138">
        <v>0</v>
      </c>
      <c r="L61" s="137">
        <f>K61*$B$61</f>
        <v>0</v>
      </c>
      <c r="M61" s="138">
        <v>0</v>
      </c>
      <c r="N61" s="137">
        <f>M61*$B$61</f>
        <v>0</v>
      </c>
      <c r="O61" s="138">
        <v>0</v>
      </c>
      <c r="P61" s="137">
        <f>O61*$B$61</f>
        <v>0</v>
      </c>
      <c r="Q61" s="138">
        <v>0</v>
      </c>
      <c r="R61" s="137">
        <f>Q61*$B$61</f>
        <v>0</v>
      </c>
      <c r="S61" s="138">
        <v>0</v>
      </c>
      <c r="T61" s="137">
        <f>S61*$B$61</f>
        <v>0</v>
      </c>
      <c r="U61" s="138">
        <v>0</v>
      </c>
      <c r="V61" s="137">
        <f>U61*$B$61</f>
        <v>0</v>
      </c>
      <c r="W61" s="138">
        <v>0</v>
      </c>
      <c r="X61" s="137">
        <f>W61*$B$61</f>
        <v>0</v>
      </c>
      <c r="Y61" s="138">
        <v>0</v>
      </c>
      <c r="Z61" s="137">
        <f>Y61*$B$61</f>
        <v>0</v>
      </c>
      <c r="AA61" s="136">
        <v>0</v>
      </c>
      <c r="AB61" s="137">
        <f>AA61*$B$61</f>
        <v>0</v>
      </c>
      <c r="AC61" s="136">
        <v>0</v>
      </c>
      <c r="AD61" s="137">
        <f>AC61*$B$61</f>
        <v>0</v>
      </c>
      <c r="AE61" s="129">
        <f t="shared" si="13"/>
        <v>0</v>
      </c>
      <c r="AF61" s="121">
        <f t="shared" si="2"/>
        <v>0</v>
      </c>
      <c r="AH61" s="119"/>
    </row>
    <row r="62" spans="1:37" s="1" customFormat="1" ht="15" hidden="1" customHeight="1">
      <c r="A62" s="139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8">
        <v>0</v>
      </c>
      <c r="J62" s="140">
        <f>I62*$B$62</f>
        <v>0</v>
      </c>
      <c r="K62" s="138">
        <v>0</v>
      </c>
      <c r="L62" s="140">
        <f>K62*$B$62</f>
        <v>0</v>
      </c>
      <c r="M62" s="138">
        <v>0</v>
      </c>
      <c r="N62" s="140">
        <f>M62*$B$62</f>
        <v>0</v>
      </c>
      <c r="O62" s="138">
        <v>0</v>
      </c>
      <c r="P62" s="140">
        <f>O62*$B$62</f>
        <v>0</v>
      </c>
      <c r="Q62" s="138">
        <v>0</v>
      </c>
      <c r="R62" s="140">
        <f>Q62*$B$62</f>
        <v>0</v>
      </c>
      <c r="S62" s="138">
        <v>0</v>
      </c>
      <c r="T62" s="140">
        <f>S62*$B$62</f>
        <v>0</v>
      </c>
      <c r="U62" s="138">
        <v>0</v>
      </c>
      <c r="V62" s="140">
        <f>U62*$B$62</f>
        <v>0</v>
      </c>
      <c r="W62" s="138">
        <v>0</v>
      </c>
      <c r="X62" s="140">
        <f>W62*$B$62</f>
        <v>0</v>
      </c>
      <c r="Y62" s="138">
        <v>0</v>
      </c>
      <c r="Z62" s="140">
        <f>Y62*$B$62</f>
        <v>0</v>
      </c>
      <c r="AA62" s="136">
        <v>0</v>
      </c>
      <c r="AB62" s="140">
        <f>AA62*$B$62</f>
        <v>0</v>
      </c>
      <c r="AC62" s="136">
        <v>0</v>
      </c>
      <c r="AD62" s="140">
        <f>AC62*$B$62</f>
        <v>0</v>
      </c>
      <c r="AE62" s="129">
        <f t="shared" si="13"/>
        <v>0</v>
      </c>
      <c r="AF62" s="121">
        <f t="shared" si="2"/>
        <v>0</v>
      </c>
      <c r="AH62" s="119"/>
      <c r="AI62" s="146"/>
    </row>
    <row r="63" spans="1:37" s="1" customFormat="1" ht="15" hidden="1" customHeight="1">
      <c r="A63" s="141"/>
      <c r="B63" s="215"/>
      <c r="C63" s="136">
        <v>0</v>
      </c>
      <c r="D63" s="137">
        <f>C63*$B$63</f>
        <v>0</v>
      </c>
      <c r="E63" s="136">
        <v>0</v>
      </c>
      <c r="F63" s="137">
        <f>E63*$B$63</f>
        <v>0</v>
      </c>
      <c r="G63" s="136">
        <v>0</v>
      </c>
      <c r="H63" s="137">
        <f>G63*$B$63</f>
        <v>0</v>
      </c>
      <c r="I63" s="136">
        <v>0</v>
      </c>
      <c r="J63" s="137">
        <f>I63*$B$63</f>
        <v>0</v>
      </c>
      <c r="K63" s="136">
        <v>0</v>
      </c>
      <c r="L63" s="137">
        <f>K63*$B$63</f>
        <v>0</v>
      </c>
      <c r="M63" s="136">
        <v>0</v>
      </c>
      <c r="N63" s="137">
        <f>M63*$B$63</f>
        <v>0</v>
      </c>
      <c r="O63" s="136">
        <v>0</v>
      </c>
      <c r="P63" s="137">
        <f>O63*$B$63</f>
        <v>0</v>
      </c>
      <c r="Q63" s="136">
        <v>0</v>
      </c>
      <c r="R63" s="137">
        <f>Q63*$B$63</f>
        <v>0</v>
      </c>
      <c r="S63" s="136">
        <v>0</v>
      </c>
      <c r="T63" s="137">
        <f>S63*$B$63</f>
        <v>0</v>
      </c>
      <c r="U63" s="136">
        <v>0</v>
      </c>
      <c r="V63" s="137">
        <f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A63" s="136">
        <v>0</v>
      </c>
      <c r="AB63" s="137">
        <f>AA63*$B$63</f>
        <v>0</v>
      </c>
      <c r="AC63" s="136">
        <v>0</v>
      </c>
      <c r="AD63" s="137">
        <f>AC63*$B$63</f>
        <v>0</v>
      </c>
      <c r="AE63" s="129">
        <f t="shared" si="13"/>
        <v>0</v>
      </c>
      <c r="AF63" s="121">
        <f t="shared" si="2"/>
        <v>0</v>
      </c>
      <c r="AH63" s="119"/>
      <c r="AI63" s="146"/>
    </row>
    <row r="64" spans="1:37" s="1" customFormat="1" ht="15" hidden="1" customHeight="1">
      <c r="A64" s="142"/>
      <c r="B64" s="215"/>
      <c r="C64" s="136">
        <v>0</v>
      </c>
      <c r="D64" s="140">
        <f>C64*$B$64</f>
        <v>0</v>
      </c>
      <c r="E64" s="136">
        <v>0</v>
      </c>
      <c r="F64" s="140">
        <f>E64*$B$64</f>
        <v>0</v>
      </c>
      <c r="G64" s="136">
        <v>0</v>
      </c>
      <c r="H64" s="140">
        <f>G64*$B$64</f>
        <v>0</v>
      </c>
      <c r="I64" s="136">
        <v>0</v>
      </c>
      <c r="J64" s="140">
        <f>I64*$B$64</f>
        <v>0</v>
      </c>
      <c r="K64" s="136">
        <v>0</v>
      </c>
      <c r="L64" s="140">
        <f>K64*$B$64</f>
        <v>0</v>
      </c>
      <c r="M64" s="136">
        <v>0</v>
      </c>
      <c r="N64" s="140">
        <f>M64*$B$64</f>
        <v>0</v>
      </c>
      <c r="O64" s="136">
        <v>0</v>
      </c>
      <c r="P64" s="140">
        <f>O64*$B$64</f>
        <v>0</v>
      </c>
      <c r="Q64" s="136">
        <v>0</v>
      </c>
      <c r="R64" s="140">
        <f>Q64*$B$64</f>
        <v>0</v>
      </c>
      <c r="S64" s="136">
        <v>0</v>
      </c>
      <c r="T64" s="140">
        <f>S64*$B$64</f>
        <v>0</v>
      </c>
      <c r="U64" s="136">
        <v>0</v>
      </c>
      <c r="V64" s="140">
        <f>U64*$B$64</f>
        <v>0</v>
      </c>
      <c r="W64" s="136">
        <v>0</v>
      </c>
      <c r="X64" s="140">
        <f>W64*$B$64</f>
        <v>0</v>
      </c>
      <c r="Y64" s="136">
        <v>0</v>
      </c>
      <c r="Z64" s="140">
        <f>Y64*$B$64</f>
        <v>0</v>
      </c>
      <c r="AA64" s="136">
        <v>0</v>
      </c>
      <c r="AB64" s="140">
        <f>AA64*$B$64</f>
        <v>0</v>
      </c>
      <c r="AC64" s="136">
        <v>0</v>
      </c>
      <c r="AD64" s="140">
        <f>AC64*$B$64</f>
        <v>0</v>
      </c>
      <c r="AE64" s="129">
        <f t="shared" si="13"/>
        <v>0</v>
      </c>
      <c r="AF64" s="121">
        <f t="shared" si="2"/>
        <v>0</v>
      </c>
      <c r="AH64" s="119"/>
      <c r="AI64" s="146"/>
    </row>
    <row r="65" spans="1:37" s="1" customFormat="1" ht="15" hidden="1" customHeight="1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ref="F65:F70" si="18">E65*$B$65</f>
        <v>0</v>
      </c>
      <c r="G65" s="136">
        <v>0</v>
      </c>
      <c r="H65" s="137">
        <f>G65*$B$65</f>
        <v>0</v>
      </c>
      <c r="I65" s="136">
        <v>0</v>
      </c>
      <c r="J65" s="137">
        <f t="shared" ref="J65:J70" si="19">I65*$B$65</f>
        <v>0</v>
      </c>
      <c r="K65" s="136">
        <v>0</v>
      </c>
      <c r="L65" s="137">
        <f t="shared" ref="L65:L70" si="20">K65*$B$65</f>
        <v>0</v>
      </c>
      <c r="M65" s="136">
        <v>0</v>
      </c>
      <c r="N65" s="137">
        <f t="shared" ref="N65:N70" si="21">M65*$B$65</f>
        <v>0</v>
      </c>
      <c r="O65" s="136">
        <v>0</v>
      </c>
      <c r="P65" s="137">
        <f t="shared" ref="P65:P70" si="22">O65*$B$65</f>
        <v>0</v>
      </c>
      <c r="Q65" s="136">
        <v>0</v>
      </c>
      <c r="R65" s="137">
        <f t="shared" ref="R65:R70" si="23">Q65*$B$65</f>
        <v>0</v>
      </c>
      <c r="S65" s="136">
        <v>0</v>
      </c>
      <c r="T65" s="137">
        <f t="shared" ref="T65:T70" si="24">S65*$B$65</f>
        <v>0</v>
      </c>
      <c r="U65" s="136">
        <v>0</v>
      </c>
      <c r="V65" s="137">
        <f t="shared" ref="V65:V70" si="25">U65*$B$65</f>
        <v>0</v>
      </c>
      <c r="W65" s="136">
        <v>0</v>
      </c>
      <c r="X65" s="137">
        <f t="shared" ref="X65:X70" si="26">W65*$B$65</f>
        <v>0</v>
      </c>
      <c r="Y65" s="136">
        <v>0</v>
      </c>
      <c r="Z65" s="137">
        <f t="shared" ref="Z65:Z70" si="27">Y65*$B$65</f>
        <v>0</v>
      </c>
      <c r="AA65" s="136">
        <v>0</v>
      </c>
      <c r="AB65" s="137">
        <f>AA65*$B$65</f>
        <v>0</v>
      </c>
      <c r="AC65" s="136">
        <v>0</v>
      </c>
      <c r="AD65" s="137">
        <f>AC65*$B$65</f>
        <v>0</v>
      </c>
      <c r="AE65" s="129">
        <f t="shared" si="13"/>
        <v>0</v>
      </c>
      <c r="AF65" s="121">
        <f t="shared" si="2"/>
        <v>0</v>
      </c>
      <c r="AH65" s="119"/>
      <c r="AI65" s="146"/>
    </row>
    <row r="66" spans="1:37" s="1" customFormat="1" ht="15" hidden="1" customHeight="1">
      <c r="A66" s="142"/>
      <c r="B66" s="215"/>
      <c r="C66" s="136">
        <v>0</v>
      </c>
      <c r="D66" s="137">
        <f>C66*$B$66</f>
        <v>0</v>
      </c>
      <c r="E66" s="136">
        <v>0</v>
      </c>
      <c r="F66" s="137">
        <f t="shared" si="18"/>
        <v>0</v>
      </c>
      <c r="G66" s="136">
        <v>0</v>
      </c>
      <c r="H66" s="137">
        <f>G66*$B$65</f>
        <v>0</v>
      </c>
      <c r="I66" s="136">
        <v>0</v>
      </c>
      <c r="J66" s="137">
        <f t="shared" si="19"/>
        <v>0</v>
      </c>
      <c r="K66" s="136">
        <v>0</v>
      </c>
      <c r="L66" s="137">
        <f t="shared" si="20"/>
        <v>0</v>
      </c>
      <c r="M66" s="136">
        <v>0</v>
      </c>
      <c r="N66" s="137">
        <f t="shared" si="21"/>
        <v>0</v>
      </c>
      <c r="O66" s="136">
        <v>0</v>
      </c>
      <c r="P66" s="137">
        <f t="shared" si="22"/>
        <v>0</v>
      </c>
      <c r="Q66" s="136">
        <v>0</v>
      </c>
      <c r="R66" s="137">
        <f t="shared" si="23"/>
        <v>0</v>
      </c>
      <c r="S66" s="136">
        <v>0</v>
      </c>
      <c r="T66" s="137">
        <f t="shared" si="24"/>
        <v>0</v>
      </c>
      <c r="U66" s="136">
        <v>0</v>
      </c>
      <c r="V66" s="137">
        <f t="shared" si="25"/>
        <v>0</v>
      </c>
      <c r="W66" s="136">
        <v>0</v>
      </c>
      <c r="X66" s="137">
        <f t="shared" si="26"/>
        <v>0</v>
      </c>
      <c r="Y66" s="136">
        <v>0</v>
      </c>
      <c r="Z66" s="137">
        <f t="shared" si="27"/>
        <v>0</v>
      </c>
      <c r="AA66" s="136">
        <v>0</v>
      </c>
      <c r="AB66" s="137">
        <f>AA66*$B$65</f>
        <v>0</v>
      </c>
      <c r="AC66" s="136">
        <v>0</v>
      </c>
      <c r="AD66" s="137">
        <f>AC66*$B$65</f>
        <v>0</v>
      </c>
      <c r="AE66" s="129">
        <f t="shared" si="13"/>
        <v>0</v>
      </c>
      <c r="AF66" s="121">
        <f t="shared" si="2"/>
        <v>0</v>
      </c>
      <c r="AH66" s="119"/>
      <c r="AI66" s="146"/>
    </row>
    <row r="67" spans="1:37" s="1" customFormat="1" ht="15" hidden="1" customHeight="1">
      <c r="A67" s="142"/>
      <c r="B67" s="215"/>
      <c r="C67" s="136">
        <v>0</v>
      </c>
      <c r="D67" s="137">
        <f>C67*$B$67</f>
        <v>0</v>
      </c>
      <c r="E67" s="136">
        <v>0</v>
      </c>
      <c r="F67" s="137">
        <f t="shared" si="18"/>
        <v>0</v>
      </c>
      <c r="G67" s="136">
        <v>0</v>
      </c>
      <c r="H67" s="137">
        <f>G67*$B$65</f>
        <v>0</v>
      </c>
      <c r="I67" s="136">
        <v>0</v>
      </c>
      <c r="J67" s="137">
        <f t="shared" si="19"/>
        <v>0</v>
      </c>
      <c r="K67" s="136">
        <v>0</v>
      </c>
      <c r="L67" s="137">
        <f t="shared" si="20"/>
        <v>0</v>
      </c>
      <c r="M67" s="136">
        <v>0</v>
      </c>
      <c r="N67" s="137">
        <f t="shared" si="21"/>
        <v>0</v>
      </c>
      <c r="O67" s="136">
        <v>0</v>
      </c>
      <c r="P67" s="137">
        <f t="shared" si="22"/>
        <v>0</v>
      </c>
      <c r="Q67" s="136">
        <v>0</v>
      </c>
      <c r="R67" s="137">
        <f t="shared" si="23"/>
        <v>0</v>
      </c>
      <c r="S67" s="136">
        <v>0</v>
      </c>
      <c r="T67" s="137">
        <f t="shared" si="24"/>
        <v>0</v>
      </c>
      <c r="U67" s="136">
        <v>0</v>
      </c>
      <c r="V67" s="137">
        <f t="shared" si="25"/>
        <v>0</v>
      </c>
      <c r="W67" s="136">
        <v>0</v>
      </c>
      <c r="X67" s="137">
        <f t="shared" si="26"/>
        <v>0</v>
      </c>
      <c r="Y67" s="136">
        <v>0</v>
      </c>
      <c r="Z67" s="137">
        <f t="shared" si="27"/>
        <v>0</v>
      </c>
      <c r="AA67" s="136">
        <v>0</v>
      </c>
      <c r="AB67" s="137">
        <f>AA67*$B$65</f>
        <v>0</v>
      </c>
      <c r="AC67" s="136">
        <v>0</v>
      </c>
      <c r="AD67" s="137">
        <f>AC67*$B$65</f>
        <v>0</v>
      </c>
      <c r="AE67" s="129">
        <f t="shared" si="13"/>
        <v>0</v>
      </c>
      <c r="AF67" s="121">
        <f t="shared" si="2"/>
        <v>0</v>
      </c>
      <c r="AH67" s="119"/>
      <c r="AI67" s="146"/>
    </row>
    <row r="68" spans="1:37" s="1" customFormat="1" ht="33" customHeight="1">
      <c r="A68" s="135" t="s">
        <v>46</v>
      </c>
      <c r="B68" s="215"/>
      <c r="C68" s="136">
        <v>0</v>
      </c>
      <c r="D68" s="137">
        <f>C68*$B$70</f>
        <v>0</v>
      </c>
      <c r="E68" s="136">
        <v>0</v>
      </c>
      <c r="F68" s="137">
        <f t="shared" si="18"/>
        <v>0</v>
      </c>
      <c r="G68" s="136">
        <v>0</v>
      </c>
      <c r="H68" s="137">
        <f>G68*B68</f>
        <v>0</v>
      </c>
      <c r="I68" s="136">
        <v>0</v>
      </c>
      <c r="J68" s="137">
        <f t="shared" si="19"/>
        <v>0</v>
      </c>
      <c r="K68" s="136">
        <v>0</v>
      </c>
      <c r="L68" s="137">
        <f t="shared" si="20"/>
        <v>0</v>
      </c>
      <c r="M68" s="136">
        <v>0</v>
      </c>
      <c r="N68" s="137">
        <f t="shared" si="21"/>
        <v>0</v>
      </c>
      <c r="O68" s="136">
        <v>0</v>
      </c>
      <c r="P68" s="137">
        <f t="shared" si="22"/>
        <v>0</v>
      </c>
      <c r="Q68" s="136">
        <v>0</v>
      </c>
      <c r="R68" s="137">
        <f t="shared" si="23"/>
        <v>0</v>
      </c>
      <c r="S68" s="136">
        <v>0</v>
      </c>
      <c r="T68" s="137">
        <f t="shared" si="24"/>
        <v>0</v>
      </c>
      <c r="U68" s="136">
        <v>0</v>
      </c>
      <c r="V68" s="137">
        <f t="shared" si="25"/>
        <v>0</v>
      </c>
      <c r="W68" s="136">
        <v>0</v>
      </c>
      <c r="X68" s="137">
        <f t="shared" si="26"/>
        <v>0</v>
      </c>
      <c r="Y68" s="136">
        <v>0</v>
      </c>
      <c r="Z68" s="137">
        <f t="shared" si="27"/>
        <v>0</v>
      </c>
      <c r="AA68" s="136">
        <v>0</v>
      </c>
      <c r="AB68" s="137">
        <f>AA68*$B$65</f>
        <v>0</v>
      </c>
      <c r="AC68" s="136">
        <v>0</v>
      </c>
      <c r="AD68" s="137">
        <f>AC68*$B$65</f>
        <v>0</v>
      </c>
      <c r="AE68" s="129">
        <v>0</v>
      </c>
      <c r="AF68" s="121">
        <f t="shared" si="2"/>
        <v>0</v>
      </c>
      <c r="AH68" s="119"/>
      <c r="AI68" s="146"/>
    </row>
    <row r="69" spans="1:37" s="1" customFormat="1" ht="17.25" customHeight="1">
      <c r="A69" s="135" t="s">
        <v>47</v>
      </c>
      <c r="B69" s="215"/>
      <c r="C69" s="136">
        <v>0</v>
      </c>
      <c r="D69" s="137">
        <f t="shared" ref="D69" si="28">C69*$B$51</f>
        <v>0</v>
      </c>
      <c r="E69" s="136">
        <v>0</v>
      </c>
      <c r="F69" s="137">
        <f t="shared" si="18"/>
        <v>0</v>
      </c>
      <c r="G69" s="136">
        <v>0</v>
      </c>
      <c r="H69" s="137">
        <f>G69*$B$65</f>
        <v>0</v>
      </c>
      <c r="I69" s="136">
        <v>0</v>
      </c>
      <c r="J69" s="137">
        <f t="shared" si="19"/>
        <v>0</v>
      </c>
      <c r="K69" s="136">
        <v>0</v>
      </c>
      <c r="L69" s="137">
        <f t="shared" si="20"/>
        <v>0</v>
      </c>
      <c r="M69" s="136">
        <v>0</v>
      </c>
      <c r="N69" s="137">
        <f t="shared" si="21"/>
        <v>0</v>
      </c>
      <c r="O69" s="136">
        <v>0</v>
      </c>
      <c r="P69" s="137">
        <f t="shared" si="22"/>
        <v>0</v>
      </c>
      <c r="Q69" s="136">
        <v>0</v>
      </c>
      <c r="R69" s="137">
        <f t="shared" si="23"/>
        <v>0</v>
      </c>
      <c r="S69" s="136">
        <v>0</v>
      </c>
      <c r="T69" s="137">
        <f t="shared" si="24"/>
        <v>0</v>
      </c>
      <c r="U69" s="136">
        <v>0</v>
      </c>
      <c r="V69" s="137">
        <f t="shared" si="25"/>
        <v>0</v>
      </c>
      <c r="W69" s="136">
        <v>0</v>
      </c>
      <c r="X69" s="137">
        <f t="shared" si="26"/>
        <v>0</v>
      </c>
      <c r="Y69" s="136">
        <v>0</v>
      </c>
      <c r="Z69" s="137">
        <f t="shared" si="27"/>
        <v>0</v>
      </c>
      <c r="AA69" s="136">
        <v>0</v>
      </c>
      <c r="AB69" s="137">
        <f>AA69*B69</f>
        <v>0</v>
      </c>
      <c r="AC69" s="136">
        <v>0</v>
      </c>
      <c r="AD69" s="137">
        <f>AC69*B69</f>
        <v>0</v>
      </c>
      <c r="AE69" s="129">
        <f t="shared" si="13"/>
        <v>0</v>
      </c>
      <c r="AF69" s="121">
        <f t="shared" si="2"/>
        <v>0</v>
      </c>
      <c r="AH69" s="119"/>
      <c r="AI69" s="146"/>
    </row>
    <row r="70" spans="1:37" s="1" customFormat="1" ht="17.25" hidden="1" customHeight="1">
      <c r="A70" s="135"/>
      <c r="B70" s="215"/>
      <c r="C70" s="136">
        <v>0</v>
      </c>
      <c r="D70" s="137">
        <f t="shared" ref="D70" si="29">C70*$B$52</f>
        <v>0</v>
      </c>
      <c r="E70" s="136">
        <v>0</v>
      </c>
      <c r="F70" s="137">
        <f t="shared" si="18"/>
        <v>0</v>
      </c>
      <c r="G70" s="136">
        <v>0</v>
      </c>
      <c r="H70" s="137">
        <f>G70*$B$65</f>
        <v>0</v>
      </c>
      <c r="I70" s="136">
        <v>0</v>
      </c>
      <c r="J70" s="137">
        <f t="shared" si="19"/>
        <v>0</v>
      </c>
      <c r="K70" s="136">
        <v>0</v>
      </c>
      <c r="L70" s="137">
        <f t="shared" si="20"/>
        <v>0</v>
      </c>
      <c r="M70" s="136">
        <v>0</v>
      </c>
      <c r="N70" s="137">
        <f t="shared" si="21"/>
        <v>0</v>
      </c>
      <c r="O70" s="136">
        <v>0</v>
      </c>
      <c r="P70" s="137">
        <f t="shared" si="22"/>
        <v>0</v>
      </c>
      <c r="Q70" s="136">
        <v>0</v>
      </c>
      <c r="R70" s="137">
        <f t="shared" si="23"/>
        <v>0</v>
      </c>
      <c r="S70" s="136">
        <v>0</v>
      </c>
      <c r="T70" s="137">
        <f t="shared" si="24"/>
        <v>0</v>
      </c>
      <c r="U70" s="136">
        <v>0</v>
      </c>
      <c r="V70" s="137">
        <f t="shared" si="25"/>
        <v>0</v>
      </c>
      <c r="W70" s="136">
        <v>0</v>
      </c>
      <c r="X70" s="137">
        <f t="shared" si="26"/>
        <v>0</v>
      </c>
      <c r="Y70" s="136">
        <v>0</v>
      </c>
      <c r="Z70" s="137">
        <f t="shared" si="27"/>
        <v>0</v>
      </c>
      <c r="AA70" s="136"/>
      <c r="AB70" s="137">
        <f>AA70*B70</f>
        <v>0</v>
      </c>
      <c r="AC70" s="136">
        <v>0</v>
      </c>
      <c r="AD70" s="137">
        <f>AC70*B70</f>
        <v>0</v>
      </c>
      <c r="AE70" s="129">
        <f t="shared" si="13"/>
        <v>0</v>
      </c>
      <c r="AF70" s="121">
        <f t="shared" si="2"/>
        <v>0</v>
      </c>
      <c r="AH70" s="119"/>
      <c r="AI70" s="146"/>
    </row>
    <row r="71" spans="1:37" s="1" customFormat="1" ht="13.5" hidden="1" customHeight="1" thickBot="1">
      <c r="A71" s="211"/>
      <c r="B71" s="212"/>
      <c r="C71" s="136">
        <v>0</v>
      </c>
      <c r="D71" s="137">
        <f t="shared" ref="D71" si="30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A71" s="87">
        <v>0</v>
      </c>
      <c r="AB71" s="37">
        <f>AA71*$B$71</f>
        <v>0</v>
      </c>
      <c r="AC71" s="87">
        <v>0</v>
      </c>
      <c r="AD71" s="37">
        <f>AC71*$B$71</f>
        <v>0</v>
      </c>
      <c r="AE71" s="88">
        <f t="shared" si="13"/>
        <v>0</v>
      </c>
      <c r="AF71" s="121">
        <f t="shared" si="2"/>
        <v>0</v>
      </c>
      <c r="AH71" s="119"/>
      <c r="AI71" s="146"/>
    </row>
    <row r="72" spans="1:37" s="1" customFormat="1" ht="13.5" hidden="1" customHeight="1" thickBot="1">
      <c r="A72" s="211"/>
      <c r="B72" s="212"/>
      <c r="C72" s="136">
        <v>0</v>
      </c>
      <c r="D72" s="137">
        <f t="shared" ref="D72" si="31">C72*$B$54</f>
        <v>0</v>
      </c>
      <c r="E72" s="87">
        <v>0</v>
      </c>
      <c r="F72" s="115">
        <f>E72*$B$72</f>
        <v>0</v>
      </c>
      <c r="G72" s="87">
        <v>0</v>
      </c>
      <c r="H72" s="115">
        <f>G72*$B$72</f>
        <v>0</v>
      </c>
      <c r="I72" s="87">
        <v>0</v>
      </c>
      <c r="J72" s="115">
        <f>I72*$B$72</f>
        <v>0</v>
      </c>
      <c r="K72" s="87">
        <v>0</v>
      </c>
      <c r="L72" s="115">
        <f>K72*$B$72</f>
        <v>0</v>
      </c>
      <c r="M72" s="87">
        <v>0</v>
      </c>
      <c r="N72" s="115">
        <f>M72*$B$72</f>
        <v>0</v>
      </c>
      <c r="O72" s="87">
        <v>0</v>
      </c>
      <c r="P72" s="115">
        <f>O72*$B$72</f>
        <v>0</v>
      </c>
      <c r="Q72" s="87">
        <v>0</v>
      </c>
      <c r="R72" s="115">
        <f>Q72*$B$72</f>
        <v>0</v>
      </c>
      <c r="S72" s="87">
        <v>0</v>
      </c>
      <c r="T72" s="115">
        <f>S72*$B$72</f>
        <v>0</v>
      </c>
      <c r="U72" s="87">
        <v>0</v>
      </c>
      <c r="V72" s="115">
        <f>U72*$B$72</f>
        <v>0</v>
      </c>
      <c r="W72" s="87">
        <v>0</v>
      </c>
      <c r="X72" s="115">
        <f>W72*$B$72</f>
        <v>0</v>
      </c>
      <c r="Y72" s="87">
        <v>0</v>
      </c>
      <c r="Z72" s="115">
        <f>Y72*$B$72</f>
        <v>0</v>
      </c>
      <c r="AA72" s="87">
        <v>0</v>
      </c>
      <c r="AB72" s="115">
        <f>AA72*$B$72</f>
        <v>0</v>
      </c>
      <c r="AC72" s="87">
        <v>0</v>
      </c>
      <c r="AD72" s="115">
        <f>AC72*$B$72</f>
        <v>0</v>
      </c>
      <c r="AE72" s="88">
        <f t="shared" si="13"/>
        <v>0</v>
      </c>
      <c r="AF72" s="121">
        <f t="shared" si="2"/>
        <v>0</v>
      </c>
      <c r="AH72" s="119"/>
      <c r="AI72" s="146"/>
    </row>
    <row r="73" spans="1:37" s="1" customFormat="1" ht="13.5" hidden="1" customHeight="1" thickBot="1">
      <c r="A73" s="213"/>
      <c r="B73" s="214"/>
      <c r="C73" s="136">
        <v>0</v>
      </c>
      <c r="D73" s="137">
        <f t="shared" ref="D73" si="32">C73*$B$55</f>
        <v>0</v>
      </c>
      <c r="E73" s="87">
        <v>0</v>
      </c>
      <c r="F73" s="37">
        <f>E73*$B$73</f>
        <v>0</v>
      </c>
      <c r="G73" s="87">
        <v>0</v>
      </c>
      <c r="H73" s="37">
        <f>G73*$B$73</f>
        <v>0</v>
      </c>
      <c r="I73" s="87">
        <v>0</v>
      </c>
      <c r="J73" s="37">
        <f>I73*$B$73</f>
        <v>0</v>
      </c>
      <c r="K73" s="87">
        <v>0</v>
      </c>
      <c r="L73" s="37">
        <f>K73*$B$73</f>
        <v>0</v>
      </c>
      <c r="M73" s="87">
        <v>0</v>
      </c>
      <c r="N73" s="37">
        <f>M73*$B$73</f>
        <v>0</v>
      </c>
      <c r="O73" s="87">
        <v>0</v>
      </c>
      <c r="P73" s="37">
        <f>O73*$B$73</f>
        <v>0</v>
      </c>
      <c r="Q73" s="87">
        <v>0</v>
      </c>
      <c r="R73" s="37">
        <f>Q73*$B$73</f>
        <v>0</v>
      </c>
      <c r="S73" s="87">
        <v>0</v>
      </c>
      <c r="T73" s="37">
        <f>S73*$B$73</f>
        <v>0</v>
      </c>
      <c r="U73" s="87">
        <v>0</v>
      </c>
      <c r="V73" s="37">
        <f>U73*$B$73</f>
        <v>0</v>
      </c>
      <c r="W73" s="87">
        <v>0</v>
      </c>
      <c r="X73" s="37">
        <f>W73*$B$73</f>
        <v>0</v>
      </c>
      <c r="Y73" s="87">
        <v>0</v>
      </c>
      <c r="Z73" s="37">
        <f>Y73*$B$73</f>
        <v>0</v>
      </c>
      <c r="AA73" s="87">
        <v>0</v>
      </c>
      <c r="AB73" s="37">
        <f>AA73*$B$73</f>
        <v>0</v>
      </c>
      <c r="AC73" s="87">
        <v>0</v>
      </c>
      <c r="AD73" s="37">
        <f>AC73*$B$73</f>
        <v>0</v>
      </c>
      <c r="AE73" s="88">
        <f t="shared" si="13"/>
        <v>0</v>
      </c>
      <c r="AF73" s="121">
        <f t="shared" si="2"/>
        <v>0</v>
      </c>
      <c r="AH73" s="119"/>
      <c r="AI73" s="146"/>
    </row>
    <row r="74" spans="1:37" s="1" customFormat="1" ht="13.5" hidden="1" customHeight="1" thickBot="1">
      <c r="A74" s="152"/>
      <c r="B74" s="153"/>
      <c r="C74" s="136">
        <v>0</v>
      </c>
      <c r="D74" s="137">
        <f t="shared" ref="D74:D75" si="33">C74*$B$56</f>
        <v>0</v>
      </c>
      <c r="E74" s="93">
        <v>0</v>
      </c>
      <c r="F74" s="154">
        <f>E74*$B$74</f>
        <v>0</v>
      </c>
      <c r="G74" s="93">
        <v>0</v>
      </c>
      <c r="H74" s="154">
        <f>G74*$B$74</f>
        <v>0</v>
      </c>
      <c r="I74" s="155">
        <v>0</v>
      </c>
      <c r="J74" s="154">
        <f>I74*$B$74</f>
        <v>0</v>
      </c>
      <c r="K74" s="155">
        <v>0</v>
      </c>
      <c r="L74" s="154">
        <f>K74*$B$74</f>
        <v>0</v>
      </c>
      <c r="M74" s="155">
        <v>0</v>
      </c>
      <c r="N74" s="154">
        <f>M74*$B$74</f>
        <v>0</v>
      </c>
      <c r="O74" s="155">
        <v>0</v>
      </c>
      <c r="P74" s="154">
        <f>O74*$B$74</f>
        <v>0</v>
      </c>
      <c r="Q74" s="155">
        <v>0</v>
      </c>
      <c r="R74" s="154">
        <f>Q74*$B$74</f>
        <v>0</v>
      </c>
      <c r="S74" s="155">
        <v>0</v>
      </c>
      <c r="T74" s="154">
        <f>S74*$B$74</f>
        <v>0</v>
      </c>
      <c r="U74" s="155">
        <v>0</v>
      </c>
      <c r="V74" s="154">
        <f>U74*$B$74</f>
        <v>0</v>
      </c>
      <c r="W74" s="155">
        <v>0</v>
      </c>
      <c r="X74" s="154">
        <f>W74*$B$74</f>
        <v>0</v>
      </c>
      <c r="Y74" s="155">
        <v>0</v>
      </c>
      <c r="Z74" s="154">
        <f>Y74*$B$74</f>
        <v>0</v>
      </c>
      <c r="AA74" s="93">
        <v>0</v>
      </c>
      <c r="AB74" s="154">
        <f>AA74*$B$74</f>
        <v>0</v>
      </c>
      <c r="AC74" s="93">
        <v>0</v>
      </c>
      <c r="AD74" s="154">
        <f>AC74*$B$74</f>
        <v>0</v>
      </c>
      <c r="AE74" s="156">
        <f t="shared" si="13"/>
        <v>0</v>
      </c>
      <c r="AF74" s="121">
        <f t="shared" si="2"/>
        <v>0</v>
      </c>
      <c r="AH74" s="119"/>
      <c r="AI74" s="146"/>
    </row>
    <row r="75" spans="1:37" ht="18.75" customHeight="1">
      <c r="A75" s="135" t="s">
        <v>48</v>
      </c>
      <c r="B75" s="215"/>
      <c r="C75" s="136">
        <v>0</v>
      </c>
      <c r="D75" s="137">
        <f t="shared" si="33"/>
        <v>0</v>
      </c>
      <c r="E75" s="136">
        <v>0</v>
      </c>
      <c r="F75" s="137">
        <f>E75*$B$47</f>
        <v>0</v>
      </c>
      <c r="G75" s="136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8">
        <v>0</v>
      </c>
      <c r="X75" s="137">
        <f>W75*$B$47</f>
        <v>0</v>
      </c>
      <c r="Y75" s="138">
        <v>0</v>
      </c>
      <c r="Z75" s="137">
        <f>Y75*$B$47</f>
        <v>0</v>
      </c>
      <c r="AA75" s="136">
        <v>0</v>
      </c>
      <c r="AB75" s="137">
        <f>AA75*$B$47</f>
        <v>0</v>
      </c>
      <c r="AC75" s="136">
        <v>0</v>
      </c>
      <c r="AD75" s="137">
        <f>AC75*$B$47</f>
        <v>0</v>
      </c>
      <c r="AE75" s="129">
        <f t="shared" si="13"/>
        <v>0</v>
      </c>
      <c r="AF75" s="121">
        <f t="shared" si="2"/>
        <v>0</v>
      </c>
      <c r="AH75" s="119"/>
    </row>
    <row r="76" spans="1:37" ht="18.75" hidden="1" customHeight="1">
      <c r="A76" s="135"/>
      <c r="B76" s="215"/>
      <c r="C76" s="136">
        <v>0</v>
      </c>
      <c r="D76" s="137">
        <f t="shared" ref="D76" si="34">C76*$B$58</f>
        <v>0</v>
      </c>
      <c r="E76" s="136">
        <v>0</v>
      </c>
      <c r="F76" s="137">
        <f>E76*$B$48</f>
        <v>0</v>
      </c>
      <c r="G76" s="136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U76*$B$47</f>
        <v>0</v>
      </c>
      <c r="W76" s="138">
        <v>0</v>
      </c>
      <c r="X76" s="137">
        <f>W76*$B$47</f>
        <v>0</v>
      </c>
      <c r="Y76" s="138">
        <v>0</v>
      </c>
      <c r="Z76" s="137">
        <f>Y76*$B$47</f>
        <v>0</v>
      </c>
      <c r="AA76" s="136">
        <v>0</v>
      </c>
      <c r="AB76" s="137">
        <f>AA76*$B$48</f>
        <v>0</v>
      </c>
      <c r="AC76" s="136">
        <v>0</v>
      </c>
      <c r="AD76" s="137">
        <f>AC76*$B$48</f>
        <v>0</v>
      </c>
      <c r="AE76" s="129">
        <f t="shared" si="13"/>
        <v>0</v>
      </c>
      <c r="AF76" s="121">
        <f t="shared" si="2"/>
        <v>0</v>
      </c>
      <c r="AH76" s="119"/>
    </row>
    <row r="77" spans="1:37" ht="18.75" hidden="1" customHeight="1">
      <c r="A77" s="135"/>
      <c r="B77" s="215"/>
      <c r="C77" s="136">
        <v>0</v>
      </c>
      <c r="D77" s="137">
        <f t="shared" ref="D77" si="35">C77*$B$59</f>
        <v>0</v>
      </c>
      <c r="E77" s="136">
        <v>1</v>
      </c>
      <c r="F77" s="137">
        <f>E77*$B$49</f>
        <v>0</v>
      </c>
      <c r="G77" s="136">
        <v>0</v>
      </c>
      <c r="H77" s="137">
        <f>G77*$B$49</f>
        <v>0</v>
      </c>
      <c r="I77" s="138">
        <v>0</v>
      </c>
      <c r="J77" s="137">
        <f>I77*$B$49</f>
        <v>0</v>
      </c>
      <c r="K77" s="138">
        <v>0</v>
      </c>
      <c r="L77" s="137">
        <f>K77*$B$49</f>
        <v>0</v>
      </c>
      <c r="M77" s="138">
        <v>0</v>
      </c>
      <c r="N77" s="137">
        <f>M77*$B$49</f>
        <v>0</v>
      </c>
      <c r="O77" s="138">
        <v>0</v>
      </c>
      <c r="P77" s="137">
        <f>O77*$B$49</f>
        <v>0</v>
      </c>
      <c r="Q77" s="138">
        <v>0</v>
      </c>
      <c r="R77" s="137">
        <f>Q77*$B$49</f>
        <v>0</v>
      </c>
      <c r="S77" s="138">
        <v>0</v>
      </c>
      <c r="T77" s="137">
        <f>S77*$B$49</f>
        <v>0</v>
      </c>
      <c r="U77" s="138">
        <v>0</v>
      </c>
      <c r="V77" s="137">
        <f>U77*$B$49</f>
        <v>0</v>
      </c>
      <c r="W77" s="138">
        <v>0</v>
      </c>
      <c r="X77" s="137">
        <f>W77*$B$49</f>
        <v>0</v>
      </c>
      <c r="Y77" s="138">
        <v>0</v>
      </c>
      <c r="Z77" s="137">
        <f>Y77*$B$49</f>
        <v>0</v>
      </c>
      <c r="AA77" s="136">
        <v>0</v>
      </c>
      <c r="AB77" s="137">
        <f>AA77*$B$49</f>
        <v>0</v>
      </c>
      <c r="AC77" s="136">
        <v>0</v>
      </c>
      <c r="AD77" s="137">
        <f>AC77*$B$49</f>
        <v>0</v>
      </c>
      <c r="AE77" s="129">
        <f t="shared" si="13"/>
        <v>1</v>
      </c>
      <c r="AF77" s="121">
        <f t="shared" ref="AF77:AF98" si="36">D77+F77+H77+AD77+AB77</f>
        <v>0</v>
      </c>
      <c r="AH77" s="119"/>
    </row>
    <row r="78" spans="1:37" ht="18.75" hidden="1" customHeight="1">
      <c r="A78" s="135"/>
      <c r="B78" s="215"/>
      <c r="C78" s="136">
        <v>0</v>
      </c>
      <c r="D78" s="137">
        <f t="shared" ref="D78" si="37">C78*$B$60</f>
        <v>0</v>
      </c>
      <c r="E78" s="136">
        <v>0</v>
      </c>
      <c r="F78" s="137">
        <f>E78*$B$50</f>
        <v>0</v>
      </c>
      <c r="G78" s="136">
        <v>1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8">
        <v>0</v>
      </c>
      <c r="X78" s="137">
        <f>W78*$B$50</f>
        <v>0</v>
      </c>
      <c r="Y78" s="138">
        <v>0</v>
      </c>
      <c r="Z78" s="137">
        <f>Y78*$B$50</f>
        <v>0</v>
      </c>
      <c r="AA78" s="136">
        <v>1</v>
      </c>
      <c r="AB78" s="137">
        <f>AA78*$B$50</f>
        <v>0</v>
      </c>
      <c r="AC78" s="136">
        <v>1</v>
      </c>
      <c r="AD78" s="137">
        <f>AC78*$B$50</f>
        <v>0</v>
      </c>
      <c r="AE78" s="129">
        <f t="shared" si="13"/>
        <v>2</v>
      </c>
      <c r="AF78" s="121">
        <f t="shared" si="36"/>
        <v>0</v>
      </c>
      <c r="AH78" s="119"/>
    </row>
    <row r="79" spans="1:37" ht="13">
      <c r="A79" s="135" t="s">
        <v>49</v>
      </c>
      <c r="B79" s="215"/>
      <c r="C79" s="136">
        <v>0</v>
      </c>
      <c r="D79" s="137">
        <f t="shared" ref="D79" si="38">C79*$B$61</f>
        <v>0</v>
      </c>
      <c r="E79" s="136">
        <v>0</v>
      </c>
      <c r="F79" s="137">
        <f>E79*B79</f>
        <v>0</v>
      </c>
      <c r="G79" s="136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8">
        <v>0</v>
      </c>
      <c r="X79" s="137">
        <f>W79*$B$50</f>
        <v>0</v>
      </c>
      <c r="Y79" s="138">
        <v>0</v>
      </c>
      <c r="Z79" s="137">
        <f>Y79*$B$50</f>
        <v>0</v>
      </c>
      <c r="AA79" s="136">
        <v>0</v>
      </c>
      <c r="AB79" s="137">
        <f>AA79*$B$50</f>
        <v>0</v>
      </c>
      <c r="AC79" s="136">
        <v>0</v>
      </c>
      <c r="AD79" s="137">
        <f>AC79*$B$50</f>
        <v>0</v>
      </c>
      <c r="AE79" s="129">
        <f t="shared" si="13"/>
        <v>0</v>
      </c>
      <c r="AF79" s="121">
        <f t="shared" si="36"/>
        <v>0</v>
      </c>
      <c r="AH79" s="119"/>
      <c r="AK79" s="119"/>
    </row>
    <row r="80" spans="1:37" ht="15" hidden="1" customHeight="1">
      <c r="A80" s="135"/>
      <c r="B80" s="215"/>
      <c r="C80" s="136">
        <v>0</v>
      </c>
      <c r="D80" s="140">
        <f t="shared" ref="D80" si="39">C80*$B$62</f>
        <v>0</v>
      </c>
      <c r="E80" s="136">
        <v>0</v>
      </c>
      <c r="F80" s="137">
        <f>E80*$B$52</f>
        <v>0</v>
      </c>
      <c r="G80" s="136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8">
        <v>0</v>
      </c>
      <c r="X80" s="137">
        <f>W80*$B$52</f>
        <v>0</v>
      </c>
      <c r="Y80" s="138">
        <v>0</v>
      </c>
      <c r="Z80" s="137">
        <f>Y80*$B$52</f>
        <v>0</v>
      </c>
      <c r="AA80" s="136">
        <v>0</v>
      </c>
      <c r="AB80" s="137">
        <f>AA80*$B$52</f>
        <v>0</v>
      </c>
      <c r="AC80" s="136">
        <v>0</v>
      </c>
      <c r="AD80" s="137">
        <f>AC80*$B$52</f>
        <v>0</v>
      </c>
      <c r="AE80" s="129">
        <f t="shared" si="13"/>
        <v>0</v>
      </c>
      <c r="AF80" s="121">
        <f t="shared" si="36"/>
        <v>0</v>
      </c>
      <c r="AH80" s="119"/>
    </row>
    <row r="81" spans="1:35" ht="15" hidden="1" customHeight="1">
      <c r="A81" s="135"/>
      <c r="B81" s="215"/>
      <c r="C81" s="136">
        <v>0</v>
      </c>
      <c r="D81" s="137">
        <f t="shared" ref="D81" si="40">C81*$B$63</f>
        <v>0</v>
      </c>
      <c r="E81" s="136">
        <v>0</v>
      </c>
      <c r="F81" s="137">
        <f>E81*$B$52</f>
        <v>0</v>
      </c>
      <c r="G81" s="136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8">
        <v>0</v>
      </c>
      <c r="X81" s="137">
        <f>W81*$B$52</f>
        <v>0</v>
      </c>
      <c r="Y81" s="138">
        <v>0</v>
      </c>
      <c r="Z81" s="137">
        <f>Y81*$B$52</f>
        <v>0</v>
      </c>
      <c r="AA81" s="136">
        <v>0</v>
      </c>
      <c r="AB81" s="137">
        <f>AA81*$B$52</f>
        <v>0</v>
      </c>
      <c r="AC81" s="136">
        <v>0</v>
      </c>
      <c r="AD81" s="137">
        <f>AC81*$B$52</f>
        <v>0</v>
      </c>
      <c r="AE81" s="129">
        <f t="shared" si="13"/>
        <v>0</v>
      </c>
      <c r="AF81" s="121">
        <f t="shared" si="36"/>
        <v>0</v>
      </c>
      <c r="AH81" s="119"/>
    </row>
    <row r="82" spans="1:35" ht="15" hidden="1" customHeight="1">
      <c r="A82" s="135"/>
      <c r="B82" s="215"/>
      <c r="C82" s="136">
        <v>0</v>
      </c>
      <c r="D82" s="140">
        <f t="shared" ref="D82" si="41">C82*$B$64</f>
        <v>0</v>
      </c>
      <c r="E82" s="136">
        <v>0</v>
      </c>
      <c r="F82" s="137">
        <f>E82*$B$54</f>
        <v>0</v>
      </c>
      <c r="G82" s="136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8">
        <v>0</v>
      </c>
      <c r="X82" s="137">
        <f>W82*$B$54</f>
        <v>0</v>
      </c>
      <c r="Y82" s="138">
        <v>0</v>
      </c>
      <c r="Z82" s="137">
        <f>Y82*$B$54</f>
        <v>0</v>
      </c>
      <c r="AA82" s="136">
        <v>0</v>
      </c>
      <c r="AB82" s="137">
        <f>AA82*$B$54</f>
        <v>0</v>
      </c>
      <c r="AC82" s="136">
        <v>0</v>
      </c>
      <c r="AD82" s="137">
        <f>AC82*$B$54</f>
        <v>0</v>
      </c>
      <c r="AE82" s="129">
        <f t="shared" si="13"/>
        <v>0</v>
      </c>
      <c r="AF82" s="121">
        <f t="shared" si="36"/>
        <v>0</v>
      </c>
      <c r="AH82" s="119"/>
    </row>
    <row r="83" spans="1:35" ht="15" hidden="1" customHeight="1">
      <c r="A83" s="139"/>
      <c r="B83" s="215"/>
      <c r="C83" s="136">
        <v>0</v>
      </c>
      <c r="D83" s="137">
        <f t="shared" ref="D83" si="42">C83*$B$65</f>
        <v>0</v>
      </c>
      <c r="E83" s="136">
        <v>0</v>
      </c>
      <c r="F83" s="137">
        <f>E83*$B$54</f>
        <v>0</v>
      </c>
      <c r="G83" s="136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8">
        <v>0</v>
      </c>
      <c r="X83" s="137">
        <f>W83*$B$54</f>
        <v>0</v>
      </c>
      <c r="Y83" s="138">
        <v>0</v>
      </c>
      <c r="Z83" s="137">
        <f>Y83*$B$54</f>
        <v>0</v>
      </c>
      <c r="AA83" s="136">
        <v>0</v>
      </c>
      <c r="AB83" s="137">
        <f>AA83*$B$54</f>
        <v>0</v>
      </c>
      <c r="AC83" s="136">
        <v>0</v>
      </c>
      <c r="AD83" s="137">
        <f>AC83*$B$54</f>
        <v>0</v>
      </c>
      <c r="AE83" s="129">
        <f t="shared" si="13"/>
        <v>0</v>
      </c>
      <c r="AF83" s="121">
        <f t="shared" si="36"/>
        <v>0</v>
      </c>
      <c r="AH83" s="119"/>
    </row>
    <row r="84" spans="1:35" ht="15" hidden="1" customHeight="1">
      <c r="A84" s="139"/>
      <c r="B84" s="215"/>
      <c r="C84" s="136">
        <v>0</v>
      </c>
      <c r="D84" s="137">
        <f t="shared" ref="D84" si="43">C84*$B$66</f>
        <v>0</v>
      </c>
      <c r="E84" s="136">
        <v>0</v>
      </c>
      <c r="F84" s="137">
        <f>E84*$B$56</f>
        <v>0</v>
      </c>
      <c r="G84" s="136">
        <v>0</v>
      </c>
      <c r="H84" s="137">
        <f>G84*$B$56</f>
        <v>0</v>
      </c>
      <c r="I84" s="138">
        <v>0</v>
      </c>
      <c r="J84" s="137">
        <f>I84*$B$56</f>
        <v>0</v>
      </c>
      <c r="K84" s="138">
        <v>0</v>
      </c>
      <c r="L84" s="137">
        <f>K84*$B$56</f>
        <v>0</v>
      </c>
      <c r="M84" s="138">
        <v>0</v>
      </c>
      <c r="N84" s="137">
        <f>M84*$B$56</f>
        <v>0</v>
      </c>
      <c r="O84" s="138">
        <v>0</v>
      </c>
      <c r="P84" s="137">
        <f>O84*$B$56</f>
        <v>0</v>
      </c>
      <c r="Q84" s="138">
        <v>0</v>
      </c>
      <c r="R84" s="137">
        <f>Q84*$B$56</f>
        <v>0</v>
      </c>
      <c r="S84" s="138">
        <v>0</v>
      </c>
      <c r="T84" s="137">
        <f>S84*$B$56</f>
        <v>0</v>
      </c>
      <c r="U84" s="138">
        <v>0</v>
      </c>
      <c r="V84" s="137">
        <f>U84*$B$56</f>
        <v>0</v>
      </c>
      <c r="W84" s="138">
        <v>0</v>
      </c>
      <c r="X84" s="137">
        <f>W84*$B$56</f>
        <v>0</v>
      </c>
      <c r="Y84" s="138">
        <v>0</v>
      </c>
      <c r="Z84" s="137">
        <f>Y84*$B$56</f>
        <v>0</v>
      </c>
      <c r="AA84" s="136">
        <v>0</v>
      </c>
      <c r="AB84" s="137">
        <f>AA84*$B$56</f>
        <v>0</v>
      </c>
      <c r="AC84" s="136">
        <v>0</v>
      </c>
      <c r="AD84" s="137">
        <f>AC84*$B$56</f>
        <v>0</v>
      </c>
      <c r="AE84" s="129">
        <f t="shared" si="13"/>
        <v>0</v>
      </c>
      <c r="AF84" s="121">
        <f t="shared" si="36"/>
        <v>0</v>
      </c>
      <c r="AH84" s="119"/>
    </row>
    <row r="85" spans="1:35" ht="15" hidden="1" customHeight="1">
      <c r="A85" s="139"/>
      <c r="B85" s="215"/>
      <c r="C85" s="136">
        <v>0</v>
      </c>
      <c r="D85" s="137">
        <f t="shared" ref="D85" si="44">C85*$B$67</f>
        <v>0</v>
      </c>
      <c r="E85" s="136">
        <v>0</v>
      </c>
      <c r="F85" s="137">
        <f>E85*$B$56</f>
        <v>0</v>
      </c>
      <c r="G85" s="136">
        <v>0</v>
      </c>
      <c r="H85" s="137">
        <f>G85*$B$56</f>
        <v>0</v>
      </c>
      <c r="I85" s="138">
        <v>0</v>
      </c>
      <c r="J85" s="137">
        <f>I85*$B$56</f>
        <v>0</v>
      </c>
      <c r="K85" s="138">
        <v>0</v>
      </c>
      <c r="L85" s="137">
        <f>K85*$B$56</f>
        <v>0</v>
      </c>
      <c r="M85" s="138">
        <v>0</v>
      </c>
      <c r="N85" s="137">
        <f>M85*$B$56</f>
        <v>0</v>
      </c>
      <c r="O85" s="138">
        <v>0</v>
      </c>
      <c r="P85" s="137">
        <f>O85*$B$56</f>
        <v>0</v>
      </c>
      <c r="Q85" s="138">
        <v>0</v>
      </c>
      <c r="R85" s="137">
        <f>Q85*$B$56</f>
        <v>0</v>
      </c>
      <c r="S85" s="138">
        <v>0</v>
      </c>
      <c r="T85" s="137">
        <f>S85*$B$56</f>
        <v>0</v>
      </c>
      <c r="U85" s="138">
        <v>0</v>
      </c>
      <c r="V85" s="137">
        <f>U85*$B$56</f>
        <v>0</v>
      </c>
      <c r="W85" s="138">
        <v>0</v>
      </c>
      <c r="X85" s="137">
        <f>W85*$B$56</f>
        <v>0</v>
      </c>
      <c r="Y85" s="138">
        <v>0</v>
      </c>
      <c r="Z85" s="137">
        <f>Y85*$B$56</f>
        <v>0</v>
      </c>
      <c r="AA85" s="136">
        <v>0</v>
      </c>
      <c r="AB85" s="137">
        <f>AA85*$B$56</f>
        <v>0</v>
      </c>
      <c r="AC85" s="136">
        <v>0</v>
      </c>
      <c r="AD85" s="137">
        <f>AC85*$B$56</f>
        <v>0</v>
      </c>
      <c r="AE85" s="129">
        <f t="shared" si="13"/>
        <v>0</v>
      </c>
      <c r="AF85" s="121">
        <f t="shared" si="36"/>
        <v>0</v>
      </c>
      <c r="AH85" s="119"/>
    </row>
    <row r="86" spans="1:35" ht="15" hidden="1" customHeight="1">
      <c r="A86" s="139"/>
      <c r="B86" s="215"/>
      <c r="C86" s="136">
        <v>0</v>
      </c>
      <c r="D86" s="137">
        <f t="shared" ref="D86" si="45">C86*$B$70</f>
        <v>0</v>
      </c>
      <c r="E86" s="136">
        <v>0</v>
      </c>
      <c r="F86" s="137">
        <f>E86*$B$54</f>
        <v>0</v>
      </c>
      <c r="G86" s="136">
        <v>0</v>
      </c>
      <c r="H86" s="137">
        <f>G86*$B$54</f>
        <v>0</v>
      </c>
      <c r="I86" s="138">
        <v>0</v>
      </c>
      <c r="J86" s="137">
        <f>I86*$B$54</f>
        <v>0</v>
      </c>
      <c r="K86" s="138">
        <v>0</v>
      </c>
      <c r="L86" s="137">
        <f>K86*$B$54</f>
        <v>0</v>
      </c>
      <c r="M86" s="138">
        <v>0</v>
      </c>
      <c r="N86" s="137">
        <f>M86*$B$54</f>
        <v>0</v>
      </c>
      <c r="O86" s="138">
        <v>0</v>
      </c>
      <c r="P86" s="137">
        <f>O86*$B$54</f>
        <v>0</v>
      </c>
      <c r="Q86" s="138">
        <v>0</v>
      </c>
      <c r="R86" s="137">
        <f>Q86*$B$54</f>
        <v>0</v>
      </c>
      <c r="S86" s="138">
        <v>0</v>
      </c>
      <c r="T86" s="137">
        <f>S86*$B$54</f>
        <v>0</v>
      </c>
      <c r="U86" s="138">
        <v>0</v>
      </c>
      <c r="V86" s="137">
        <f>U86*$B$54</f>
        <v>0</v>
      </c>
      <c r="W86" s="138">
        <v>0</v>
      </c>
      <c r="X86" s="137">
        <f>W86*$B$54</f>
        <v>0</v>
      </c>
      <c r="Y86" s="138">
        <v>0</v>
      </c>
      <c r="Z86" s="137">
        <f>Y86*$B$54</f>
        <v>0</v>
      </c>
      <c r="AA86" s="136">
        <v>0</v>
      </c>
      <c r="AB86" s="137">
        <f>AA86*$B$54</f>
        <v>0</v>
      </c>
      <c r="AC86" s="136">
        <v>0</v>
      </c>
      <c r="AD86" s="137">
        <f>AC86*$B$54</f>
        <v>0</v>
      </c>
      <c r="AE86" s="129">
        <f t="shared" si="13"/>
        <v>0</v>
      </c>
      <c r="AF86" s="121">
        <f t="shared" si="36"/>
        <v>0</v>
      </c>
      <c r="AH86" s="119"/>
    </row>
    <row r="87" spans="1:35" ht="15" hidden="1" customHeight="1">
      <c r="A87" s="139"/>
      <c r="B87" s="215"/>
      <c r="C87" s="136">
        <v>0</v>
      </c>
      <c r="D87" s="137">
        <f t="shared" ref="D87" si="46">C87*$B$51</f>
        <v>0</v>
      </c>
      <c r="E87" s="136">
        <v>0</v>
      </c>
      <c r="F87" s="137">
        <f>E87*$B$59</f>
        <v>0</v>
      </c>
      <c r="G87" s="136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8">
        <v>0</v>
      </c>
      <c r="X87" s="137">
        <f>W87*$B$59</f>
        <v>0</v>
      </c>
      <c r="Y87" s="138">
        <v>0</v>
      </c>
      <c r="Z87" s="137">
        <f>Y87*$B$59</f>
        <v>0</v>
      </c>
      <c r="AA87" s="136">
        <v>0</v>
      </c>
      <c r="AB87" s="137">
        <f>AA87*$B$59</f>
        <v>0</v>
      </c>
      <c r="AC87" s="136">
        <v>0</v>
      </c>
      <c r="AD87" s="137">
        <f>AC87*$B$59</f>
        <v>0</v>
      </c>
      <c r="AE87" s="129">
        <f t="shared" si="13"/>
        <v>0</v>
      </c>
      <c r="AF87" s="121">
        <f t="shared" si="36"/>
        <v>0</v>
      </c>
      <c r="AH87" s="119"/>
    </row>
    <row r="88" spans="1:35" ht="15" hidden="1" customHeight="1">
      <c r="A88" s="139"/>
      <c r="B88" s="215"/>
      <c r="C88" s="136">
        <v>0</v>
      </c>
      <c r="D88" s="137">
        <f t="shared" ref="D88" si="47">C88*$B$52</f>
        <v>0</v>
      </c>
      <c r="E88" s="136">
        <v>0</v>
      </c>
      <c r="F88" s="137">
        <f>E88*$B$59</f>
        <v>0</v>
      </c>
      <c r="G88" s="136">
        <v>0</v>
      </c>
      <c r="H88" s="137">
        <f>G88*$B$59</f>
        <v>0</v>
      </c>
      <c r="I88" s="138">
        <v>0</v>
      </c>
      <c r="J88" s="137">
        <f>I88*$B$59</f>
        <v>0</v>
      </c>
      <c r="K88" s="138">
        <v>0</v>
      </c>
      <c r="L88" s="137">
        <f>K88*$B$59</f>
        <v>0</v>
      </c>
      <c r="M88" s="138">
        <v>0</v>
      </c>
      <c r="N88" s="137">
        <f>M88*$B$59</f>
        <v>0</v>
      </c>
      <c r="O88" s="138">
        <v>0</v>
      </c>
      <c r="P88" s="137">
        <f>O88*$B$59</f>
        <v>0</v>
      </c>
      <c r="Q88" s="138">
        <v>0</v>
      </c>
      <c r="R88" s="137">
        <f>Q88*$B$59</f>
        <v>0</v>
      </c>
      <c r="S88" s="138">
        <v>0</v>
      </c>
      <c r="T88" s="137">
        <f>S88*$B$59</f>
        <v>0</v>
      </c>
      <c r="U88" s="138">
        <v>0</v>
      </c>
      <c r="V88" s="137">
        <f>U88*$B$59</f>
        <v>0</v>
      </c>
      <c r="W88" s="138">
        <v>0</v>
      </c>
      <c r="X88" s="137">
        <f>W88*$B$59</f>
        <v>0</v>
      </c>
      <c r="Y88" s="138">
        <v>0</v>
      </c>
      <c r="Z88" s="137">
        <f>Y88*$B$59</f>
        <v>0</v>
      </c>
      <c r="AA88" s="136">
        <v>0</v>
      </c>
      <c r="AB88" s="137">
        <f>AA88*$B$59</f>
        <v>0</v>
      </c>
      <c r="AC88" s="136">
        <v>0</v>
      </c>
      <c r="AD88" s="137">
        <f>AC88*$B$59</f>
        <v>0</v>
      </c>
      <c r="AE88" s="129">
        <f t="shared" si="13"/>
        <v>0</v>
      </c>
      <c r="AF88" s="121">
        <f t="shared" si="36"/>
        <v>0</v>
      </c>
      <c r="AH88" s="119"/>
    </row>
    <row r="89" spans="1:35" ht="15" hidden="1" customHeight="1">
      <c r="A89" s="139"/>
      <c r="B89" s="215"/>
      <c r="C89" s="136">
        <v>0</v>
      </c>
      <c r="D89" s="137">
        <f t="shared" ref="D89" si="48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8">
        <v>0</v>
      </c>
      <c r="J89" s="137">
        <f>I89*$B$61</f>
        <v>0</v>
      </c>
      <c r="K89" s="138">
        <v>0</v>
      </c>
      <c r="L89" s="137">
        <f>K89*$B$61</f>
        <v>0</v>
      </c>
      <c r="M89" s="138">
        <v>0</v>
      </c>
      <c r="N89" s="137">
        <f>M89*$B$61</f>
        <v>0</v>
      </c>
      <c r="O89" s="138">
        <v>0</v>
      </c>
      <c r="P89" s="137">
        <f>O89*$B$61</f>
        <v>0</v>
      </c>
      <c r="Q89" s="138">
        <v>0</v>
      </c>
      <c r="R89" s="137">
        <f>Q89*$B$61</f>
        <v>0</v>
      </c>
      <c r="S89" s="138">
        <v>0</v>
      </c>
      <c r="T89" s="137">
        <f>S89*$B$61</f>
        <v>0</v>
      </c>
      <c r="U89" s="138">
        <v>0</v>
      </c>
      <c r="V89" s="137">
        <f>U89*$B$61</f>
        <v>0</v>
      </c>
      <c r="W89" s="138">
        <v>0</v>
      </c>
      <c r="X89" s="137">
        <f>W89*$B$61</f>
        <v>0</v>
      </c>
      <c r="Y89" s="138">
        <v>0</v>
      </c>
      <c r="Z89" s="137">
        <f>Y89*$B$61</f>
        <v>0</v>
      </c>
      <c r="AA89" s="136">
        <v>0</v>
      </c>
      <c r="AB89" s="137">
        <f>AA89*$B$61</f>
        <v>0</v>
      </c>
      <c r="AC89" s="136">
        <v>0</v>
      </c>
      <c r="AD89" s="137">
        <f>AC89*$B$61</f>
        <v>0</v>
      </c>
      <c r="AE89" s="129">
        <f t="shared" si="13"/>
        <v>0</v>
      </c>
      <c r="AF89" s="121">
        <f t="shared" si="36"/>
        <v>0</v>
      </c>
      <c r="AH89" s="119"/>
    </row>
    <row r="90" spans="1:35" s="1" customFormat="1" ht="15" hidden="1" customHeight="1">
      <c r="A90" s="139"/>
      <c r="B90" s="215"/>
      <c r="C90" s="136">
        <v>0</v>
      </c>
      <c r="D90" s="137">
        <f t="shared" ref="D90" si="49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8">
        <v>0</v>
      </c>
      <c r="J90" s="140">
        <f>I90*$B$62</f>
        <v>0</v>
      </c>
      <c r="K90" s="138">
        <v>0</v>
      </c>
      <c r="L90" s="140">
        <f>K90*$B$62</f>
        <v>0</v>
      </c>
      <c r="M90" s="138">
        <v>0</v>
      </c>
      <c r="N90" s="140">
        <f>M90*$B$62</f>
        <v>0</v>
      </c>
      <c r="O90" s="138">
        <v>0</v>
      </c>
      <c r="P90" s="140">
        <f>O90*$B$62</f>
        <v>0</v>
      </c>
      <c r="Q90" s="138">
        <v>0</v>
      </c>
      <c r="R90" s="140">
        <f>Q90*$B$62</f>
        <v>0</v>
      </c>
      <c r="S90" s="138">
        <v>0</v>
      </c>
      <c r="T90" s="140">
        <f>S90*$B$62</f>
        <v>0</v>
      </c>
      <c r="U90" s="138">
        <v>0</v>
      </c>
      <c r="V90" s="140">
        <f>U90*$B$62</f>
        <v>0</v>
      </c>
      <c r="W90" s="138">
        <v>0</v>
      </c>
      <c r="X90" s="140">
        <f>W90*$B$62</f>
        <v>0</v>
      </c>
      <c r="Y90" s="138">
        <v>0</v>
      </c>
      <c r="Z90" s="140">
        <f>Y90*$B$62</f>
        <v>0</v>
      </c>
      <c r="AA90" s="136">
        <v>0</v>
      </c>
      <c r="AB90" s="140">
        <f>AA90*$B$62</f>
        <v>0</v>
      </c>
      <c r="AC90" s="136">
        <v>0</v>
      </c>
      <c r="AD90" s="140">
        <f>AC90*$B$62</f>
        <v>0</v>
      </c>
      <c r="AE90" s="129">
        <f t="shared" si="13"/>
        <v>0</v>
      </c>
      <c r="AF90" s="121">
        <f t="shared" si="36"/>
        <v>0</v>
      </c>
      <c r="AH90" s="119"/>
      <c r="AI90" s="146"/>
    </row>
    <row r="91" spans="1:35" s="1" customFormat="1" ht="15" hidden="1" customHeight="1">
      <c r="A91" s="141"/>
      <c r="B91" s="215"/>
      <c r="C91" s="136">
        <v>0</v>
      </c>
      <c r="D91" s="137">
        <f t="shared" ref="D91" si="50">C91*$B$55</f>
        <v>0</v>
      </c>
      <c r="E91" s="136">
        <v>0</v>
      </c>
      <c r="F91" s="137">
        <f>E91*$B$63</f>
        <v>0</v>
      </c>
      <c r="G91" s="136">
        <v>0</v>
      </c>
      <c r="H91" s="137">
        <f>G91*$B$63</f>
        <v>0</v>
      </c>
      <c r="I91" s="136">
        <v>0</v>
      </c>
      <c r="J91" s="137">
        <f>I91*$B$63</f>
        <v>0</v>
      </c>
      <c r="K91" s="136">
        <v>0</v>
      </c>
      <c r="L91" s="137">
        <f>K91*$B$63</f>
        <v>0</v>
      </c>
      <c r="M91" s="136">
        <v>0</v>
      </c>
      <c r="N91" s="137">
        <f>M91*$B$63</f>
        <v>0</v>
      </c>
      <c r="O91" s="136">
        <v>0</v>
      </c>
      <c r="P91" s="137">
        <f>O91*$B$63</f>
        <v>0</v>
      </c>
      <c r="Q91" s="136">
        <v>0</v>
      </c>
      <c r="R91" s="137">
        <f>Q91*$B$63</f>
        <v>0</v>
      </c>
      <c r="S91" s="136">
        <v>0</v>
      </c>
      <c r="T91" s="137">
        <f>S91*$B$63</f>
        <v>0</v>
      </c>
      <c r="U91" s="136">
        <v>0</v>
      </c>
      <c r="V91" s="137">
        <f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A91" s="136">
        <v>0</v>
      </c>
      <c r="AB91" s="137">
        <f>AA91*$B$63</f>
        <v>0</v>
      </c>
      <c r="AC91" s="136">
        <v>0</v>
      </c>
      <c r="AD91" s="137">
        <f>AC91*$B$63</f>
        <v>0</v>
      </c>
      <c r="AE91" s="129">
        <f t="shared" si="13"/>
        <v>0</v>
      </c>
      <c r="AF91" s="121">
        <f t="shared" si="36"/>
        <v>0</v>
      </c>
      <c r="AH91" s="119"/>
      <c r="AI91" s="146"/>
    </row>
    <row r="92" spans="1:35" s="1" customFormat="1" ht="15" hidden="1" customHeight="1">
      <c r="A92" s="142"/>
      <c r="B92" s="215"/>
      <c r="C92" s="136">
        <v>0</v>
      </c>
      <c r="D92" s="137">
        <f t="shared" ref="D92:D93" si="51">C92*$B$56</f>
        <v>0</v>
      </c>
      <c r="E92" s="136">
        <v>0</v>
      </c>
      <c r="F92" s="140">
        <f>E92*$B$64</f>
        <v>0</v>
      </c>
      <c r="G92" s="136">
        <v>0</v>
      </c>
      <c r="H92" s="140">
        <f>G92*$B$64</f>
        <v>0</v>
      </c>
      <c r="I92" s="136">
        <v>0</v>
      </c>
      <c r="J92" s="140">
        <f>I92*$B$64</f>
        <v>0</v>
      </c>
      <c r="K92" s="136">
        <v>0</v>
      </c>
      <c r="L92" s="140">
        <f>K92*$B$64</f>
        <v>0</v>
      </c>
      <c r="M92" s="136">
        <v>0</v>
      </c>
      <c r="N92" s="140">
        <f>M92*$B$64</f>
        <v>0</v>
      </c>
      <c r="O92" s="136">
        <v>0</v>
      </c>
      <c r="P92" s="140">
        <f>O92*$B$64</f>
        <v>0</v>
      </c>
      <c r="Q92" s="136">
        <v>0</v>
      </c>
      <c r="R92" s="140">
        <f>Q92*$B$64</f>
        <v>0</v>
      </c>
      <c r="S92" s="136">
        <v>0</v>
      </c>
      <c r="T92" s="140">
        <f>S92*$B$64</f>
        <v>0</v>
      </c>
      <c r="U92" s="136">
        <v>0</v>
      </c>
      <c r="V92" s="140">
        <f>U92*$B$64</f>
        <v>0</v>
      </c>
      <c r="W92" s="136">
        <v>0</v>
      </c>
      <c r="X92" s="140">
        <f>W92*$B$64</f>
        <v>0</v>
      </c>
      <c r="Y92" s="136">
        <v>0</v>
      </c>
      <c r="Z92" s="140">
        <f>Y92*$B$64</f>
        <v>0</v>
      </c>
      <c r="AA92" s="136">
        <v>0</v>
      </c>
      <c r="AB92" s="140">
        <f>AA92*$B$64</f>
        <v>0</v>
      </c>
      <c r="AC92" s="136">
        <v>0</v>
      </c>
      <c r="AD92" s="140">
        <f>AC92*$B$64</f>
        <v>0</v>
      </c>
      <c r="AE92" s="129">
        <f t="shared" si="13"/>
        <v>0</v>
      </c>
      <c r="AF92" s="121">
        <f t="shared" si="36"/>
        <v>0</v>
      </c>
      <c r="AH92" s="119"/>
      <c r="AI92" s="146"/>
    </row>
    <row r="93" spans="1:35" s="1" customFormat="1" ht="15" hidden="1" customHeight="1">
      <c r="A93" s="142"/>
      <c r="B93" s="215"/>
      <c r="C93" s="136">
        <v>0</v>
      </c>
      <c r="D93" s="137">
        <f t="shared" si="51"/>
        <v>0</v>
      </c>
      <c r="E93" s="136">
        <v>0</v>
      </c>
      <c r="F93" s="137">
        <f t="shared" ref="F93:F96" si="52">E93*$B$65</f>
        <v>0</v>
      </c>
      <c r="G93" s="136">
        <v>0</v>
      </c>
      <c r="H93" s="137">
        <f>G93*$B$65</f>
        <v>0</v>
      </c>
      <c r="I93" s="136">
        <v>0</v>
      </c>
      <c r="J93" s="137">
        <f t="shared" ref="J93:J96" si="53">I93*$B$65</f>
        <v>0</v>
      </c>
      <c r="K93" s="136">
        <v>0</v>
      </c>
      <c r="L93" s="137">
        <f t="shared" ref="L93:L96" si="54">K93*$B$65</f>
        <v>0</v>
      </c>
      <c r="M93" s="136">
        <v>0</v>
      </c>
      <c r="N93" s="137">
        <f t="shared" ref="N93:N96" si="55">M93*$B$65</f>
        <v>0</v>
      </c>
      <c r="O93" s="136">
        <v>0</v>
      </c>
      <c r="P93" s="137">
        <f t="shared" ref="P93:P96" si="56">O93*$B$65</f>
        <v>0</v>
      </c>
      <c r="Q93" s="136">
        <v>0</v>
      </c>
      <c r="R93" s="137">
        <f t="shared" ref="R93:R96" si="57">Q93*$B$65</f>
        <v>0</v>
      </c>
      <c r="S93" s="136">
        <v>0</v>
      </c>
      <c r="T93" s="137">
        <f t="shared" ref="T93:T96" si="58">S93*$B$65</f>
        <v>0</v>
      </c>
      <c r="U93" s="136">
        <v>0</v>
      </c>
      <c r="V93" s="137">
        <f t="shared" ref="V93:V96" si="59">U93*$B$65</f>
        <v>0</v>
      </c>
      <c r="W93" s="136">
        <v>0</v>
      </c>
      <c r="X93" s="137">
        <f t="shared" ref="X93:X96" si="60">W93*$B$65</f>
        <v>0</v>
      </c>
      <c r="Y93" s="136">
        <v>0</v>
      </c>
      <c r="Z93" s="137">
        <f t="shared" ref="Z93:Z96" si="61">Y93*$B$65</f>
        <v>0</v>
      </c>
      <c r="AA93" s="136">
        <v>0</v>
      </c>
      <c r="AB93" s="137">
        <f>AA93*$B$65</f>
        <v>0</v>
      </c>
      <c r="AC93" s="136">
        <v>0</v>
      </c>
      <c r="AD93" s="137">
        <f>AC93*$B$65</f>
        <v>0</v>
      </c>
      <c r="AE93" s="129">
        <f t="shared" si="13"/>
        <v>0</v>
      </c>
      <c r="AF93" s="121">
        <f t="shared" si="36"/>
        <v>0</v>
      </c>
      <c r="AH93" s="119"/>
      <c r="AI93" s="146"/>
    </row>
    <row r="94" spans="1:35" s="1" customFormat="1" ht="15" hidden="1" customHeight="1">
      <c r="A94" s="142"/>
      <c r="B94" s="215"/>
      <c r="C94" s="136">
        <v>0</v>
      </c>
      <c r="D94" s="137">
        <f t="shared" ref="D94" si="62">C94*$B$58</f>
        <v>0</v>
      </c>
      <c r="E94" s="136">
        <v>0</v>
      </c>
      <c r="F94" s="137">
        <f t="shared" si="52"/>
        <v>0</v>
      </c>
      <c r="G94" s="136">
        <v>0</v>
      </c>
      <c r="H94" s="137">
        <f>G94*$B$65</f>
        <v>0</v>
      </c>
      <c r="I94" s="136">
        <v>0</v>
      </c>
      <c r="J94" s="137">
        <f t="shared" si="53"/>
        <v>0</v>
      </c>
      <c r="K94" s="136">
        <v>0</v>
      </c>
      <c r="L94" s="137">
        <f t="shared" si="54"/>
        <v>0</v>
      </c>
      <c r="M94" s="136">
        <v>0</v>
      </c>
      <c r="N94" s="137">
        <f t="shared" si="55"/>
        <v>0</v>
      </c>
      <c r="O94" s="136">
        <v>0</v>
      </c>
      <c r="P94" s="137">
        <f t="shared" si="56"/>
        <v>0</v>
      </c>
      <c r="Q94" s="136">
        <v>0</v>
      </c>
      <c r="R94" s="137">
        <f t="shared" si="57"/>
        <v>0</v>
      </c>
      <c r="S94" s="136">
        <v>0</v>
      </c>
      <c r="T94" s="137">
        <f t="shared" si="58"/>
        <v>0</v>
      </c>
      <c r="U94" s="136">
        <v>0</v>
      </c>
      <c r="V94" s="137">
        <f t="shared" si="59"/>
        <v>0</v>
      </c>
      <c r="W94" s="136">
        <v>0</v>
      </c>
      <c r="X94" s="137">
        <f t="shared" si="60"/>
        <v>0</v>
      </c>
      <c r="Y94" s="136">
        <v>0</v>
      </c>
      <c r="Z94" s="137">
        <f t="shared" si="61"/>
        <v>0</v>
      </c>
      <c r="AA94" s="136">
        <v>0</v>
      </c>
      <c r="AB94" s="137">
        <f>AA94*$B$65</f>
        <v>0</v>
      </c>
      <c r="AC94" s="136">
        <v>0</v>
      </c>
      <c r="AD94" s="137">
        <f>AC94*$B$65</f>
        <v>0</v>
      </c>
      <c r="AE94" s="129">
        <f t="shared" si="13"/>
        <v>0</v>
      </c>
      <c r="AF94" s="121">
        <f t="shared" si="36"/>
        <v>0</v>
      </c>
      <c r="AH94" s="119"/>
      <c r="AI94" s="146"/>
    </row>
    <row r="95" spans="1:35" s="1" customFormat="1" ht="15" hidden="1" customHeight="1">
      <c r="A95" s="142"/>
      <c r="B95" s="215"/>
      <c r="C95" s="136">
        <v>0</v>
      </c>
      <c r="D95" s="137">
        <f t="shared" ref="D95" si="63">C95*$B$59</f>
        <v>0</v>
      </c>
      <c r="E95" s="136">
        <v>0</v>
      </c>
      <c r="F95" s="137">
        <f t="shared" si="52"/>
        <v>0</v>
      </c>
      <c r="G95" s="136">
        <v>0</v>
      </c>
      <c r="H95" s="137">
        <f>G95*$B$65</f>
        <v>0</v>
      </c>
      <c r="I95" s="136">
        <v>0</v>
      </c>
      <c r="J95" s="137">
        <f t="shared" si="53"/>
        <v>0</v>
      </c>
      <c r="K95" s="136">
        <v>0</v>
      </c>
      <c r="L95" s="137">
        <f t="shared" si="54"/>
        <v>0</v>
      </c>
      <c r="M95" s="136">
        <v>0</v>
      </c>
      <c r="N95" s="137">
        <f t="shared" si="55"/>
        <v>0</v>
      </c>
      <c r="O95" s="136">
        <v>0</v>
      </c>
      <c r="P95" s="137">
        <f t="shared" si="56"/>
        <v>0</v>
      </c>
      <c r="Q95" s="136">
        <v>0</v>
      </c>
      <c r="R95" s="137">
        <f t="shared" si="57"/>
        <v>0</v>
      </c>
      <c r="S95" s="136">
        <v>0</v>
      </c>
      <c r="T95" s="137">
        <f t="shared" si="58"/>
        <v>0</v>
      </c>
      <c r="U95" s="136">
        <v>0</v>
      </c>
      <c r="V95" s="137">
        <f t="shared" si="59"/>
        <v>0</v>
      </c>
      <c r="W95" s="136">
        <v>0</v>
      </c>
      <c r="X95" s="137">
        <f t="shared" si="60"/>
        <v>0</v>
      </c>
      <c r="Y95" s="136">
        <v>0</v>
      </c>
      <c r="Z95" s="137">
        <f t="shared" si="61"/>
        <v>0</v>
      </c>
      <c r="AA95" s="136">
        <v>0</v>
      </c>
      <c r="AB95" s="137">
        <f>AA95*$B$65</f>
        <v>0</v>
      </c>
      <c r="AC95" s="136">
        <v>0</v>
      </c>
      <c r="AD95" s="137">
        <f>AC95*$B$65</f>
        <v>0</v>
      </c>
      <c r="AE95" s="129">
        <f t="shared" si="13"/>
        <v>0</v>
      </c>
      <c r="AF95" s="121">
        <f t="shared" si="36"/>
        <v>0</v>
      </c>
      <c r="AH95" s="119"/>
      <c r="AI95" s="146"/>
    </row>
    <row r="96" spans="1:35" s="1" customFormat="1" ht="15" customHeight="1">
      <c r="A96" s="135" t="s">
        <v>53</v>
      </c>
      <c r="B96" s="215"/>
      <c r="C96" s="136">
        <v>0</v>
      </c>
      <c r="D96" s="137">
        <f t="shared" ref="D96" si="64">C96*$B$60</f>
        <v>0</v>
      </c>
      <c r="E96" s="136">
        <v>0</v>
      </c>
      <c r="F96" s="137">
        <f t="shared" si="52"/>
        <v>0</v>
      </c>
      <c r="G96" s="136">
        <v>0</v>
      </c>
      <c r="H96" s="137">
        <f>G96*B96</f>
        <v>0</v>
      </c>
      <c r="I96" s="136">
        <v>0</v>
      </c>
      <c r="J96" s="137">
        <f t="shared" si="53"/>
        <v>0</v>
      </c>
      <c r="K96" s="136">
        <v>0</v>
      </c>
      <c r="L96" s="137">
        <f t="shared" si="54"/>
        <v>0</v>
      </c>
      <c r="M96" s="136">
        <v>0</v>
      </c>
      <c r="N96" s="137">
        <f t="shared" si="55"/>
        <v>0</v>
      </c>
      <c r="O96" s="136">
        <v>0</v>
      </c>
      <c r="P96" s="137">
        <f t="shared" si="56"/>
        <v>0</v>
      </c>
      <c r="Q96" s="136">
        <v>0</v>
      </c>
      <c r="R96" s="137">
        <f t="shared" si="57"/>
        <v>0</v>
      </c>
      <c r="S96" s="136">
        <v>0</v>
      </c>
      <c r="T96" s="137">
        <f t="shared" si="58"/>
        <v>0</v>
      </c>
      <c r="U96" s="136">
        <v>0</v>
      </c>
      <c r="V96" s="137">
        <f t="shared" si="59"/>
        <v>0</v>
      </c>
      <c r="W96" s="136">
        <v>0</v>
      </c>
      <c r="X96" s="137">
        <f t="shared" si="60"/>
        <v>0</v>
      </c>
      <c r="Y96" s="136">
        <v>0</v>
      </c>
      <c r="Z96" s="137">
        <f t="shared" si="61"/>
        <v>0</v>
      </c>
      <c r="AA96" s="136">
        <v>0</v>
      </c>
      <c r="AB96" s="137">
        <f>AA96*$B$65</f>
        <v>0</v>
      </c>
      <c r="AC96" s="136">
        <v>0</v>
      </c>
      <c r="AD96" s="137">
        <f>AC96*$B$65</f>
        <v>0</v>
      </c>
      <c r="AE96" s="129">
        <v>0</v>
      </c>
      <c r="AF96" s="121">
        <f t="shared" si="36"/>
        <v>0</v>
      </c>
      <c r="AH96" s="119"/>
      <c r="AI96" s="146"/>
    </row>
    <row r="97" spans="1:35" s="1" customFormat="1" ht="30" hidden="1" customHeight="1">
      <c r="A97" s="135" t="s">
        <v>54</v>
      </c>
      <c r="B97" s="215"/>
      <c r="C97" s="136">
        <v>0</v>
      </c>
      <c r="D97" s="137">
        <f>C97*$B$70</f>
        <v>0</v>
      </c>
      <c r="E97" s="136">
        <v>0</v>
      </c>
      <c r="F97" s="137">
        <f>E97*$B$65</f>
        <v>0</v>
      </c>
      <c r="G97" s="136">
        <v>0</v>
      </c>
      <c r="H97" s="137">
        <f>G97*$B$65</f>
        <v>0</v>
      </c>
      <c r="I97" s="136">
        <v>0</v>
      </c>
      <c r="J97" s="137">
        <f>I97*$B$65</f>
        <v>0</v>
      </c>
      <c r="K97" s="136">
        <v>0</v>
      </c>
      <c r="L97" s="137">
        <f>K97*$B$65</f>
        <v>0</v>
      </c>
      <c r="M97" s="136">
        <v>0</v>
      </c>
      <c r="N97" s="137">
        <f>M97*$B$65</f>
        <v>0</v>
      </c>
      <c r="O97" s="136">
        <v>0</v>
      </c>
      <c r="P97" s="137">
        <f>O97*$B$65</f>
        <v>0</v>
      </c>
      <c r="Q97" s="136">
        <v>0</v>
      </c>
      <c r="R97" s="137">
        <f>Q97*$B$65</f>
        <v>0</v>
      </c>
      <c r="S97" s="136">
        <v>0</v>
      </c>
      <c r="T97" s="137">
        <f>S97*$B$65</f>
        <v>0</v>
      </c>
      <c r="U97" s="136">
        <v>0</v>
      </c>
      <c r="V97" s="137">
        <f>U97*$B$65</f>
        <v>0</v>
      </c>
      <c r="W97" s="136">
        <v>0</v>
      </c>
      <c r="X97" s="137">
        <f>W97*$B$65</f>
        <v>0</v>
      </c>
      <c r="Y97" s="136">
        <v>0</v>
      </c>
      <c r="Z97" s="137">
        <f>Y97*$B$65</f>
        <v>0</v>
      </c>
      <c r="AA97" s="136">
        <v>0</v>
      </c>
      <c r="AB97" s="137">
        <f>AA97*B97</f>
        <v>0</v>
      </c>
      <c r="AC97" s="136"/>
      <c r="AD97" s="137">
        <f>AC97*B97</f>
        <v>0</v>
      </c>
      <c r="AE97" s="129">
        <f t="shared" ref="AE97:AE98" si="65">C97+E97+G97+AC97</f>
        <v>0</v>
      </c>
      <c r="AF97" s="121">
        <f t="shared" si="36"/>
        <v>0</v>
      </c>
      <c r="AH97" s="119"/>
      <c r="AI97" s="146"/>
    </row>
    <row r="98" spans="1:35" s="1" customFormat="1" ht="17.25" customHeight="1" thickBot="1">
      <c r="A98" s="135"/>
      <c r="B98" s="215"/>
      <c r="C98" s="136">
        <v>0</v>
      </c>
      <c r="D98" s="137">
        <f>C98*$B$70</f>
        <v>0</v>
      </c>
      <c r="E98" s="136">
        <v>0</v>
      </c>
      <c r="F98" s="137">
        <f>E98*$B$65</f>
        <v>0</v>
      </c>
      <c r="G98" s="136">
        <v>0</v>
      </c>
      <c r="H98" s="137">
        <f>G98*$B$65</f>
        <v>0</v>
      </c>
      <c r="I98" s="136">
        <v>0</v>
      </c>
      <c r="J98" s="137">
        <f>I98*$B$65</f>
        <v>0</v>
      </c>
      <c r="K98" s="136">
        <v>0</v>
      </c>
      <c r="L98" s="137">
        <f>K98*$B$65</f>
        <v>0</v>
      </c>
      <c r="M98" s="136">
        <v>0</v>
      </c>
      <c r="N98" s="137">
        <f>M98*$B$65</f>
        <v>0</v>
      </c>
      <c r="O98" s="136">
        <v>0</v>
      </c>
      <c r="P98" s="137">
        <f>O98*$B$65</f>
        <v>0</v>
      </c>
      <c r="Q98" s="136">
        <v>0</v>
      </c>
      <c r="R98" s="137">
        <f>Q98*$B$65</f>
        <v>0</v>
      </c>
      <c r="S98" s="136">
        <v>0</v>
      </c>
      <c r="T98" s="137">
        <f>S98*$B$65</f>
        <v>0</v>
      </c>
      <c r="U98" s="136">
        <v>0</v>
      </c>
      <c r="V98" s="137">
        <f>U98*$B$65</f>
        <v>0</v>
      </c>
      <c r="W98" s="136">
        <v>0</v>
      </c>
      <c r="X98" s="137">
        <f>W98*$B$65</f>
        <v>0</v>
      </c>
      <c r="Y98" s="136">
        <v>0</v>
      </c>
      <c r="Z98" s="137">
        <f>Y98*$B$65</f>
        <v>0</v>
      </c>
      <c r="AA98" s="136"/>
      <c r="AB98" s="137">
        <f>AA98*B98</f>
        <v>0</v>
      </c>
      <c r="AC98" s="136">
        <v>0</v>
      </c>
      <c r="AD98" s="137">
        <f>AC98*B98</f>
        <v>0</v>
      </c>
      <c r="AE98" s="129">
        <f t="shared" si="65"/>
        <v>0</v>
      </c>
      <c r="AF98" s="121">
        <f t="shared" si="36"/>
        <v>0</v>
      </c>
      <c r="AH98" s="119"/>
      <c r="AI98" s="146"/>
    </row>
    <row r="99" spans="1:35" ht="13">
      <c r="A99" s="160" t="s">
        <v>14</v>
      </c>
      <c r="B99" s="161"/>
      <c r="C99" s="143"/>
      <c r="D99" s="144">
        <f>SUM(D28:D98)</f>
        <v>69961</v>
      </c>
      <c r="E99" s="143"/>
      <c r="F99" s="144">
        <f>SUM(F28:F98)</f>
        <v>1.35</v>
      </c>
      <c r="G99" s="143"/>
      <c r="H99" s="144">
        <f>SUM(H28:H98)</f>
        <v>54427</v>
      </c>
      <c r="I99" s="143"/>
      <c r="J99" s="144" t="e">
        <f>SUM(J26:J74)</f>
        <v>#REF!</v>
      </c>
      <c r="K99" s="143"/>
      <c r="L99" s="144" t="e">
        <f>SUM(L26:L74)</f>
        <v>#REF!</v>
      </c>
      <c r="M99" s="143"/>
      <c r="N99" s="144" t="e">
        <f>SUM(N26:N74)</f>
        <v>#REF!</v>
      </c>
      <c r="O99" s="143"/>
      <c r="P99" s="144" t="e">
        <f>SUM(P26:P74)</f>
        <v>#REF!</v>
      </c>
      <c r="Q99" s="143"/>
      <c r="R99" s="144" t="e">
        <f>SUM(R26:R74)</f>
        <v>#REF!</v>
      </c>
      <c r="S99" s="143"/>
      <c r="T99" s="144" t="e">
        <f>SUM(T26:T74)</f>
        <v>#REF!</v>
      </c>
      <c r="U99" s="143"/>
      <c r="V99" s="144" t="e">
        <f>SUM(V26:V74)</f>
        <v>#REF!</v>
      </c>
      <c r="W99" s="143"/>
      <c r="X99" s="144" t="e">
        <f>SUM(X26:X74)</f>
        <v>#REF!</v>
      </c>
      <c r="Y99" s="143"/>
      <c r="Z99" s="144" t="e">
        <f>SUM(Z26:Z74)</f>
        <v>#REF!</v>
      </c>
      <c r="AA99" s="143"/>
      <c r="AB99" s="144">
        <f>SUM(AB28:AB98)</f>
        <v>0</v>
      </c>
      <c r="AC99" s="143"/>
      <c r="AD99" s="144">
        <f>SUM(AD28:AD98)</f>
        <v>0</v>
      </c>
      <c r="AE99" s="162"/>
      <c r="AF99" s="163">
        <f>SUM(AF28:AF98)</f>
        <v>124389.34999999999</v>
      </c>
      <c r="AH99" s="216"/>
    </row>
    <row r="100" spans="1:35" ht="13">
      <c r="A100" s="164" t="s">
        <v>15</v>
      </c>
      <c r="B100" s="157"/>
      <c r="C100" s="136"/>
      <c r="D100" s="137">
        <f>D99+D25</f>
        <v>113631.64600000001</v>
      </c>
      <c r="E100" s="137" t="s">
        <v>0</v>
      </c>
      <c r="F100" s="137">
        <f>F99+F25</f>
        <v>1.35</v>
      </c>
      <c r="G100" s="137" t="s">
        <v>0</v>
      </c>
      <c r="H100" s="137">
        <f>H99+H25</f>
        <v>93523.20120000001</v>
      </c>
      <c r="I100" s="136"/>
      <c r="J100" s="137" t="e">
        <f>SUM(J99,J25)</f>
        <v>#REF!</v>
      </c>
      <c r="K100" s="136"/>
      <c r="L100" s="137" t="e">
        <f>SUM(L99,L25)</f>
        <v>#REF!</v>
      </c>
      <c r="M100" s="136"/>
      <c r="N100" s="137" t="e">
        <f>SUM(N99,N25)</f>
        <v>#REF!</v>
      </c>
      <c r="O100" s="136"/>
      <c r="P100" s="137" t="e">
        <f>SUM(P99,P25)</f>
        <v>#REF!</v>
      </c>
      <c r="Q100" s="136"/>
      <c r="R100" s="137" t="e">
        <f>SUM(R99,R25)</f>
        <v>#REF!</v>
      </c>
      <c r="S100" s="136"/>
      <c r="T100" s="137" t="e">
        <f>SUM(T99,T25)</f>
        <v>#REF!</v>
      </c>
      <c r="U100" s="136"/>
      <c r="V100" s="137" t="e">
        <f>SUM(V99,V25)</f>
        <v>#REF!</v>
      </c>
      <c r="W100" s="136"/>
      <c r="X100" s="137" t="e">
        <f>SUM(X99,X25)</f>
        <v>#REF!</v>
      </c>
      <c r="Y100" s="136"/>
      <c r="Z100" s="137" t="e">
        <f>SUM(Z99,Z25)</f>
        <v>#REF!</v>
      </c>
      <c r="AA100" s="137" t="s">
        <v>0</v>
      </c>
      <c r="AB100" s="137">
        <f>AB99+AB25</f>
        <v>0</v>
      </c>
      <c r="AC100" s="137" t="s">
        <v>0</v>
      </c>
      <c r="AD100" s="137">
        <f>AD99+AD25</f>
        <v>32.214399999999998</v>
      </c>
      <c r="AE100" s="158"/>
      <c r="AF100" s="165">
        <f>AF99+AF25</f>
        <v>207188.41159999999</v>
      </c>
      <c r="AH100" s="216"/>
    </row>
    <row r="101" spans="1:35" ht="14" thickBot="1">
      <c r="A101" s="168" t="s">
        <v>16</v>
      </c>
      <c r="B101" s="169">
        <v>9.7000000000000003E-2</v>
      </c>
      <c r="C101" s="149"/>
      <c r="D101" s="150">
        <f>D100*$B$101</f>
        <v>11022.269662000001</v>
      </c>
      <c r="E101" s="149"/>
      <c r="F101" s="150">
        <f>F100*$B$101</f>
        <v>0.13095000000000001</v>
      </c>
      <c r="G101" s="149"/>
      <c r="H101" s="150">
        <f>H100*$B$101</f>
        <v>9071.7505164000013</v>
      </c>
      <c r="I101" s="149"/>
      <c r="J101" s="150" t="e">
        <f>J100*$B$101</f>
        <v>#REF!</v>
      </c>
      <c r="K101" s="149"/>
      <c r="L101" s="150" t="e">
        <f>L100*$B$101</f>
        <v>#REF!</v>
      </c>
      <c r="M101" s="149"/>
      <c r="N101" s="150" t="e">
        <f>N100*$B$101</f>
        <v>#REF!</v>
      </c>
      <c r="O101" s="149"/>
      <c r="P101" s="150" t="e">
        <f>P100*$B$101</f>
        <v>#REF!</v>
      </c>
      <c r="Q101" s="149"/>
      <c r="R101" s="150" t="e">
        <f>R100*$B$101</f>
        <v>#REF!</v>
      </c>
      <c r="S101" s="149"/>
      <c r="T101" s="150" t="e">
        <f>T100*$B$101</f>
        <v>#REF!</v>
      </c>
      <c r="U101" s="149"/>
      <c r="V101" s="150" t="e">
        <f>V100*$B$101</f>
        <v>#REF!</v>
      </c>
      <c r="W101" s="149"/>
      <c r="X101" s="150" t="e">
        <f>X100*$B$101</f>
        <v>#REF!</v>
      </c>
      <c r="Y101" s="149"/>
      <c r="Z101" s="150" t="e">
        <f>Z100*$B$101</f>
        <v>#REF!</v>
      </c>
      <c r="AA101" s="149"/>
      <c r="AB101" s="150">
        <f>AB100*$B$101</f>
        <v>0</v>
      </c>
      <c r="AC101" s="149"/>
      <c r="AD101" s="150">
        <f>AD100*$B$101</f>
        <v>3.1247967999999999</v>
      </c>
      <c r="AE101" s="170"/>
      <c r="AF101" s="171">
        <f>D101+F101+H101+AD101+AB101</f>
        <v>20097.2759252</v>
      </c>
      <c r="AH101" s="216"/>
    </row>
    <row r="102" spans="1:35" ht="13">
      <c r="A102" s="160" t="s">
        <v>17</v>
      </c>
      <c r="B102" s="184"/>
      <c r="C102" s="143"/>
      <c r="D102" s="144">
        <f>D100+D101</f>
        <v>124653.91566200001</v>
      </c>
      <c r="E102" s="143"/>
      <c r="F102" s="144">
        <f>F100+F101</f>
        <v>1.48095</v>
      </c>
      <c r="G102" s="143"/>
      <c r="H102" s="144">
        <f>H100+H101</f>
        <v>102594.95171640001</v>
      </c>
      <c r="I102" s="143"/>
      <c r="J102" s="144" t="e">
        <f>J100+J101</f>
        <v>#REF!</v>
      </c>
      <c r="K102" s="143"/>
      <c r="L102" s="144" t="e">
        <f>L100+L101</f>
        <v>#REF!</v>
      </c>
      <c r="M102" s="143"/>
      <c r="N102" s="144" t="e">
        <f>N100+N101</f>
        <v>#REF!</v>
      </c>
      <c r="O102" s="143"/>
      <c r="P102" s="144" t="e">
        <f>P100+P101</f>
        <v>#REF!</v>
      </c>
      <c r="Q102" s="143"/>
      <c r="R102" s="144" t="e">
        <f>R100+R101</f>
        <v>#REF!</v>
      </c>
      <c r="S102" s="143"/>
      <c r="T102" s="144" t="e">
        <f>T100+T101</f>
        <v>#REF!</v>
      </c>
      <c r="U102" s="143"/>
      <c r="V102" s="144" t="e">
        <f>V100+V101</f>
        <v>#REF!</v>
      </c>
      <c r="W102" s="143"/>
      <c r="X102" s="144" t="e">
        <f>X100+X101</f>
        <v>#REF!</v>
      </c>
      <c r="Y102" s="143"/>
      <c r="Z102" s="144" t="e">
        <f>Z100+Z101</f>
        <v>#REF!</v>
      </c>
      <c r="AA102" s="143"/>
      <c r="AB102" s="144">
        <f>AB100+AB101</f>
        <v>0</v>
      </c>
      <c r="AC102" s="143"/>
      <c r="AD102" s="144">
        <f>AD100+AD101</f>
        <v>35.339196799999996</v>
      </c>
      <c r="AE102" s="162"/>
      <c r="AF102" s="163">
        <f>D102+F102+H102+AD102+AB102</f>
        <v>227285.68752520002</v>
      </c>
      <c r="AG102" s="2"/>
      <c r="AH102" s="216"/>
    </row>
    <row r="103" spans="1:35" ht="15.75" hidden="1" customHeight="1" thickBot="1">
      <c r="A103" s="185"/>
      <c r="B103" s="172"/>
      <c r="C103" s="173"/>
      <c r="D103" s="174"/>
      <c r="E103" s="173"/>
      <c r="F103" s="174"/>
      <c r="G103" s="173"/>
      <c r="H103" s="174"/>
      <c r="I103" s="173"/>
      <c r="J103" s="174"/>
      <c r="K103" s="173"/>
      <c r="L103" s="174"/>
      <c r="M103" s="173"/>
      <c r="N103" s="174"/>
      <c r="O103" s="173"/>
      <c r="P103" s="174"/>
      <c r="Q103" s="173"/>
      <c r="R103" s="174"/>
      <c r="S103" s="173"/>
      <c r="T103" s="174"/>
      <c r="U103" s="173"/>
      <c r="V103" s="174"/>
      <c r="W103" s="173"/>
      <c r="X103" s="174"/>
      <c r="Y103" s="173"/>
      <c r="Z103" s="174"/>
      <c r="AA103" s="173"/>
      <c r="AB103" s="174"/>
      <c r="AC103" s="173"/>
      <c r="AD103" s="174"/>
      <c r="AE103" s="158"/>
      <c r="AF103" s="165">
        <f t="shared" ref="AF103:AF111" si="66">D103+F103+H103+J103+AD103</f>
        <v>0</v>
      </c>
      <c r="AH103" s="216"/>
    </row>
    <row r="104" spans="1:35" ht="15" hidden="1" customHeight="1">
      <c r="A104" s="164" t="s">
        <v>35</v>
      </c>
      <c r="B104" s="159">
        <v>0</v>
      </c>
      <c r="C104" s="136"/>
      <c r="D104" s="137">
        <f>D102*$B$104</f>
        <v>0</v>
      </c>
      <c r="E104" s="136"/>
      <c r="F104" s="137">
        <f>F102*$B$104</f>
        <v>0</v>
      </c>
      <c r="G104" s="136"/>
      <c r="H104" s="137">
        <f>H102*$B$104</f>
        <v>0</v>
      </c>
      <c r="I104" s="136"/>
      <c r="J104" s="137" t="e">
        <f>J102*$B$104</f>
        <v>#REF!</v>
      </c>
      <c r="K104" s="136"/>
      <c r="L104" s="137" t="e">
        <f>L102*$B$104</f>
        <v>#REF!</v>
      </c>
      <c r="M104" s="136"/>
      <c r="N104" s="137" t="e">
        <f>N102*$B$104</f>
        <v>#REF!</v>
      </c>
      <c r="O104" s="136"/>
      <c r="P104" s="137" t="e">
        <f>P102*$B$104</f>
        <v>#REF!</v>
      </c>
      <c r="Q104" s="136"/>
      <c r="R104" s="137" t="e">
        <f>R102*$B$104</f>
        <v>#REF!</v>
      </c>
      <c r="S104" s="136"/>
      <c r="T104" s="137" t="e">
        <f>T102*$B$104</f>
        <v>#REF!</v>
      </c>
      <c r="U104" s="136"/>
      <c r="V104" s="137" t="e">
        <f>V102*$B$104</f>
        <v>#REF!</v>
      </c>
      <c r="W104" s="136"/>
      <c r="X104" s="137" t="e">
        <f>X102*$B$104</f>
        <v>#REF!</v>
      </c>
      <c r="Y104" s="136"/>
      <c r="Z104" s="137" t="e">
        <f>Z102*$B$104</f>
        <v>#REF!</v>
      </c>
      <c r="AA104" s="136"/>
      <c r="AB104" s="137">
        <f>AB102*$B$104</f>
        <v>0</v>
      </c>
      <c r="AC104" s="136"/>
      <c r="AD104" s="137">
        <f>AD102*$B$104</f>
        <v>0</v>
      </c>
      <c r="AE104" s="158"/>
      <c r="AF104" s="165" t="e">
        <f t="shared" si="66"/>
        <v>#REF!</v>
      </c>
      <c r="AH104" s="216"/>
    </row>
    <row r="105" spans="1:35" ht="15" hidden="1" customHeight="1">
      <c r="A105" s="164"/>
      <c r="B105" s="157"/>
      <c r="C105" s="136"/>
      <c r="D105" s="137"/>
      <c r="E105" s="136"/>
      <c r="F105" s="137"/>
      <c r="G105" s="136"/>
      <c r="H105" s="137"/>
      <c r="I105" s="136"/>
      <c r="J105" s="137"/>
      <c r="K105" s="136"/>
      <c r="L105" s="137"/>
      <c r="M105" s="136"/>
      <c r="N105" s="137"/>
      <c r="O105" s="136"/>
      <c r="P105" s="137"/>
      <c r="Q105" s="136"/>
      <c r="R105" s="137"/>
      <c r="S105" s="136"/>
      <c r="T105" s="137"/>
      <c r="U105" s="136"/>
      <c r="V105" s="137"/>
      <c r="W105" s="136"/>
      <c r="X105" s="137"/>
      <c r="Y105" s="136"/>
      <c r="Z105" s="137"/>
      <c r="AA105" s="136"/>
      <c r="AB105" s="137"/>
      <c r="AC105" s="136"/>
      <c r="AD105" s="137"/>
      <c r="AE105" s="158"/>
      <c r="AF105" s="165">
        <f t="shared" si="66"/>
        <v>0</v>
      </c>
      <c r="AH105" s="216"/>
    </row>
    <row r="106" spans="1:35" ht="15.75" hidden="1" customHeight="1" thickBot="1">
      <c r="A106" s="164" t="s">
        <v>18</v>
      </c>
      <c r="B106" s="157" t="s">
        <v>0</v>
      </c>
      <c r="C106" s="136"/>
      <c r="D106" s="175">
        <f>SUM(D102:D104)</f>
        <v>124653.91566200001</v>
      </c>
      <c r="E106" s="176"/>
      <c r="F106" s="175">
        <f>SUM(F102:F104)</f>
        <v>1.48095</v>
      </c>
      <c r="G106" s="176"/>
      <c r="H106" s="175">
        <f>SUM(H102:H104)</f>
        <v>102594.95171640001</v>
      </c>
      <c r="I106" s="176"/>
      <c r="J106" s="175" t="e">
        <f>SUM(J102:J104)</f>
        <v>#REF!</v>
      </c>
      <c r="K106" s="176"/>
      <c r="L106" s="175" t="e">
        <f>SUM(L102:L104)</f>
        <v>#REF!</v>
      </c>
      <c r="M106" s="176"/>
      <c r="N106" s="175" t="e">
        <f>SUM(N102:N104)</f>
        <v>#REF!</v>
      </c>
      <c r="O106" s="176"/>
      <c r="P106" s="175" t="e">
        <f>SUM(P102:P104)</f>
        <v>#REF!</v>
      </c>
      <c r="Q106" s="176"/>
      <c r="R106" s="175" t="e">
        <f>SUM(R102:R104)</f>
        <v>#REF!</v>
      </c>
      <c r="S106" s="176"/>
      <c r="T106" s="175" t="e">
        <f>SUM(T102:T104)</f>
        <v>#REF!</v>
      </c>
      <c r="U106" s="176"/>
      <c r="V106" s="175" t="e">
        <f>SUM(V102:V104)</f>
        <v>#REF!</v>
      </c>
      <c r="W106" s="176"/>
      <c r="X106" s="175" t="e">
        <f>SUM(X102:X104)</f>
        <v>#REF!</v>
      </c>
      <c r="Y106" s="176"/>
      <c r="Z106" s="175" t="e">
        <f>SUM(Z102:Z104)</f>
        <v>#REF!</v>
      </c>
      <c r="AA106" s="176"/>
      <c r="AB106" s="175">
        <f>SUM(AB102:AB104)</f>
        <v>0</v>
      </c>
      <c r="AC106" s="176"/>
      <c r="AD106" s="175">
        <f>SUM(AD102:AD104)</f>
        <v>35.339196799999996</v>
      </c>
      <c r="AE106" s="158"/>
      <c r="AF106" s="165" t="e">
        <f t="shared" si="66"/>
        <v>#REF!</v>
      </c>
      <c r="AH106" s="216"/>
    </row>
    <row r="107" spans="1:35" ht="15.75" hidden="1" customHeight="1" thickBot="1">
      <c r="A107" s="186"/>
      <c r="B107" s="177"/>
      <c r="C107" s="177"/>
      <c r="D107" s="178"/>
      <c r="E107" s="177"/>
      <c r="F107" s="178"/>
      <c r="G107" s="177"/>
      <c r="H107" s="178"/>
      <c r="I107" s="177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7"/>
      <c r="AB107" s="178"/>
      <c r="AC107" s="177"/>
      <c r="AD107" s="178"/>
      <c r="AE107" s="158"/>
      <c r="AF107" s="165">
        <f t="shared" si="66"/>
        <v>0</v>
      </c>
      <c r="AH107" s="216"/>
    </row>
    <row r="108" spans="1:35" ht="15" hidden="1" customHeight="1">
      <c r="A108" s="186" t="s">
        <v>36</v>
      </c>
      <c r="B108" s="180">
        <v>0</v>
      </c>
      <c r="C108" s="177"/>
      <c r="D108" s="178">
        <f>D106*$B$108</f>
        <v>0</v>
      </c>
      <c r="E108" s="177"/>
      <c r="F108" s="178">
        <f>F106*$B$108</f>
        <v>0</v>
      </c>
      <c r="G108" s="177"/>
      <c r="H108" s="178">
        <f>H106*$B$108</f>
        <v>0</v>
      </c>
      <c r="I108" s="177"/>
      <c r="J108" s="178" t="e">
        <f>J106*$B$108</f>
        <v>#REF!</v>
      </c>
      <c r="K108" s="179"/>
      <c r="L108" s="178" t="e">
        <f>L106*$B$108</f>
        <v>#REF!</v>
      </c>
      <c r="M108" s="179"/>
      <c r="N108" s="178" t="e">
        <f>N106*$B$108</f>
        <v>#REF!</v>
      </c>
      <c r="O108" s="179"/>
      <c r="P108" s="178" t="e">
        <f>P106*$B$108</f>
        <v>#REF!</v>
      </c>
      <c r="Q108" s="179"/>
      <c r="R108" s="178" t="e">
        <f>R106*$B$108</f>
        <v>#REF!</v>
      </c>
      <c r="S108" s="179"/>
      <c r="T108" s="178" t="e">
        <f>T106*$B$108</f>
        <v>#REF!</v>
      </c>
      <c r="U108" s="179"/>
      <c r="V108" s="178" t="e">
        <f>V106*$B$108</f>
        <v>#REF!</v>
      </c>
      <c r="W108" s="179"/>
      <c r="X108" s="178" t="e">
        <f>X106*$B$108</f>
        <v>#REF!</v>
      </c>
      <c r="Y108" s="179"/>
      <c r="Z108" s="178" t="e">
        <f>Z106*$B$108</f>
        <v>#REF!</v>
      </c>
      <c r="AA108" s="177"/>
      <c r="AB108" s="178">
        <f>AB106*$B$108</f>
        <v>0</v>
      </c>
      <c r="AC108" s="177"/>
      <c r="AD108" s="178">
        <f>AD106*$B$108</f>
        <v>0</v>
      </c>
      <c r="AE108" s="158"/>
      <c r="AF108" s="165" t="e">
        <f t="shared" si="66"/>
        <v>#REF!</v>
      </c>
      <c r="AH108" s="216"/>
    </row>
    <row r="109" spans="1:35" ht="15" hidden="1" customHeight="1">
      <c r="A109" s="186"/>
      <c r="B109" s="177"/>
      <c r="C109" s="177"/>
      <c r="D109" s="178"/>
      <c r="E109" s="177"/>
      <c r="F109" s="178"/>
      <c r="G109" s="177"/>
      <c r="H109" s="178"/>
      <c r="I109" s="177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7"/>
      <c r="AB109" s="178"/>
      <c r="AC109" s="177"/>
      <c r="AD109" s="178"/>
      <c r="AE109" s="158"/>
      <c r="AF109" s="165">
        <f t="shared" si="66"/>
        <v>0</v>
      </c>
      <c r="AH109" s="216"/>
    </row>
    <row r="110" spans="1:35" ht="15" hidden="1" customHeight="1">
      <c r="A110" s="187" t="s">
        <v>21</v>
      </c>
      <c r="B110" s="180">
        <v>0</v>
      </c>
      <c r="C110" s="177"/>
      <c r="D110" s="178">
        <f>D106*$B$110</f>
        <v>0</v>
      </c>
      <c r="E110" s="182"/>
      <c r="F110" s="178">
        <f>F106*$B$110</f>
        <v>0</v>
      </c>
      <c r="G110" s="182"/>
      <c r="H110" s="178">
        <f>H106*$B$110</f>
        <v>0</v>
      </c>
      <c r="I110" s="182"/>
      <c r="J110" s="178" t="e">
        <f>J106*$B$110</f>
        <v>#REF!</v>
      </c>
      <c r="K110" s="182"/>
      <c r="L110" s="178" t="e">
        <f>L106*$B$110</f>
        <v>#REF!</v>
      </c>
      <c r="M110" s="182"/>
      <c r="N110" s="178" t="e">
        <f>N106*$B$110</f>
        <v>#REF!</v>
      </c>
      <c r="O110" s="182"/>
      <c r="P110" s="178" t="e">
        <f>P106*$B$110</f>
        <v>#REF!</v>
      </c>
      <c r="Q110" s="182"/>
      <c r="R110" s="178" t="e">
        <f>R106*$B$110</f>
        <v>#REF!</v>
      </c>
      <c r="S110" s="182"/>
      <c r="T110" s="178" t="e">
        <f>T106*$B$110</f>
        <v>#REF!</v>
      </c>
      <c r="U110" s="182"/>
      <c r="V110" s="178" t="e">
        <f>V106*$B$110</f>
        <v>#REF!</v>
      </c>
      <c r="W110" s="182"/>
      <c r="X110" s="178" t="e">
        <f>X106*$B$110</f>
        <v>#REF!</v>
      </c>
      <c r="Y110" s="178"/>
      <c r="Z110" s="178" t="e">
        <f t="shared" ref="Z110" si="67">Z106*$B$110</f>
        <v>#REF!</v>
      </c>
      <c r="AA110" s="182"/>
      <c r="AB110" s="178">
        <f>AB106*$B$110</f>
        <v>0</v>
      </c>
      <c r="AC110" s="182"/>
      <c r="AD110" s="178">
        <f>AD106*$B$110</f>
        <v>0</v>
      </c>
      <c r="AE110" s="158"/>
      <c r="AF110" s="165" t="e">
        <f t="shared" si="66"/>
        <v>#REF!</v>
      </c>
      <c r="AH110" s="216"/>
    </row>
    <row r="111" spans="1:35" ht="15" hidden="1" customHeight="1">
      <c r="A111" s="187"/>
      <c r="B111" s="181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58"/>
      <c r="AF111" s="165">
        <f t="shared" si="66"/>
        <v>0</v>
      </c>
      <c r="AH111" s="216"/>
    </row>
    <row r="112" spans="1:35" ht="13">
      <c r="A112" s="188" t="s">
        <v>32</v>
      </c>
      <c r="B112" s="183">
        <v>0.1</v>
      </c>
      <c r="C112" s="177"/>
      <c r="D112" s="203">
        <f>D102*B112</f>
        <v>12465.391566200002</v>
      </c>
      <c r="E112" s="204"/>
      <c r="F112" s="203">
        <f>F102*B112</f>
        <v>0.148095</v>
      </c>
      <c r="G112" s="204"/>
      <c r="H112" s="203">
        <f>H102*B112</f>
        <v>10259.495171640003</v>
      </c>
      <c r="I112" s="204"/>
      <c r="J112" s="203" t="e">
        <f>SUM(J110,J108,J106,)</f>
        <v>#REF!</v>
      </c>
      <c r="K112" s="204"/>
      <c r="L112" s="203" t="e">
        <f>SUM(L110,L108,L106,)</f>
        <v>#REF!</v>
      </c>
      <c r="M112" s="204"/>
      <c r="N112" s="203" t="e">
        <f>SUM(N110,N108,N106,)</f>
        <v>#REF!</v>
      </c>
      <c r="O112" s="204"/>
      <c r="P112" s="203" t="e">
        <f>SUM(P110,P108,P106,)</f>
        <v>#REF!</v>
      </c>
      <c r="Q112" s="204"/>
      <c r="R112" s="203" t="e">
        <f>SUM(R110,R108,R106,)</f>
        <v>#REF!</v>
      </c>
      <c r="S112" s="204"/>
      <c r="T112" s="203" t="e">
        <f>SUM(T110,T108,T106,)</f>
        <v>#REF!</v>
      </c>
      <c r="U112" s="204"/>
      <c r="V112" s="203" t="e">
        <f>SUM(V110,V108,V106,)</f>
        <v>#REF!</v>
      </c>
      <c r="W112" s="204"/>
      <c r="X112" s="203" t="e">
        <f>SUM(X110,X108,X106,)</f>
        <v>#REF!</v>
      </c>
      <c r="Y112" s="203"/>
      <c r="Z112" s="203" t="e">
        <f>SUM(Z110,Z108,Z106,)</f>
        <v>#REF!</v>
      </c>
      <c r="AA112" s="204"/>
      <c r="AB112" s="203">
        <f>AB102*B112</f>
        <v>0</v>
      </c>
      <c r="AC112" s="204"/>
      <c r="AD112" s="203">
        <f>AD102*B112</f>
        <v>3.5339196799999999</v>
      </c>
      <c r="AE112" s="158"/>
      <c r="AF112" s="165">
        <f>D112+F112+H112+AD112+AB112</f>
        <v>22728.568752520008</v>
      </c>
      <c r="AH112" s="216"/>
    </row>
    <row r="113" spans="1:35" ht="14" thickBot="1">
      <c r="A113" s="189" t="s">
        <v>33</v>
      </c>
      <c r="B113" s="190"/>
      <c r="C113" s="190"/>
      <c r="D113" s="191">
        <f>D112+D102</f>
        <v>137119.30722820002</v>
      </c>
      <c r="E113" s="190"/>
      <c r="F113" s="191">
        <f>F112+F102</f>
        <v>1.6290450000000001</v>
      </c>
      <c r="G113" s="192"/>
      <c r="H113" s="191">
        <f>H112+H102</f>
        <v>112854.44688804002</v>
      </c>
      <c r="I113" s="190"/>
      <c r="J113" s="190"/>
      <c r="K113" s="190"/>
      <c r="L113" s="190"/>
      <c r="M113" s="190"/>
      <c r="N113" s="190"/>
      <c r="O113" s="190"/>
      <c r="P113" s="190"/>
      <c r="Q113" s="191"/>
      <c r="R113" s="190"/>
      <c r="S113" s="190"/>
      <c r="T113" s="190"/>
      <c r="U113" s="190"/>
      <c r="V113" s="190"/>
      <c r="W113" s="190"/>
      <c r="X113" s="190"/>
      <c r="Y113" s="190"/>
      <c r="Z113" s="190"/>
      <c r="AA113" s="192"/>
      <c r="AB113" s="191">
        <f>AB112+AB102</f>
        <v>0</v>
      </c>
      <c r="AC113" s="192"/>
      <c r="AD113" s="191">
        <f>AD112+AD102</f>
        <v>38.873116479999993</v>
      </c>
      <c r="AE113" s="170"/>
      <c r="AF113" s="171">
        <f>D113+F113+H113+J113+AD113+AB113</f>
        <v>250014.25627772007</v>
      </c>
      <c r="AH113" s="216"/>
    </row>
    <row r="114" spans="1:35" ht="13">
      <c r="A114" s="193" t="s">
        <v>31</v>
      </c>
      <c r="B114" s="194"/>
      <c r="C114" s="195"/>
      <c r="D114" s="196">
        <f>AF114*D117</f>
        <v>0</v>
      </c>
      <c r="E114" s="195"/>
      <c r="F114" s="196">
        <f>F113*F117</f>
        <v>0</v>
      </c>
      <c r="G114" s="195"/>
      <c r="H114" s="196">
        <f>H113*H117</f>
        <v>0</v>
      </c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6"/>
      <c r="W114" s="196"/>
      <c r="X114" s="196"/>
      <c r="Y114" s="196"/>
      <c r="Z114" s="196"/>
      <c r="AA114" s="195"/>
      <c r="AB114" s="196">
        <f>AB113*AB117</f>
        <v>0</v>
      </c>
      <c r="AC114" s="195"/>
      <c r="AD114" s="196">
        <f>AD113*AD117</f>
        <v>0.38873116479999992</v>
      </c>
      <c r="AE114" s="162"/>
      <c r="AF114" s="163"/>
      <c r="AH114" s="216"/>
    </row>
    <row r="115" spans="1:35" ht="14" thickBot="1">
      <c r="A115" s="197" t="s">
        <v>34</v>
      </c>
      <c r="B115" s="198"/>
      <c r="C115" s="199"/>
      <c r="D115" s="200">
        <f>D114+D113</f>
        <v>137119.30722820002</v>
      </c>
      <c r="E115" s="199"/>
      <c r="F115" s="200">
        <f>F114+F113</f>
        <v>1.6290450000000001</v>
      </c>
      <c r="G115" s="199"/>
      <c r="H115" s="200">
        <f>H114+H113</f>
        <v>112854.44688804002</v>
      </c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200"/>
      <c r="W115" s="200"/>
      <c r="X115" s="200"/>
      <c r="Y115" s="200"/>
      <c r="Z115" s="200"/>
      <c r="AA115" s="199"/>
      <c r="AB115" s="200">
        <f>AB114+AB113</f>
        <v>0</v>
      </c>
      <c r="AC115" s="200"/>
      <c r="AD115" s="200">
        <f t="shared" ref="AD115" si="68">AD114+AD113</f>
        <v>39.261847644799992</v>
      </c>
      <c r="AE115" s="166"/>
      <c r="AF115" s="167">
        <f>AF113+AF114</f>
        <v>250014.25627772007</v>
      </c>
      <c r="AH115" s="216"/>
    </row>
    <row r="116" spans="1:35" ht="13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117"/>
      <c r="AH116" s="119"/>
    </row>
    <row r="117" spans="1:35" ht="13">
      <c r="A117" s="116"/>
      <c r="B117" s="3"/>
      <c r="C117" s="116"/>
      <c r="D117" s="120"/>
      <c r="E117" s="116"/>
      <c r="F117" s="120"/>
      <c r="G117" s="116"/>
      <c r="H117" s="120"/>
      <c r="I117" s="116"/>
      <c r="J117" s="116"/>
      <c r="K117" s="116"/>
      <c r="L117" s="116"/>
      <c r="M117" s="116"/>
      <c r="N117" s="116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116"/>
      <c r="AB117" s="120"/>
      <c r="AC117" s="116"/>
      <c r="AD117" s="120">
        <v>0.01</v>
      </c>
      <c r="AE117" s="118"/>
      <c r="AF117" s="3"/>
      <c r="AH117" s="216"/>
    </row>
    <row r="118" spans="1:35" ht="1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128"/>
      <c r="AH118" s="119"/>
      <c r="AI118" s="148"/>
    </row>
    <row r="119" spans="1:35" ht="13">
      <c r="A119" s="3"/>
      <c r="B119" s="3"/>
      <c r="C119" s="3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117"/>
      <c r="AH119" s="123"/>
    </row>
    <row r="120" spans="1:35" ht="13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4"/>
      <c r="AH120" s="119"/>
    </row>
    <row r="121" spans="1:35" ht="13">
      <c r="A121" s="3"/>
      <c r="B121" s="217"/>
      <c r="C121" s="3"/>
      <c r="D121" s="145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3"/>
      <c r="AF121" s="4"/>
      <c r="AI121" s="147"/>
    </row>
    <row r="122" spans="1:35" ht="13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117"/>
      <c r="AI122" s="147"/>
    </row>
    <row r="123" spans="1:35" ht="13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128"/>
    </row>
    <row r="124" spans="1:35" ht="13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5" ht="13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4"/>
    </row>
    <row r="126" spans="1:35" ht="13">
      <c r="A126" s="3"/>
      <c r="B126" s="217"/>
      <c r="C126" s="3"/>
      <c r="D126" s="14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5" ht="13">
      <c r="A127" s="3"/>
      <c r="B127" s="217"/>
      <c r="C127" s="3"/>
      <c r="D127" s="14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128"/>
    </row>
    <row r="128" spans="1:35">
      <c r="B128" s="145"/>
      <c r="D128" s="145"/>
    </row>
    <row r="129" spans="2:32">
      <c r="B129" s="145"/>
      <c r="D129" s="145"/>
      <c r="AF129" s="151"/>
    </row>
    <row r="130" spans="2:32">
      <c r="D130" s="145"/>
    </row>
    <row r="131" spans="2:32">
      <c r="D131" s="145"/>
      <c r="AF131" s="119"/>
    </row>
    <row r="132" spans="2:32">
      <c r="D132" s="145"/>
    </row>
    <row r="133" spans="2:32">
      <c r="D133" s="145"/>
      <c r="AD133" s="119"/>
      <c r="AF133" s="119"/>
    </row>
    <row r="134" spans="2:32">
      <c r="D134" s="145"/>
    </row>
    <row r="135" spans="2:32">
      <c r="D135" s="145"/>
      <c r="AF135" s="119"/>
    </row>
    <row r="136" spans="2:32">
      <c r="D136" s="145"/>
    </row>
    <row r="137" spans="2:32">
      <c r="D137" s="145"/>
    </row>
    <row r="138" spans="2:32">
      <c r="D138" s="145"/>
    </row>
    <row r="139" spans="2:32">
      <c r="D139" s="145"/>
    </row>
    <row r="140" spans="2:32">
      <c r="D140" s="145"/>
    </row>
    <row r="141" spans="2:32">
      <c r="D141" s="145"/>
    </row>
    <row r="142" spans="2:32">
      <c r="D142" s="145"/>
    </row>
    <row r="143" spans="2:32">
      <c r="D143" s="145"/>
    </row>
    <row r="144" spans="2:32">
      <c r="D144" s="145"/>
    </row>
    <row r="145" spans="4:4">
      <c r="D145" s="145"/>
    </row>
    <row r="146" spans="4:4">
      <c r="D146" s="145"/>
    </row>
    <row r="147" spans="4:4">
      <c r="D147" s="145"/>
    </row>
    <row r="148" spans="4:4">
      <c r="D148" s="145"/>
    </row>
    <row r="149" spans="4:4">
      <c r="D149" s="145"/>
    </row>
    <row r="150" spans="4:4">
      <c r="D150" s="145"/>
    </row>
    <row r="151" spans="4:4">
      <c r="D151" s="145"/>
    </row>
  </sheetData>
  <mergeCells count="29">
    <mergeCell ref="AC6:AD6"/>
    <mergeCell ref="Q6:R6"/>
    <mergeCell ref="S6:T6"/>
    <mergeCell ref="U6:V6"/>
    <mergeCell ref="W6:X6"/>
    <mergeCell ref="Y6:Z6"/>
    <mergeCell ref="AA6:AB6"/>
    <mergeCell ref="Y2:Z5"/>
    <mergeCell ref="AA2:AB5"/>
    <mergeCell ref="AC2:AD5"/>
    <mergeCell ref="C6:D6"/>
    <mergeCell ref="E6:F6"/>
    <mergeCell ref="G6:H6"/>
    <mergeCell ref="I6:J6"/>
    <mergeCell ref="K6:L6"/>
    <mergeCell ref="M6:N6"/>
    <mergeCell ref="O6:P6"/>
    <mergeCell ref="M2:N5"/>
    <mergeCell ref="O2:P5"/>
    <mergeCell ref="Q2:R5"/>
    <mergeCell ref="S2:T5"/>
    <mergeCell ref="U2:V5"/>
    <mergeCell ref="W2:X5"/>
    <mergeCell ref="K2:L5"/>
    <mergeCell ref="A2:A3"/>
    <mergeCell ref="C2:D5"/>
    <mergeCell ref="E2:F5"/>
    <mergeCell ref="G2:H5"/>
    <mergeCell ref="I2:J5"/>
  </mergeCells>
  <printOptions horizontalCentered="1" verticalCentered="1"/>
  <pageMargins left="0.25" right="0.25" top="0.25" bottom="0.25" header="0.5" footer="0.5"/>
  <pageSetup paperSize="3" scale="67" orientation="landscape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Building 508</vt:lpstr>
      <vt:lpstr>Building 508 Split</vt:lpstr>
      <vt:lpstr>Sheet2</vt:lpstr>
    </vt:vector>
  </TitlesOfParts>
  <Company>STEP,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Eric Coffie</cp:lastModifiedBy>
  <cp:lastPrinted>2018-11-29T23:54:31Z</cp:lastPrinted>
  <dcterms:created xsi:type="dcterms:W3CDTF">2007-04-19T17:12:01Z</dcterms:created>
  <dcterms:modified xsi:type="dcterms:W3CDTF">2018-11-29T23:54:44Z</dcterms:modified>
</cp:coreProperties>
</file>