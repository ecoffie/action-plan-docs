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G:\Freshica\Contract\Stair Bldg 410\"/>
    </mc:Choice>
  </mc:AlternateContent>
  <bookViews>
    <workbookView xWindow="555" yWindow="555" windowWidth="24240" windowHeight="13740" tabRatio="500"/>
  </bookViews>
  <sheets>
    <sheet name="Est FINAL 0929" sheetId="1" r:id="rId1"/>
  </sheets>
  <externalReferences>
    <externalReference r:id="rId2"/>
  </externalReferences>
  <definedNames>
    <definedName name="_xlnm.Print_Area" localSheetId="0">'Est FINAL 0929'!$A$1:$N$54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47" i="1" l="1"/>
  <c r="P45" i="1"/>
  <c r="P40" i="1"/>
  <c r="P41" i="1" s="1"/>
  <c r="P48" i="1" l="1"/>
  <c r="M37" i="1"/>
  <c r="M42" i="1"/>
  <c r="J42" i="1"/>
  <c r="L42" i="1"/>
  <c r="J41" i="1"/>
  <c r="L41" i="1"/>
  <c r="J40" i="1"/>
  <c r="L40" i="1"/>
  <c r="N40" i="1" s="1"/>
  <c r="J39" i="1"/>
  <c r="L39" i="1"/>
  <c r="J38" i="1"/>
  <c r="L38" i="1"/>
  <c r="J37" i="1"/>
  <c r="L37" i="1"/>
  <c r="J36" i="1"/>
  <c r="L36" i="1"/>
  <c r="N36" i="1" s="1"/>
  <c r="J35" i="1"/>
  <c r="N35" i="1" s="1"/>
  <c r="L35" i="1"/>
  <c r="J34" i="1"/>
  <c r="L34" i="1"/>
  <c r="H33" i="1"/>
  <c r="J33" i="1" s="1"/>
  <c r="J32" i="1"/>
  <c r="L32" i="1"/>
  <c r="J31" i="1"/>
  <c r="L31" i="1"/>
  <c r="H30" i="1"/>
  <c r="J30" i="1" s="1"/>
  <c r="L30" i="1"/>
  <c r="J29" i="1"/>
  <c r="N29" i="1" s="1"/>
  <c r="L29" i="1"/>
  <c r="J28" i="1"/>
  <c r="L28" i="1"/>
  <c r="J27" i="1"/>
  <c r="L27" i="1"/>
  <c r="J26" i="1"/>
  <c r="L26" i="1"/>
  <c r="J25" i="1"/>
  <c r="L25" i="1"/>
  <c r="H24" i="1"/>
  <c r="L24" i="1" s="1"/>
  <c r="J23" i="1"/>
  <c r="L23" i="1"/>
  <c r="J22" i="1"/>
  <c r="L22" i="1"/>
  <c r="J21" i="1"/>
  <c r="N21" i="1" s="1"/>
  <c r="L21" i="1"/>
  <c r="L20" i="1"/>
  <c r="N20" i="1" s="1"/>
  <c r="J19" i="1"/>
  <c r="L19" i="1"/>
  <c r="N19" i="1" s="1"/>
  <c r="J18" i="1"/>
  <c r="L18" i="1"/>
  <c r="J17" i="1"/>
  <c r="L17" i="1"/>
  <c r="J16" i="1"/>
  <c r="L16" i="1"/>
  <c r="J15" i="1"/>
  <c r="L15" i="1"/>
  <c r="N15" i="1" s="1"/>
  <c r="H14" i="1"/>
  <c r="J14" i="1" s="1"/>
  <c r="L14" i="1"/>
  <c r="H13" i="1"/>
  <c r="L13" i="1" s="1"/>
  <c r="N13" i="1" s="1"/>
  <c r="J12" i="1"/>
  <c r="L12" i="1"/>
  <c r="J11" i="1"/>
  <c r="L11" i="1"/>
  <c r="M43" i="1" l="1"/>
  <c r="N37" i="1"/>
  <c r="N39" i="1"/>
  <c r="N41" i="1"/>
  <c r="N11" i="1"/>
  <c r="N26" i="1"/>
  <c r="N28" i="1"/>
  <c r="N34" i="1"/>
  <c r="N16" i="1"/>
  <c r="N18" i="1"/>
  <c r="N14" i="1"/>
  <c r="N17" i="1"/>
  <c r="N25" i="1"/>
  <c r="N30" i="1"/>
  <c r="N32" i="1"/>
  <c r="N38" i="1"/>
  <c r="N23" i="1"/>
  <c r="N27" i="1"/>
  <c r="N31" i="1"/>
  <c r="N42" i="1"/>
  <c r="N12" i="1"/>
  <c r="N22" i="1"/>
  <c r="J24" i="1"/>
  <c r="N24" i="1" s="1"/>
  <c r="L33" i="1"/>
  <c r="N33" i="1" s="1"/>
  <c r="N43" i="1" l="1"/>
  <c r="N44" i="1" s="1"/>
  <c r="N45" i="1" s="1"/>
  <c r="N47" i="1" s="1"/>
  <c r="N48" i="1" s="1"/>
  <c r="N5" i="1" l="1"/>
  <c r="N49" i="1"/>
  <c r="P49" i="1" l="1"/>
  <c r="N50" i="1"/>
  <c r="N52" i="1"/>
  <c r="N53" i="1" s="1"/>
</calcChain>
</file>

<file path=xl/sharedStrings.xml><?xml version="1.0" encoding="utf-8"?>
<sst xmlns="http://schemas.openxmlformats.org/spreadsheetml/2006/main" count="100" uniqueCount="75">
  <si>
    <t>CONSTRUCTION COST ESTIMATE BREAKDOWN</t>
  </si>
  <si>
    <t>CONTRACTOR</t>
  </si>
  <si>
    <t>ADDRESS</t>
  </si>
  <si>
    <t>ISSUED BY/OWNER:</t>
  </si>
  <si>
    <t>Toole Corp</t>
  </si>
  <si>
    <t>HOMESTEAD AIR FORCE RESERVE BASE</t>
  </si>
  <si>
    <t>29050 CORAL SEA BLVD, HOMESTEAD, FL 33039</t>
  </si>
  <si>
    <t>RE:</t>
  </si>
  <si>
    <t>ESTIMATE DATE</t>
  </si>
  <si>
    <t>PROPOSED TOTAL CONTRACT PRICE</t>
  </si>
  <si>
    <t>Repair Stairwell Bldg 410</t>
  </si>
  <si>
    <t>SOLICITATION/PURCHASE REQUEST NUMBER</t>
  </si>
  <si>
    <t>PROJECT NUMBER</t>
  </si>
  <si>
    <t>WORK LOCATION</t>
  </si>
  <si>
    <t>KYJM 11-9032</t>
  </si>
  <si>
    <t>MATERIAL COST</t>
  </si>
  <si>
    <t>LABOR COST</t>
  </si>
  <si>
    <t>LINE NO.</t>
  </si>
  <si>
    <t>ITEM</t>
  </si>
  <si>
    <t>UNIT OF MEASURE</t>
  </si>
  <si>
    <t>QTY</t>
  </si>
  <si>
    <t>UNIT</t>
  </si>
  <si>
    <t>TOTAL</t>
  </si>
  <si>
    <t>AVERAGE RATE</t>
  </si>
  <si>
    <t>OTHER DIR COST</t>
  </si>
  <si>
    <t>LINE TOTAL</t>
  </si>
  <si>
    <t>Mobilization and General Expenses</t>
  </si>
  <si>
    <t>LS</t>
  </si>
  <si>
    <t>Dumpster and Dump Fees, 30 CY, 1 Dump/ Wk</t>
  </si>
  <si>
    <t>EA</t>
  </si>
  <si>
    <t>On-Site Superintendent (Incl Per Diem)</t>
  </si>
  <si>
    <t>HR</t>
  </si>
  <si>
    <t>Off-Site Supervisor</t>
  </si>
  <si>
    <t>Geotechnical Investigation</t>
  </si>
  <si>
    <t>JOB</t>
  </si>
  <si>
    <t>Site work (landing/sidewalk)</t>
  </si>
  <si>
    <t>Concrete Landing/Sidewalk (w/ vapor barrier)</t>
  </si>
  <si>
    <t>CY</t>
  </si>
  <si>
    <t>Wall/window demolition</t>
  </si>
  <si>
    <t>Carpentry (handrails, fixtures, hardware, etc.)</t>
  </si>
  <si>
    <t>Material storage</t>
  </si>
  <si>
    <t>Relocate electric</t>
  </si>
  <si>
    <t>Misc CMU wall repair</t>
  </si>
  <si>
    <t>Temporary Cover Protection</t>
  </si>
  <si>
    <t>CMU Waterproofing</t>
  </si>
  <si>
    <t>SF</t>
  </si>
  <si>
    <t>Fabricate Stairwell (incl wire fabric panels west stairs)</t>
  </si>
  <si>
    <t>Erect/Install Stairwell (incl wire fabric panels west stairs)</t>
  </si>
  <si>
    <t>Paint Stairwells (incl fabric panels on west)</t>
  </si>
  <si>
    <t>Rubber Wall Base</t>
  </si>
  <si>
    <t>LF</t>
  </si>
  <si>
    <t>Remove/replace Carpet</t>
  </si>
  <si>
    <t>SY</t>
  </si>
  <si>
    <t>Replace ACT</t>
  </si>
  <si>
    <t>Replace Drywall</t>
  </si>
  <si>
    <t>Texture Walls</t>
  </si>
  <si>
    <t>Paint Walls</t>
  </si>
  <si>
    <t>Install Vannity Fixtures (only)</t>
  </si>
  <si>
    <t>Extra Vannity Fixtures</t>
  </si>
  <si>
    <t>Install Emergency Access Doors (incl hardware)</t>
  </si>
  <si>
    <t xml:space="preserve">Electrical Matl + Install (pull stations, mass notification, emerg lights) </t>
  </si>
  <si>
    <t xml:space="preserve">Repair SOD </t>
  </si>
  <si>
    <t>Project Manager</t>
  </si>
  <si>
    <t>Days</t>
  </si>
  <si>
    <t>Architect (Construction phase)</t>
  </si>
  <si>
    <t>MEP Engineer (Construction phase)</t>
  </si>
  <si>
    <t>MEP Expenses</t>
  </si>
  <si>
    <t>GRAND SUBTOTAL</t>
  </si>
  <si>
    <t>Overhead</t>
  </si>
  <si>
    <t>Subtotal</t>
  </si>
  <si>
    <t>Profit</t>
  </si>
  <si>
    <t>Grand Total</t>
  </si>
  <si>
    <t>A/E</t>
  </si>
  <si>
    <t>Bonding</t>
  </si>
  <si>
    <t>Building 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</si>
</sst>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000_);_(* \(#,##0.00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</font>
    <font>
      <sz val="11"/>
      <name val="Arial"/>
    </font>
    <font>
      <b/>
      <sz val="10"/>
      <name val="Arial"/>
    </font>
    <font>
      <b/>
      <sz val="11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1" xfId="2" applyFont="1" applyBorder="1"/>
    <xf numFmtId="0" fontId="2" fillId="0" borderId="2" xfId="2" applyFont="1" applyBorder="1"/>
    <xf numFmtId="0" fontId="2" fillId="0" borderId="3" xfId="2" applyFont="1" applyBorder="1"/>
    <xf numFmtId="0" fontId="2" fillId="0" borderId="4" xfId="2" applyFont="1" applyBorder="1"/>
    <xf numFmtId="0" fontId="3" fillId="0" borderId="0" xfId="2" applyFont="1"/>
    <xf numFmtId="0" fontId="4" fillId="0" borderId="5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0" xfId="2" applyFont="1"/>
    <xf numFmtId="0" fontId="4" fillId="0" borderId="5" xfId="2" applyFont="1" applyBorder="1"/>
    <xf numFmtId="0" fontId="2" fillId="0" borderId="0" xfId="2" applyFont="1" applyBorder="1"/>
    <xf numFmtId="0" fontId="2" fillId="0" borderId="6" xfId="2" applyFont="1" applyBorder="1"/>
    <xf numFmtId="0" fontId="2" fillId="0" borderId="7" xfId="2" applyFont="1" applyBorder="1"/>
    <xf numFmtId="0" fontId="2" fillId="0" borderId="8" xfId="2" applyFont="1" applyBorder="1"/>
    <xf numFmtId="0" fontId="2" fillId="0" borderId="4" xfId="2" applyFont="1" applyBorder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9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2" fillId="0" borderId="9" xfId="2" applyFont="1" applyBorder="1"/>
    <xf numFmtId="14" fontId="2" fillId="0" borderId="7" xfId="2" applyNumberFormat="1" applyFont="1" applyBorder="1"/>
    <xf numFmtId="44" fontId="2" fillId="0" borderId="8" xfId="2" applyNumberFormat="1" applyFont="1" applyBorder="1"/>
    <xf numFmtId="0" fontId="2" fillId="0" borderId="11" xfId="2" applyFont="1" applyBorder="1"/>
    <xf numFmtId="0" fontId="2" fillId="0" borderId="5" xfId="2" applyFont="1" applyBorder="1"/>
    <xf numFmtId="0" fontId="2" fillId="0" borderId="13" xfId="2" applyFont="1" applyBorder="1" applyAlignment="1">
      <alignment vertical="center" wrapText="1"/>
    </xf>
    <xf numFmtId="0" fontId="2" fillId="0" borderId="6" xfId="2" applyFont="1" applyBorder="1" applyAlignment="1">
      <alignment vertical="center" wrapText="1"/>
    </xf>
    <xf numFmtId="0" fontId="2" fillId="0" borderId="8" xfId="2" applyFont="1" applyBorder="1" applyAlignment="1">
      <alignment vertical="center" wrapText="1"/>
    </xf>
    <xf numFmtId="0" fontId="2" fillId="0" borderId="10" xfId="2" applyFont="1" applyBorder="1" applyAlignment="1">
      <alignment vertical="center" wrapText="1"/>
    </xf>
    <xf numFmtId="0" fontId="2" fillId="0" borderId="14" xfId="2" applyFont="1" applyBorder="1" applyAlignment="1">
      <alignment vertical="center" wrapText="1"/>
    </xf>
    <xf numFmtId="0" fontId="3" fillId="0" borderId="0" xfId="2" applyFont="1" applyAlignment="1">
      <alignment wrapText="1"/>
    </xf>
    <xf numFmtId="0" fontId="2" fillId="0" borderId="15" xfId="2" applyFont="1" applyBorder="1"/>
    <xf numFmtId="0" fontId="4" fillId="0" borderId="1" xfId="2" applyFont="1" applyBorder="1"/>
    <xf numFmtId="43" fontId="2" fillId="0" borderId="2" xfId="3" applyNumberFormat="1" applyFont="1" applyBorder="1"/>
    <xf numFmtId="43" fontId="2" fillId="0" borderId="2" xfId="2" applyNumberFormat="1" applyFont="1" applyBorder="1"/>
    <xf numFmtId="44" fontId="2" fillId="0" borderId="12" xfId="2" applyNumberFormat="1" applyFont="1" applyBorder="1"/>
    <xf numFmtId="0" fontId="2" fillId="0" borderId="13" xfId="2" applyFont="1" applyBorder="1"/>
    <xf numFmtId="43" fontId="2" fillId="0" borderId="13" xfId="3" applyNumberFormat="1" applyFont="1" applyBorder="1"/>
    <xf numFmtId="43" fontId="2" fillId="0" borderId="13" xfId="2" applyNumberFormat="1" applyFont="1" applyBorder="1"/>
    <xf numFmtId="43" fontId="2" fillId="0" borderId="13" xfId="4" applyFont="1" applyBorder="1"/>
    <xf numFmtId="44" fontId="2" fillId="0" borderId="15" xfId="2" applyNumberFormat="1" applyFont="1" applyFill="1" applyBorder="1"/>
    <xf numFmtId="43" fontId="2" fillId="0" borderId="15" xfId="3" applyNumberFormat="1" applyFont="1" applyBorder="1"/>
    <xf numFmtId="43" fontId="2" fillId="0" borderId="15" xfId="2" applyNumberFormat="1" applyFont="1" applyBorder="1"/>
    <xf numFmtId="43" fontId="2" fillId="0" borderId="15" xfId="4" applyFont="1" applyBorder="1"/>
    <xf numFmtId="44" fontId="3" fillId="0" borderId="0" xfId="2" applyNumberFormat="1" applyFont="1"/>
    <xf numFmtId="0" fontId="2" fillId="0" borderId="1" xfId="2" applyFont="1" applyFill="1" applyBorder="1"/>
    <xf numFmtId="0" fontId="2" fillId="0" borderId="6" xfId="2" applyFont="1" applyFill="1" applyBorder="1"/>
    <xf numFmtId="0" fontId="2" fillId="0" borderId="8" xfId="2" applyFont="1" applyFill="1" applyBorder="1"/>
    <xf numFmtId="0" fontId="2" fillId="0" borderId="15" xfId="2" applyFont="1" applyFill="1" applyBorder="1"/>
    <xf numFmtId="43" fontId="2" fillId="0" borderId="15" xfId="3" applyNumberFormat="1" applyFont="1" applyFill="1" applyBorder="1"/>
    <xf numFmtId="43" fontId="2" fillId="0" borderId="15" xfId="2" applyNumberFormat="1" applyFont="1" applyFill="1" applyBorder="1"/>
    <xf numFmtId="43" fontId="2" fillId="0" borderId="15" xfId="4" applyFont="1" applyFill="1" applyBorder="1"/>
    <xf numFmtId="0" fontId="3" fillId="0" borderId="0" xfId="2" applyFont="1" applyFill="1"/>
    <xf numFmtId="0" fontId="2" fillId="0" borderId="7" xfId="2" applyFont="1" applyFill="1" applyBorder="1"/>
    <xf numFmtId="43" fontId="3" fillId="0" borderId="0" xfId="4" applyFont="1" applyFill="1"/>
    <xf numFmtId="44" fontId="3" fillId="0" borderId="0" xfId="2" applyNumberFormat="1" applyFont="1" applyFill="1"/>
    <xf numFmtId="44" fontId="2" fillId="0" borderId="15" xfId="2" applyNumberFormat="1" applyFont="1" applyBorder="1"/>
    <xf numFmtId="0" fontId="2" fillId="0" borderId="13" xfId="2" applyFont="1" applyFill="1" applyBorder="1"/>
    <xf numFmtId="43" fontId="2" fillId="0" borderId="13" xfId="3" applyNumberFormat="1" applyFont="1" applyFill="1" applyBorder="1"/>
    <xf numFmtId="43" fontId="2" fillId="0" borderId="13" xfId="2" applyNumberFormat="1" applyFont="1" applyFill="1" applyBorder="1"/>
    <xf numFmtId="43" fontId="2" fillId="0" borderId="13" xfId="4" applyFont="1" applyFill="1" applyBorder="1"/>
    <xf numFmtId="0" fontId="4" fillId="0" borderId="15" xfId="2" applyFont="1" applyBorder="1"/>
    <xf numFmtId="0" fontId="4" fillId="0" borderId="6" xfId="2" applyFont="1" applyBorder="1"/>
    <xf numFmtId="0" fontId="4" fillId="0" borderId="8" xfId="2" applyFont="1" applyBorder="1"/>
    <xf numFmtId="0" fontId="4" fillId="0" borderId="13" xfId="2" applyFont="1" applyBorder="1"/>
    <xf numFmtId="43" fontId="4" fillId="0" borderId="13" xfId="2" applyNumberFormat="1" applyFont="1" applyBorder="1"/>
    <xf numFmtId="44" fontId="4" fillId="0" borderId="13" xfId="2" applyNumberFormat="1" applyFont="1" applyBorder="1"/>
    <xf numFmtId="0" fontId="5" fillId="0" borderId="0" xfId="2" applyFont="1"/>
    <xf numFmtId="44" fontId="5" fillId="0" borderId="0" xfId="1" applyFont="1"/>
    <xf numFmtId="164" fontId="2" fillId="0" borderId="0" xfId="5" applyNumberFormat="1" applyFont="1"/>
    <xf numFmtId="44" fontId="2" fillId="0" borderId="0" xfId="2" applyNumberFormat="1" applyFont="1"/>
    <xf numFmtId="44" fontId="3" fillId="0" borderId="0" xfId="1" applyFont="1"/>
    <xf numFmtId="0" fontId="4" fillId="0" borderId="0" xfId="2" applyFont="1"/>
    <xf numFmtId="44" fontId="4" fillId="0" borderId="0" xfId="2" applyNumberFormat="1" applyFont="1"/>
    <xf numFmtId="9" fontId="2" fillId="0" borderId="0" xfId="2" applyNumberFormat="1" applyFont="1" applyBorder="1"/>
    <xf numFmtId="44" fontId="2" fillId="0" borderId="0" xfId="2" applyNumberFormat="1" applyFont="1" applyBorder="1"/>
    <xf numFmtId="164" fontId="2" fillId="0" borderId="0" xfId="5" applyNumberFormat="1" applyFont="1" applyBorder="1"/>
    <xf numFmtId="44" fontId="2" fillId="0" borderId="6" xfId="2" applyNumberFormat="1" applyFont="1" applyBorder="1"/>
    <xf numFmtId="43" fontId="3" fillId="0" borderId="0" xfId="2" applyNumberFormat="1" applyFont="1"/>
    <xf numFmtId="10" fontId="2" fillId="0" borderId="0" xfId="5" applyNumberFormat="1" applyFont="1"/>
    <xf numFmtId="165" fontId="3" fillId="2" borderId="0" xfId="6" applyNumberFormat="1" applyFont="1" applyFill="1" applyAlignment="1">
      <alignment wrapText="1"/>
    </xf>
    <xf numFmtId="44" fontId="3" fillId="3" borderId="0" xfId="2" applyNumberFormat="1" applyFont="1" applyFill="1"/>
    <xf numFmtId="0" fontId="2" fillId="0" borderId="1" xfId="2" applyFont="1" applyBorder="1" applyAlignment="1">
      <alignment horizontal="center"/>
    </xf>
    <xf numFmtId="0" fontId="2" fillId="0" borderId="12" xfId="2" applyFont="1" applyBorder="1" applyAlignment="1">
      <alignment horizontal="center"/>
    </xf>
    <xf numFmtId="0" fontId="2" fillId="0" borderId="7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</cellXfs>
  <cellStyles count="7">
    <cellStyle name="Comma" xfId="6" builtinId="3"/>
    <cellStyle name="Comma 2" xfId="4"/>
    <cellStyle name="Currency" xfId="1" builtinId="4"/>
    <cellStyle name="Currency 2" xfId="3"/>
    <cellStyle name="Normal" xfId="0" builtinId="0"/>
    <cellStyle name="Normal 2" xfId="2"/>
    <cellStyle name="Percent 2" xf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urtis/AppData/Local/Temp/Repair%20Stairwell%20410%20AE%20Seperated%20Overal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imate"/>
      <sheetName val="Estimate #2"/>
      <sheetName val="Est #4 0919"/>
      <sheetName val="Est #3"/>
      <sheetName val="NOTES"/>
      <sheetName val="Est Freshica"/>
      <sheetName val="Overhead"/>
      <sheetName val="Est FINAL"/>
      <sheetName val="Engineer Fe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E14">
            <v>6548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3"/>
  <sheetViews>
    <sheetView tabSelected="1" topLeftCell="E31" zoomScale="80" zoomScaleNormal="80" workbookViewId="0">
      <selection activeCell="P48" sqref="P48"/>
    </sheetView>
  </sheetViews>
  <sheetFormatPr defaultColWidth="10.875" defaultRowHeight="15.75" customHeight="1" x14ac:dyDescent="0.2"/>
  <cols>
    <col min="1" max="1" width="8.125" style="5" customWidth="1"/>
    <col min="2" max="5" width="10.875" style="5"/>
    <col min="6" max="6" width="4.625" style="5" customWidth="1"/>
    <col min="7" max="7" width="9.375" style="5" customWidth="1"/>
    <col min="8" max="8" width="6.125" style="5" customWidth="1"/>
    <col min="9" max="9" width="10.875" style="5"/>
    <col min="10" max="10" width="11" style="5" customWidth="1"/>
    <col min="11" max="11" width="10.875" style="5"/>
    <col min="12" max="12" width="12.5" style="5" customWidth="1"/>
    <col min="13" max="13" width="11.625" style="5" bestFit="1" customWidth="1"/>
    <col min="14" max="14" width="16.5" style="5" customWidth="1"/>
    <col min="15" max="15" width="12.625" style="5" customWidth="1"/>
    <col min="16" max="16" width="13.125" style="5" bestFit="1" customWidth="1"/>
    <col min="17" max="17" width="13.125" style="5" customWidth="1"/>
    <col min="18" max="18" width="13.875" style="5" customWidth="1"/>
    <col min="19" max="19" width="15.75" style="5" customWidth="1"/>
    <col min="20" max="16384" width="10.875" style="5"/>
  </cols>
  <sheetData>
    <row r="1" spans="1:19" ht="15.75" customHeight="1" x14ac:dyDescent="0.2">
      <c r="A1" s="1"/>
      <c r="B1" s="2"/>
      <c r="C1" s="2"/>
      <c r="D1" s="2"/>
      <c r="E1" s="2"/>
      <c r="F1" s="2" t="s">
        <v>0</v>
      </c>
      <c r="G1" s="3"/>
      <c r="H1" s="3"/>
      <c r="I1" s="3"/>
      <c r="J1" s="3"/>
      <c r="K1" s="3"/>
      <c r="L1" s="3"/>
      <c r="M1" s="3"/>
      <c r="N1" s="4"/>
    </row>
    <row r="2" spans="1:19" ht="15.75" customHeight="1" x14ac:dyDescent="0.2">
      <c r="A2" s="6" t="s">
        <v>1</v>
      </c>
      <c r="B2" s="7"/>
      <c r="C2" s="7"/>
      <c r="D2" s="8" t="s">
        <v>2</v>
      </c>
      <c r="E2" s="7"/>
      <c r="F2" s="7"/>
      <c r="G2" s="9" t="s">
        <v>3</v>
      </c>
      <c r="H2" s="3"/>
      <c r="I2" s="3"/>
      <c r="J2" s="3"/>
      <c r="K2" s="3"/>
      <c r="L2" s="3"/>
      <c r="M2" s="3"/>
      <c r="N2" s="4"/>
    </row>
    <row r="3" spans="1:19" ht="15.75" customHeight="1" x14ac:dyDescent="0.2">
      <c r="A3" s="8" t="s">
        <v>4</v>
      </c>
      <c r="B3" s="10"/>
      <c r="C3" s="10"/>
      <c r="D3" s="8"/>
      <c r="E3" s="11"/>
      <c r="F3" s="11"/>
      <c r="G3" s="12" t="s">
        <v>5</v>
      </c>
      <c r="H3" s="11"/>
      <c r="I3" s="11"/>
      <c r="J3" s="11"/>
      <c r="K3" s="11"/>
      <c r="L3" s="11" t="s">
        <v>6</v>
      </c>
      <c r="M3" s="11"/>
      <c r="N3" s="13"/>
    </row>
    <row r="4" spans="1:19" ht="15.75" customHeight="1" x14ac:dyDescent="0.2">
      <c r="A4" s="9" t="s">
        <v>7</v>
      </c>
      <c r="B4" s="7"/>
      <c r="C4" s="7"/>
      <c r="D4" s="14"/>
      <c r="E4" s="6" t="s">
        <v>8</v>
      </c>
      <c r="F4" s="7"/>
      <c r="G4" s="15"/>
      <c r="H4" s="15"/>
      <c r="I4" s="16"/>
      <c r="J4" s="17" t="s">
        <v>9</v>
      </c>
      <c r="K4" s="15"/>
      <c r="L4" s="10"/>
      <c r="M4" s="10"/>
      <c r="N4" s="18"/>
    </row>
    <row r="5" spans="1:19" ht="15.75" customHeight="1" x14ac:dyDescent="0.2">
      <c r="A5" s="12" t="s">
        <v>10</v>
      </c>
      <c r="B5" s="11"/>
      <c r="C5" s="11"/>
      <c r="D5" s="13"/>
      <c r="E5" s="19">
        <v>41174</v>
      </c>
      <c r="F5" s="11"/>
      <c r="G5" s="11"/>
      <c r="H5" s="11"/>
      <c r="I5" s="13"/>
      <c r="J5" s="12"/>
      <c r="K5" s="11"/>
      <c r="L5" s="11"/>
      <c r="M5" s="11"/>
      <c r="N5" s="20">
        <f>N48</f>
        <v>308023.91235</v>
      </c>
    </row>
    <row r="6" spans="1:19" ht="15.75" customHeight="1" x14ac:dyDescent="0.2">
      <c r="A6" s="6" t="s">
        <v>11</v>
      </c>
      <c r="B6" s="7"/>
      <c r="C6" s="7"/>
      <c r="D6" s="7"/>
      <c r="E6" s="7"/>
      <c r="F6" s="14"/>
      <c r="G6" s="6" t="s">
        <v>12</v>
      </c>
      <c r="H6" s="7"/>
      <c r="I6" s="14"/>
      <c r="J6" s="6" t="s">
        <v>13</v>
      </c>
      <c r="K6" s="3"/>
      <c r="L6" s="3"/>
      <c r="M6" s="3"/>
      <c r="N6" s="4"/>
    </row>
    <row r="7" spans="1:19" ht="15.75" customHeight="1" x14ac:dyDescent="0.2">
      <c r="A7" s="12"/>
      <c r="B7" s="11"/>
      <c r="C7" s="11"/>
      <c r="D7" s="11"/>
      <c r="E7" s="11"/>
      <c r="F7" s="13"/>
      <c r="G7" s="12" t="s">
        <v>14</v>
      </c>
      <c r="H7" s="11"/>
      <c r="I7" s="13"/>
      <c r="J7" s="12" t="s">
        <v>5</v>
      </c>
      <c r="K7" s="11"/>
      <c r="L7" s="11"/>
      <c r="M7" s="11"/>
      <c r="N7" s="13"/>
    </row>
    <row r="8" spans="1:19" ht="15.75" customHeight="1" x14ac:dyDescent="0.2">
      <c r="A8" s="21"/>
      <c r="B8" s="22"/>
      <c r="C8" s="3"/>
      <c r="D8" s="3"/>
      <c r="E8" s="3"/>
      <c r="F8" s="4"/>
      <c r="G8" s="10"/>
      <c r="H8" s="21"/>
      <c r="I8" s="80" t="s">
        <v>15</v>
      </c>
      <c r="J8" s="81"/>
      <c r="K8" s="80" t="s">
        <v>16</v>
      </c>
      <c r="L8" s="81"/>
      <c r="M8" s="21"/>
      <c r="N8" s="21"/>
    </row>
    <row r="9" spans="1:19" s="28" customFormat="1" ht="26.1" customHeight="1" x14ac:dyDescent="0.2">
      <c r="A9" s="23" t="s">
        <v>17</v>
      </c>
      <c r="B9" s="82" t="s">
        <v>18</v>
      </c>
      <c r="C9" s="83"/>
      <c r="D9" s="24"/>
      <c r="E9" s="24"/>
      <c r="F9" s="25"/>
      <c r="G9" s="26" t="s">
        <v>19</v>
      </c>
      <c r="H9" s="27" t="s">
        <v>20</v>
      </c>
      <c r="I9" s="27" t="s">
        <v>21</v>
      </c>
      <c r="J9" s="26" t="s">
        <v>22</v>
      </c>
      <c r="K9" s="27" t="s">
        <v>23</v>
      </c>
      <c r="L9" s="27" t="s">
        <v>22</v>
      </c>
      <c r="M9" s="27" t="s">
        <v>24</v>
      </c>
      <c r="N9" s="27" t="s">
        <v>25</v>
      </c>
      <c r="S9" s="78"/>
    </row>
    <row r="10" spans="1:19" ht="15.75" customHeight="1" x14ac:dyDescent="0.2">
      <c r="A10" s="29"/>
      <c r="B10" s="30" t="s">
        <v>74</v>
      </c>
      <c r="C10" s="11"/>
      <c r="D10" s="11"/>
      <c r="E10" s="11"/>
      <c r="F10" s="13"/>
      <c r="G10" s="21"/>
      <c r="H10" s="22"/>
      <c r="I10" s="2"/>
      <c r="J10" s="31"/>
      <c r="K10" s="2"/>
      <c r="L10" s="32"/>
      <c r="M10" s="2"/>
      <c r="N10" s="33"/>
      <c r="R10" s="50"/>
      <c r="S10" s="50"/>
    </row>
    <row r="11" spans="1:19" ht="15.75" customHeight="1" x14ac:dyDescent="0.2">
      <c r="A11" s="29">
        <v>1</v>
      </c>
      <c r="B11" s="1" t="s">
        <v>26</v>
      </c>
      <c r="C11" s="11"/>
      <c r="D11" s="11"/>
      <c r="E11" s="11"/>
      <c r="F11" s="13"/>
      <c r="G11" s="29" t="s">
        <v>27</v>
      </c>
      <c r="H11" s="29">
        <v>1</v>
      </c>
      <c r="I11" s="34">
        <v>2200</v>
      </c>
      <c r="J11" s="35">
        <f>H11*I11</f>
        <v>2200</v>
      </c>
      <c r="K11" s="34">
        <v>3870</v>
      </c>
      <c r="L11" s="36">
        <f t="shared" ref="L11:L42" si="0">H11*K11</f>
        <v>3870</v>
      </c>
      <c r="M11" s="37"/>
      <c r="N11" s="38">
        <f t="shared" ref="N11:N42" si="1">J11+L11+M11</f>
        <v>6070</v>
      </c>
      <c r="R11" s="53"/>
      <c r="S11" s="53"/>
    </row>
    <row r="12" spans="1:19" ht="15.75" customHeight="1" x14ac:dyDescent="0.2">
      <c r="A12" s="29">
        <v>2</v>
      </c>
      <c r="B12" s="1" t="s">
        <v>28</v>
      </c>
      <c r="C12" s="11"/>
      <c r="D12" s="11"/>
      <c r="E12" s="11"/>
      <c r="F12" s="13"/>
      <c r="G12" s="29" t="s">
        <v>29</v>
      </c>
      <c r="H12" s="29">
        <v>3</v>
      </c>
      <c r="I12" s="29">
        <v>495</v>
      </c>
      <c r="J12" s="39">
        <f>H12*I12</f>
        <v>1485</v>
      </c>
      <c r="K12" s="29"/>
      <c r="L12" s="40">
        <f t="shared" si="0"/>
        <v>0</v>
      </c>
      <c r="M12" s="41"/>
      <c r="N12" s="38">
        <f t="shared" si="1"/>
        <v>1485</v>
      </c>
      <c r="R12" s="53"/>
      <c r="S12" s="53"/>
    </row>
    <row r="13" spans="1:19" ht="15.75" customHeight="1" x14ac:dyDescent="0.2">
      <c r="A13" s="29">
        <v>3</v>
      </c>
      <c r="B13" s="1" t="s">
        <v>30</v>
      </c>
      <c r="C13" s="11"/>
      <c r="D13" s="11"/>
      <c r="E13" s="11"/>
      <c r="F13" s="13"/>
      <c r="G13" s="29" t="s">
        <v>31</v>
      </c>
      <c r="H13" s="29">
        <f>40*16</f>
        <v>640</v>
      </c>
      <c r="I13" s="29"/>
      <c r="J13" s="39"/>
      <c r="K13" s="29">
        <v>35</v>
      </c>
      <c r="L13" s="40">
        <f t="shared" si="0"/>
        <v>22400</v>
      </c>
      <c r="M13" s="41"/>
      <c r="N13" s="38">
        <f t="shared" si="1"/>
        <v>22400</v>
      </c>
      <c r="R13" s="53"/>
      <c r="S13" s="53"/>
    </row>
    <row r="14" spans="1:19" ht="15.75" customHeight="1" x14ac:dyDescent="0.2">
      <c r="A14" s="29">
        <v>4</v>
      </c>
      <c r="B14" s="1" t="s">
        <v>32</v>
      </c>
      <c r="C14" s="11"/>
      <c r="D14" s="11"/>
      <c r="E14" s="11"/>
      <c r="F14" s="13"/>
      <c r="G14" s="29" t="s">
        <v>31</v>
      </c>
      <c r="H14" s="29">
        <f>10*16</f>
        <v>160</v>
      </c>
      <c r="I14" s="29"/>
      <c r="J14" s="39">
        <f>H14*I14</f>
        <v>0</v>
      </c>
      <c r="K14" s="29">
        <v>27</v>
      </c>
      <c r="L14" s="40">
        <f t="shared" si="0"/>
        <v>4320</v>
      </c>
      <c r="M14" s="41"/>
      <c r="N14" s="38">
        <f t="shared" si="1"/>
        <v>4320</v>
      </c>
      <c r="O14" s="42"/>
      <c r="R14" s="53"/>
      <c r="S14" s="53"/>
    </row>
    <row r="15" spans="1:19" ht="15.75" customHeight="1" x14ac:dyDescent="0.2">
      <c r="A15" s="29">
        <v>5</v>
      </c>
      <c r="B15" s="1" t="s">
        <v>33</v>
      </c>
      <c r="C15" s="11"/>
      <c r="D15" s="11"/>
      <c r="E15" s="11"/>
      <c r="F15" s="13"/>
      <c r="G15" s="29" t="s">
        <v>34</v>
      </c>
      <c r="H15" s="29">
        <v>1</v>
      </c>
      <c r="I15" s="29"/>
      <c r="J15" s="39">
        <f t="shared" ref="J15:J42" si="2">H15*I15</f>
        <v>0</v>
      </c>
      <c r="K15" s="29">
        <v>0</v>
      </c>
      <c r="L15" s="40">
        <f t="shared" si="0"/>
        <v>0</v>
      </c>
      <c r="M15" s="41">
        <v>1400</v>
      </c>
      <c r="N15" s="38">
        <f t="shared" si="1"/>
        <v>1400</v>
      </c>
      <c r="O15" s="42"/>
      <c r="R15" s="53"/>
      <c r="S15" s="53"/>
    </row>
    <row r="16" spans="1:19" ht="15.75" customHeight="1" x14ac:dyDescent="0.2">
      <c r="A16" s="29">
        <v>6</v>
      </c>
      <c r="B16" s="1" t="s">
        <v>35</v>
      </c>
      <c r="C16" s="11"/>
      <c r="D16" s="11"/>
      <c r="E16" s="11"/>
      <c r="F16" s="13"/>
      <c r="G16" s="29" t="s">
        <v>34</v>
      </c>
      <c r="H16" s="29">
        <v>1</v>
      </c>
      <c r="I16" s="29"/>
      <c r="J16" s="39">
        <f t="shared" si="2"/>
        <v>0</v>
      </c>
      <c r="K16" s="29">
        <v>0</v>
      </c>
      <c r="L16" s="40">
        <f t="shared" si="0"/>
        <v>0</v>
      </c>
      <c r="M16" s="41">
        <v>15000</v>
      </c>
      <c r="N16" s="38">
        <f t="shared" si="1"/>
        <v>15000</v>
      </c>
      <c r="O16" s="42"/>
      <c r="R16" s="53"/>
      <c r="S16" s="53"/>
    </row>
    <row r="17" spans="1:19" s="50" customFormat="1" ht="15.75" customHeight="1" x14ac:dyDescent="0.2">
      <c r="A17" s="29">
        <v>7</v>
      </c>
      <c r="B17" s="43" t="s">
        <v>36</v>
      </c>
      <c r="C17" s="44"/>
      <c r="D17" s="44"/>
      <c r="E17" s="44"/>
      <c r="F17" s="45"/>
      <c r="G17" s="46" t="s">
        <v>37</v>
      </c>
      <c r="H17" s="46">
        <v>0</v>
      </c>
      <c r="I17" s="46">
        <v>250</v>
      </c>
      <c r="J17" s="47">
        <f t="shared" si="2"/>
        <v>0</v>
      </c>
      <c r="K17" s="46">
        <v>175</v>
      </c>
      <c r="L17" s="48">
        <f t="shared" si="0"/>
        <v>0</v>
      </c>
      <c r="M17" s="49"/>
      <c r="N17" s="38">
        <f>J17+L17+M17</f>
        <v>0</v>
      </c>
      <c r="R17" s="53"/>
      <c r="S17" s="53"/>
    </row>
    <row r="18" spans="1:19" ht="15.75" customHeight="1" x14ac:dyDescent="0.2">
      <c r="A18" s="29">
        <v>8</v>
      </c>
      <c r="B18" s="1" t="s">
        <v>38</v>
      </c>
      <c r="C18" s="11"/>
      <c r="D18" s="11"/>
      <c r="E18" s="11"/>
      <c r="F18" s="13"/>
      <c r="G18" s="29" t="s">
        <v>27</v>
      </c>
      <c r="H18" s="29">
        <v>0</v>
      </c>
      <c r="I18" s="29"/>
      <c r="J18" s="39">
        <f t="shared" si="2"/>
        <v>0</v>
      </c>
      <c r="K18" s="29">
        <v>0</v>
      </c>
      <c r="L18" s="40">
        <f t="shared" si="0"/>
        <v>0</v>
      </c>
      <c r="M18" s="41">
        <v>3250</v>
      </c>
      <c r="N18" s="38">
        <f t="shared" si="1"/>
        <v>3250</v>
      </c>
      <c r="O18" s="42"/>
      <c r="R18" s="53"/>
      <c r="S18" s="53"/>
    </row>
    <row r="19" spans="1:19" s="50" customFormat="1" ht="15.75" customHeight="1" x14ac:dyDescent="0.2">
      <c r="A19" s="29">
        <v>9</v>
      </c>
      <c r="B19" s="12" t="s">
        <v>39</v>
      </c>
      <c r="C19" s="44"/>
      <c r="D19" s="44"/>
      <c r="E19" s="44"/>
      <c r="F19" s="45"/>
      <c r="G19" s="46" t="s">
        <v>27</v>
      </c>
      <c r="H19" s="46">
        <v>0</v>
      </c>
      <c r="I19" s="29"/>
      <c r="J19" s="47">
        <f t="shared" si="2"/>
        <v>0</v>
      </c>
      <c r="K19" s="46">
        <v>0</v>
      </c>
      <c r="L19" s="48">
        <f t="shared" si="0"/>
        <v>0</v>
      </c>
      <c r="M19" s="49">
        <v>12000</v>
      </c>
      <c r="N19" s="38">
        <f t="shared" si="1"/>
        <v>12000</v>
      </c>
      <c r="R19" s="53"/>
      <c r="S19" s="53"/>
    </row>
    <row r="20" spans="1:19" ht="15.75" customHeight="1" x14ac:dyDescent="0.2">
      <c r="A20" s="29">
        <v>10</v>
      </c>
      <c r="B20" s="1" t="s">
        <v>40</v>
      </c>
      <c r="C20" s="11"/>
      <c r="D20" s="11"/>
      <c r="E20" s="11"/>
      <c r="F20" s="13"/>
      <c r="G20" s="29" t="s">
        <v>34</v>
      </c>
      <c r="H20" s="29">
        <v>0</v>
      </c>
      <c r="I20" s="29"/>
      <c r="J20" s="39"/>
      <c r="K20" s="29">
        <v>0</v>
      </c>
      <c r="L20" s="40">
        <f>H20*K20</f>
        <v>0</v>
      </c>
      <c r="M20" s="41">
        <v>1780</v>
      </c>
      <c r="N20" s="38">
        <f>J20+L20+M20</f>
        <v>1780</v>
      </c>
      <c r="R20" s="53"/>
      <c r="S20" s="53"/>
    </row>
    <row r="21" spans="1:19" s="50" customFormat="1" ht="15.75" customHeight="1" x14ac:dyDescent="0.2">
      <c r="A21" s="29">
        <v>11</v>
      </c>
      <c r="B21" s="12" t="s">
        <v>41</v>
      </c>
      <c r="C21" s="44"/>
      <c r="D21" s="44"/>
      <c r="E21" s="44"/>
      <c r="F21" s="45"/>
      <c r="G21" s="46" t="s">
        <v>27</v>
      </c>
      <c r="H21" s="46">
        <v>0</v>
      </c>
      <c r="I21" s="29"/>
      <c r="J21" s="47">
        <f t="shared" si="2"/>
        <v>0</v>
      </c>
      <c r="K21" s="46">
        <v>0.8</v>
      </c>
      <c r="L21" s="48">
        <f t="shared" si="0"/>
        <v>0</v>
      </c>
      <c r="M21" s="49">
        <v>6300</v>
      </c>
      <c r="N21" s="38">
        <f t="shared" si="1"/>
        <v>6300</v>
      </c>
      <c r="R21" s="53"/>
      <c r="S21" s="53"/>
    </row>
    <row r="22" spans="1:19" s="50" customFormat="1" ht="15.75" customHeight="1" x14ac:dyDescent="0.2">
      <c r="A22" s="29">
        <v>12</v>
      </c>
      <c r="B22" s="12" t="s">
        <v>42</v>
      </c>
      <c r="C22" s="44"/>
      <c r="D22" s="44"/>
      <c r="E22" s="44"/>
      <c r="F22" s="45"/>
      <c r="G22" s="46" t="s">
        <v>27</v>
      </c>
      <c r="H22" s="46">
        <v>0</v>
      </c>
      <c r="I22" s="29"/>
      <c r="J22" s="47">
        <f t="shared" si="2"/>
        <v>0</v>
      </c>
      <c r="K22" s="46">
        <v>0</v>
      </c>
      <c r="L22" s="48">
        <f t="shared" si="0"/>
        <v>0</v>
      </c>
      <c r="M22" s="49">
        <v>4750</v>
      </c>
      <c r="N22" s="38">
        <f t="shared" si="1"/>
        <v>4750</v>
      </c>
      <c r="R22" s="53"/>
      <c r="S22" s="53"/>
    </row>
    <row r="23" spans="1:19" s="50" customFormat="1" ht="15.75" customHeight="1" x14ac:dyDescent="0.2">
      <c r="A23" s="29">
        <v>13</v>
      </c>
      <c r="B23" s="12" t="s">
        <v>43</v>
      </c>
      <c r="C23" s="44"/>
      <c r="D23" s="44"/>
      <c r="E23" s="44"/>
      <c r="F23" s="45"/>
      <c r="G23" s="46" t="s">
        <v>27</v>
      </c>
      <c r="H23" s="46">
        <v>0</v>
      </c>
      <c r="I23" s="29"/>
      <c r="J23" s="47">
        <f t="shared" si="2"/>
        <v>0</v>
      </c>
      <c r="K23" s="46">
        <v>0</v>
      </c>
      <c r="L23" s="48">
        <f t="shared" si="0"/>
        <v>0</v>
      </c>
      <c r="M23" s="49">
        <v>3500</v>
      </c>
      <c r="N23" s="38">
        <f t="shared" si="1"/>
        <v>3500</v>
      </c>
      <c r="R23" s="53"/>
      <c r="S23" s="53"/>
    </row>
    <row r="24" spans="1:19" s="50" customFormat="1" ht="15.75" customHeight="1" x14ac:dyDescent="0.2">
      <c r="A24" s="29">
        <v>14</v>
      </c>
      <c r="B24" s="12" t="s">
        <v>44</v>
      </c>
      <c r="C24" s="44"/>
      <c r="D24" s="44"/>
      <c r="E24" s="44"/>
      <c r="F24" s="45"/>
      <c r="G24" s="46" t="s">
        <v>45</v>
      </c>
      <c r="H24" s="46">
        <f>22*12</f>
        <v>264</v>
      </c>
      <c r="I24" s="29">
        <v>2</v>
      </c>
      <c r="J24" s="47">
        <f t="shared" si="2"/>
        <v>528</v>
      </c>
      <c r="K24" s="46">
        <v>5</v>
      </c>
      <c r="L24" s="48">
        <f t="shared" si="0"/>
        <v>1320</v>
      </c>
      <c r="M24" s="49">
        <v>0</v>
      </c>
      <c r="N24" s="38">
        <f t="shared" si="1"/>
        <v>1848</v>
      </c>
      <c r="R24" s="53"/>
      <c r="S24" s="53"/>
    </row>
    <row r="25" spans="1:19" s="50" customFormat="1" ht="15.75" customHeight="1" x14ac:dyDescent="0.2">
      <c r="A25" s="29">
        <v>15</v>
      </c>
      <c r="B25" s="12" t="s">
        <v>46</v>
      </c>
      <c r="C25" s="44"/>
      <c r="D25" s="44"/>
      <c r="E25" s="44"/>
      <c r="F25" s="45"/>
      <c r="G25" s="46" t="s">
        <v>34</v>
      </c>
      <c r="H25" s="46">
        <v>0</v>
      </c>
      <c r="I25" s="29"/>
      <c r="J25" s="47">
        <f t="shared" si="2"/>
        <v>0</v>
      </c>
      <c r="K25" s="46"/>
      <c r="L25" s="48">
        <f t="shared" si="0"/>
        <v>0</v>
      </c>
      <c r="M25" s="49">
        <v>77240</v>
      </c>
      <c r="N25" s="38">
        <f t="shared" si="1"/>
        <v>77240</v>
      </c>
      <c r="R25" s="53"/>
      <c r="S25" s="53"/>
    </row>
    <row r="26" spans="1:19" s="50" customFormat="1" ht="15.75" customHeight="1" x14ac:dyDescent="0.2">
      <c r="A26" s="29">
        <v>16</v>
      </c>
      <c r="B26" s="12" t="s">
        <v>47</v>
      </c>
      <c r="C26" s="44"/>
      <c r="D26" s="44"/>
      <c r="E26" s="44"/>
      <c r="F26" s="45"/>
      <c r="G26" s="46" t="s">
        <v>34</v>
      </c>
      <c r="H26" s="46">
        <v>0</v>
      </c>
      <c r="I26" s="29"/>
      <c r="J26" s="47">
        <f t="shared" si="2"/>
        <v>0</v>
      </c>
      <c r="K26" s="46">
        <v>0</v>
      </c>
      <c r="L26" s="48">
        <f t="shared" si="0"/>
        <v>0</v>
      </c>
      <c r="M26" s="49">
        <v>6000</v>
      </c>
      <c r="N26" s="38">
        <f t="shared" si="1"/>
        <v>6000</v>
      </c>
      <c r="R26" s="53"/>
      <c r="S26" s="53"/>
    </row>
    <row r="27" spans="1:19" s="50" customFormat="1" ht="15.75" customHeight="1" x14ac:dyDescent="0.2">
      <c r="A27" s="29">
        <v>17</v>
      </c>
      <c r="B27" s="12" t="s">
        <v>48</v>
      </c>
      <c r="C27" s="44"/>
      <c r="D27" s="44"/>
      <c r="E27" s="44"/>
      <c r="F27" s="45"/>
      <c r="G27" s="46" t="s">
        <v>27</v>
      </c>
      <c r="H27" s="46">
        <v>0</v>
      </c>
      <c r="I27" s="29"/>
      <c r="J27" s="47">
        <f t="shared" si="2"/>
        <v>0</v>
      </c>
      <c r="K27" s="46">
        <v>0</v>
      </c>
      <c r="L27" s="48">
        <f t="shared" si="0"/>
        <v>0</v>
      </c>
      <c r="M27" s="49">
        <v>6000</v>
      </c>
      <c r="N27" s="38">
        <f t="shared" si="1"/>
        <v>6000</v>
      </c>
      <c r="R27" s="53"/>
      <c r="S27" s="53"/>
    </row>
    <row r="28" spans="1:19" s="50" customFormat="1" ht="15.75" customHeight="1" x14ac:dyDescent="0.2">
      <c r="A28" s="29">
        <v>18</v>
      </c>
      <c r="B28" s="12" t="s">
        <v>49</v>
      </c>
      <c r="C28" s="44"/>
      <c r="D28" s="44"/>
      <c r="E28" s="44"/>
      <c r="F28" s="45"/>
      <c r="G28" s="46" t="s">
        <v>50</v>
      </c>
      <c r="H28" s="46">
        <v>275</v>
      </c>
      <c r="I28" s="29">
        <v>2.2000000000000002</v>
      </c>
      <c r="J28" s="47">
        <f t="shared" si="2"/>
        <v>605</v>
      </c>
      <c r="K28" s="46">
        <v>0.15</v>
      </c>
      <c r="L28" s="48">
        <f t="shared" si="0"/>
        <v>41.25</v>
      </c>
      <c r="M28" s="49">
        <v>0</v>
      </c>
      <c r="N28" s="38">
        <f t="shared" si="1"/>
        <v>646.25</v>
      </c>
      <c r="R28" s="53"/>
      <c r="S28" s="53"/>
    </row>
    <row r="29" spans="1:19" s="50" customFormat="1" ht="15.75" customHeight="1" x14ac:dyDescent="0.2">
      <c r="A29" s="29">
        <v>19</v>
      </c>
      <c r="B29" s="12" t="s">
        <v>51</v>
      </c>
      <c r="C29" s="44"/>
      <c r="D29" s="44"/>
      <c r="E29" s="44"/>
      <c r="F29" s="45"/>
      <c r="G29" s="46" t="s">
        <v>52</v>
      </c>
      <c r="H29" s="46">
        <v>60</v>
      </c>
      <c r="I29" s="29">
        <v>38</v>
      </c>
      <c r="J29" s="47">
        <f>H29*I29</f>
        <v>2280</v>
      </c>
      <c r="K29" s="46">
        <v>28</v>
      </c>
      <c r="L29" s="48">
        <f>H29*K29</f>
        <v>1680</v>
      </c>
      <c r="M29" s="49">
        <v>0</v>
      </c>
      <c r="N29" s="38">
        <f t="shared" si="1"/>
        <v>3960</v>
      </c>
      <c r="R29" s="53"/>
      <c r="S29" s="53"/>
    </row>
    <row r="30" spans="1:19" s="50" customFormat="1" ht="15.75" customHeight="1" x14ac:dyDescent="0.2">
      <c r="A30" s="29">
        <v>20</v>
      </c>
      <c r="B30" s="12" t="s">
        <v>53</v>
      </c>
      <c r="C30" s="44"/>
      <c r="D30" s="44"/>
      <c r="E30" s="44"/>
      <c r="F30" s="45"/>
      <c r="G30" s="46" t="s">
        <v>45</v>
      </c>
      <c r="H30" s="46">
        <f>780*2</f>
        <v>1560</v>
      </c>
      <c r="I30" s="29">
        <v>3.3</v>
      </c>
      <c r="J30" s="47">
        <f>H30*I30</f>
        <v>5148</v>
      </c>
      <c r="K30" s="46">
        <v>1.2</v>
      </c>
      <c r="L30" s="48">
        <f>H30*K30</f>
        <v>1872</v>
      </c>
      <c r="M30" s="49">
        <v>0</v>
      </c>
      <c r="N30" s="38">
        <f t="shared" si="1"/>
        <v>7020</v>
      </c>
      <c r="R30" s="53"/>
      <c r="S30" s="53"/>
    </row>
    <row r="31" spans="1:19" s="50" customFormat="1" ht="15.75" customHeight="1" x14ac:dyDescent="0.2">
      <c r="A31" s="29">
        <v>21</v>
      </c>
      <c r="B31" s="51" t="s">
        <v>54</v>
      </c>
      <c r="C31" s="44"/>
      <c r="D31" s="44"/>
      <c r="E31" s="44"/>
      <c r="F31" s="45"/>
      <c r="G31" s="46" t="s">
        <v>45</v>
      </c>
      <c r="H31" s="46">
        <v>420</v>
      </c>
      <c r="I31" s="46">
        <v>1.75</v>
      </c>
      <c r="J31" s="47">
        <f t="shared" si="2"/>
        <v>735</v>
      </c>
      <c r="K31" s="46">
        <v>2.75</v>
      </c>
      <c r="L31" s="48">
        <f t="shared" si="0"/>
        <v>1155</v>
      </c>
      <c r="M31" s="49">
        <v>0</v>
      </c>
      <c r="N31" s="38">
        <f t="shared" si="1"/>
        <v>1890</v>
      </c>
      <c r="P31" s="52"/>
      <c r="Q31" s="52"/>
      <c r="R31" s="53"/>
      <c r="S31" s="53"/>
    </row>
    <row r="32" spans="1:19" s="50" customFormat="1" ht="15.75" customHeight="1" x14ac:dyDescent="0.2">
      <c r="A32" s="29">
        <v>22</v>
      </c>
      <c r="B32" s="51" t="s">
        <v>55</v>
      </c>
      <c r="C32" s="44"/>
      <c r="D32" s="44"/>
      <c r="E32" s="44"/>
      <c r="F32" s="45"/>
      <c r="G32" s="46" t="s">
        <v>45</v>
      </c>
      <c r="H32" s="46">
        <v>420</v>
      </c>
      <c r="I32" s="46">
        <v>0.65</v>
      </c>
      <c r="J32" s="47">
        <f t="shared" si="2"/>
        <v>273</v>
      </c>
      <c r="K32" s="46">
        <v>1.45</v>
      </c>
      <c r="L32" s="48">
        <f t="shared" si="0"/>
        <v>609</v>
      </c>
      <c r="M32" s="49">
        <v>0</v>
      </c>
      <c r="N32" s="38">
        <f t="shared" si="1"/>
        <v>882</v>
      </c>
      <c r="O32" s="53"/>
      <c r="P32" s="52"/>
      <c r="Q32" s="52"/>
      <c r="R32" s="53"/>
      <c r="S32" s="53"/>
    </row>
    <row r="33" spans="1:19" s="50" customFormat="1" ht="15.75" customHeight="1" x14ac:dyDescent="0.2">
      <c r="A33" s="29">
        <v>23</v>
      </c>
      <c r="B33" s="51" t="s">
        <v>56</v>
      </c>
      <c r="C33" s="44"/>
      <c r="D33" s="44"/>
      <c r="E33" s="44"/>
      <c r="F33" s="45"/>
      <c r="G33" s="46" t="s">
        <v>45</v>
      </c>
      <c r="H33" s="46">
        <f>75*9*4</f>
        <v>2700</v>
      </c>
      <c r="I33" s="46">
        <v>0.4</v>
      </c>
      <c r="J33" s="47">
        <f t="shared" si="2"/>
        <v>1080</v>
      </c>
      <c r="K33" s="46">
        <v>0.85</v>
      </c>
      <c r="L33" s="48">
        <f t="shared" si="0"/>
        <v>2295</v>
      </c>
      <c r="M33" s="49">
        <v>0</v>
      </c>
      <c r="N33" s="38">
        <f t="shared" si="1"/>
        <v>3375</v>
      </c>
      <c r="O33" s="53"/>
      <c r="P33" s="52"/>
      <c r="Q33" s="52"/>
      <c r="R33" s="53"/>
      <c r="S33" s="53"/>
    </row>
    <row r="34" spans="1:19" s="50" customFormat="1" ht="15.75" customHeight="1" x14ac:dyDescent="0.2">
      <c r="A34" s="29">
        <v>24</v>
      </c>
      <c r="B34" s="51" t="s">
        <v>57</v>
      </c>
      <c r="C34" s="44"/>
      <c r="D34" s="44"/>
      <c r="E34" s="44"/>
      <c r="F34" s="45"/>
      <c r="G34" s="46" t="s">
        <v>29</v>
      </c>
      <c r="H34" s="46">
        <v>37</v>
      </c>
      <c r="I34" s="46">
        <v>250</v>
      </c>
      <c r="J34" s="47">
        <f t="shared" si="2"/>
        <v>9250</v>
      </c>
      <c r="K34" s="46">
        <v>145</v>
      </c>
      <c r="L34" s="48">
        <f t="shared" si="0"/>
        <v>5365</v>
      </c>
      <c r="M34" s="49">
        <v>0</v>
      </c>
      <c r="N34" s="38">
        <f t="shared" si="1"/>
        <v>14615</v>
      </c>
      <c r="O34" s="53"/>
      <c r="R34" s="53"/>
      <c r="S34" s="53"/>
    </row>
    <row r="35" spans="1:19" s="50" customFormat="1" ht="15.75" customHeight="1" x14ac:dyDescent="0.2">
      <c r="A35" s="29">
        <v>25</v>
      </c>
      <c r="B35" s="51" t="s">
        <v>58</v>
      </c>
      <c r="C35" s="44"/>
      <c r="D35" s="44"/>
      <c r="E35" s="44"/>
      <c r="F35" s="45"/>
      <c r="G35" s="46" t="s">
        <v>29</v>
      </c>
      <c r="H35" s="46">
        <v>7</v>
      </c>
      <c r="I35" s="46">
        <v>250</v>
      </c>
      <c r="J35" s="47">
        <f t="shared" si="2"/>
        <v>1750</v>
      </c>
      <c r="K35" s="46">
        <v>0</v>
      </c>
      <c r="L35" s="48">
        <f>H35*K35</f>
        <v>0</v>
      </c>
      <c r="M35" s="49">
        <v>0</v>
      </c>
      <c r="N35" s="38">
        <f>J35+L35+M35</f>
        <v>1750</v>
      </c>
      <c r="O35" s="53"/>
      <c r="R35" s="53"/>
      <c r="S35" s="53"/>
    </row>
    <row r="36" spans="1:19" ht="15.75" customHeight="1" x14ac:dyDescent="0.2">
      <c r="A36" s="29">
        <v>26</v>
      </c>
      <c r="B36" s="12" t="s">
        <v>59</v>
      </c>
      <c r="C36" s="11"/>
      <c r="D36" s="11"/>
      <c r="E36" s="11"/>
      <c r="F36" s="13"/>
      <c r="G36" s="29" t="s">
        <v>29</v>
      </c>
      <c r="H36" s="29">
        <v>2</v>
      </c>
      <c r="I36" s="29">
        <v>1350</v>
      </c>
      <c r="J36" s="39">
        <f t="shared" si="2"/>
        <v>2700</v>
      </c>
      <c r="K36" s="29">
        <v>1500</v>
      </c>
      <c r="L36" s="40">
        <f t="shared" si="0"/>
        <v>3000</v>
      </c>
      <c r="M36" s="41"/>
      <c r="N36" s="54">
        <f t="shared" si="1"/>
        <v>5700</v>
      </c>
      <c r="R36" s="53"/>
      <c r="S36" s="53"/>
    </row>
    <row r="37" spans="1:19" s="50" customFormat="1" ht="15.75" customHeight="1" x14ac:dyDescent="0.2">
      <c r="A37" s="29">
        <v>27</v>
      </c>
      <c r="B37" s="12" t="s">
        <v>60</v>
      </c>
      <c r="C37" s="44"/>
      <c r="D37" s="44"/>
      <c r="E37" s="44"/>
      <c r="F37" s="45"/>
      <c r="G37" s="46" t="s">
        <v>34</v>
      </c>
      <c r="H37" s="46">
        <v>1</v>
      </c>
      <c r="I37" s="29"/>
      <c r="J37" s="47">
        <f t="shared" si="2"/>
        <v>0</v>
      </c>
      <c r="K37" s="46">
        <v>0</v>
      </c>
      <c r="L37" s="48">
        <f t="shared" si="0"/>
        <v>0</v>
      </c>
      <c r="M37" s="49">
        <f>9358+6900</f>
        <v>16258</v>
      </c>
      <c r="N37" s="38">
        <f t="shared" si="1"/>
        <v>16258</v>
      </c>
      <c r="O37" s="53"/>
      <c r="R37" s="53"/>
      <c r="S37" s="53"/>
    </row>
    <row r="38" spans="1:19" s="50" customFormat="1" ht="15.75" customHeight="1" x14ac:dyDescent="0.2">
      <c r="A38" s="29">
        <v>28</v>
      </c>
      <c r="B38" s="12" t="s">
        <v>61</v>
      </c>
      <c r="C38" s="44"/>
      <c r="D38" s="44"/>
      <c r="E38" s="44"/>
      <c r="F38" s="45"/>
      <c r="G38" s="46" t="s">
        <v>27</v>
      </c>
      <c r="H38" s="46">
        <v>1</v>
      </c>
      <c r="I38" s="29"/>
      <c r="J38" s="47">
        <f t="shared" si="2"/>
        <v>0</v>
      </c>
      <c r="K38" s="46">
        <v>0</v>
      </c>
      <c r="L38" s="48">
        <f t="shared" si="0"/>
        <v>0</v>
      </c>
      <c r="M38" s="49">
        <v>4200</v>
      </c>
      <c r="N38" s="38">
        <f t="shared" si="1"/>
        <v>4200</v>
      </c>
      <c r="O38" s="53"/>
      <c r="P38" s="50">
        <v>164226</v>
      </c>
      <c r="R38" s="53"/>
      <c r="S38" s="53"/>
    </row>
    <row r="39" spans="1:19" s="50" customFormat="1" ht="15.75" customHeight="1" x14ac:dyDescent="0.2">
      <c r="A39" s="29">
        <v>29</v>
      </c>
      <c r="B39" s="12" t="s">
        <v>62</v>
      </c>
      <c r="C39" s="44"/>
      <c r="D39" s="44"/>
      <c r="E39" s="44"/>
      <c r="F39" s="45"/>
      <c r="G39" s="46" t="s">
        <v>63</v>
      </c>
      <c r="H39" s="55">
        <v>7</v>
      </c>
      <c r="I39" s="34"/>
      <c r="J39" s="56">
        <f t="shared" si="2"/>
        <v>0</v>
      </c>
      <c r="K39" s="55">
        <v>951</v>
      </c>
      <c r="L39" s="57">
        <f t="shared" si="0"/>
        <v>6657</v>
      </c>
      <c r="M39" s="58"/>
      <c r="N39" s="38">
        <f t="shared" si="1"/>
        <v>6657</v>
      </c>
      <c r="O39" s="53"/>
      <c r="P39" s="50">
        <v>147803</v>
      </c>
      <c r="R39" s="53"/>
      <c r="S39" s="53"/>
    </row>
    <row r="40" spans="1:19" s="50" customFormat="1" ht="15.75" customHeight="1" x14ac:dyDescent="0.2">
      <c r="A40" s="29">
        <v>30</v>
      </c>
      <c r="B40" s="12" t="s">
        <v>64</v>
      </c>
      <c r="C40" s="44"/>
      <c r="D40" s="44"/>
      <c r="E40" s="44"/>
      <c r="F40" s="45"/>
      <c r="G40" s="46" t="s">
        <v>63</v>
      </c>
      <c r="H40" s="55">
        <v>15</v>
      </c>
      <c r="I40" s="34"/>
      <c r="J40" s="56">
        <f t="shared" si="2"/>
        <v>0</v>
      </c>
      <c r="K40" s="55">
        <v>555</v>
      </c>
      <c r="L40" s="57">
        <f t="shared" si="0"/>
        <v>8325</v>
      </c>
      <c r="M40" s="58"/>
      <c r="N40" s="38">
        <f t="shared" si="1"/>
        <v>8325</v>
      </c>
      <c r="O40" s="53"/>
      <c r="P40" s="50">
        <f>P38-P39</f>
        <v>16423</v>
      </c>
      <c r="R40" s="53"/>
      <c r="S40" s="53"/>
    </row>
    <row r="41" spans="1:19" s="50" customFormat="1" ht="15.75" customHeight="1" x14ac:dyDescent="0.2">
      <c r="A41" s="29">
        <v>31</v>
      </c>
      <c r="B41" s="12" t="s">
        <v>65</v>
      </c>
      <c r="C41" s="44"/>
      <c r="D41" s="44"/>
      <c r="E41" s="44"/>
      <c r="F41" s="45"/>
      <c r="G41" s="46" t="s">
        <v>63</v>
      </c>
      <c r="H41" s="55">
        <v>10</v>
      </c>
      <c r="I41" s="34"/>
      <c r="J41" s="56">
        <f t="shared" si="2"/>
        <v>0</v>
      </c>
      <c r="K41" s="55">
        <v>600</v>
      </c>
      <c r="L41" s="57">
        <f t="shared" si="0"/>
        <v>6000</v>
      </c>
      <c r="M41" s="58"/>
      <c r="N41" s="38">
        <f t="shared" si="1"/>
        <v>6000</v>
      </c>
      <c r="O41" s="53"/>
      <c r="P41" s="50">
        <f>P40/2</f>
        <v>8211.5</v>
      </c>
      <c r="R41" s="53"/>
      <c r="S41" s="53"/>
    </row>
    <row r="42" spans="1:19" s="50" customFormat="1" ht="15.75" customHeight="1" x14ac:dyDescent="0.2">
      <c r="A42" s="29">
        <v>32</v>
      </c>
      <c r="B42" s="12" t="s">
        <v>66</v>
      </c>
      <c r="C42" s="44"/>
      <c r="D42" s="44"/>
      <c r="E42" s="44"/>
      <c r="F42" s="45"/>
      <c r="G42" s="46" t="s">
        <v>34</v>
      </c>
      <c r="H42" s="55">
        <v>1</v>
      </c>
      <c r="I42" s="34"/>
      <c r="J42" s="56">
        <f t="shared" si="2"/>
        <v>0</v>
      </c>
      <c r="K42" s="55">
        <v>0</v>
      </c>
      <c r="L42" s="57">
        <f t="shared" si="0"/>
        <v>0</v>
      </c>
      <c r="M42" s="58">
        <f>'[1]Engineer Fees'!E14</f>
        <v>6548</v>
      </c>
      <c r="N42" s="38">
        <f t="shared" si="1"/>
        <v>6548</v>
      </c>
      <c r="O42" s="53"/>
      <c r="R42" s="53"/>
      <c r="S42" s="53"/>
    </row>
    <row r="43" spans="1:19" s="65" customFormat="1" ht="15.75" customHeight="1" x14ac:dyDescent="0.25">
      <c r="A43" s="59"/>
      <c r="B43" s="30" t="s">
        <v>67</v>
      </c>
      <c r="C43" s="60"/>
      <c r="D43" s="60"/>
      <c r="E43" s="60"/>
      <c r="F43" s="61"/>
      <c r="G43" s="59"/>
      <c r="H43" s="62"/>
      <c r="I43" s="62"/>
      <c r="J43" s="63">
        <v>29482</v>
      </c>
      <c r="K43" s="63"/>
      <c r="L43" s="63">
        <v>67459</v>
      </c>
      <c r="M43" s="63">
        <f>SUM(M11:M42)-P41</f>
        <v>156014.5</v>
      </c>
      <c r="N43" s="64">
        <f>SUM(J43:M43)</f>
        <v>252955.5</v>
      </c>
      <c r="P43" s="66">
        <v>266269.25</v>
      </c>
      <c r="Q43" s="66"/>
      <c r="R43" s="53"/>
      <c r="S43" s="53"/>
    </row>
    <row r="44" spans="1:19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 t="s">
        <v>68</v>
      </c>
      <c r="M44" s="67">
        <v>0.107</v>
      </c>
      <c r="N44" s="68">
        <f>N43*M44</f>
        <v>27066.238499999999</v>
      </c>
      <c r="P44" s="69">
        <v>28539.26</v>
      </c>
      <c r="Q44" s="69"/>
    </row>
    <row r="45" spans="1:19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10">
        <v>29482</v>
      </c>
      <c r="K45" s="8"/>
      <c r="L45" s="70" t="s">
        <v>69</v>
      </c>
      <c r="M45" s="70"/>
      <c r="N45" s="71">
        <f>SUM(N43:N44)</f>
        <v>280021.73849999998</v>
      </c>
      <c r="P45" s="69">
        <f>SUM(P43:P44)</f>
        <v>294808.51</v>
      </c>
      <c r="Q45" s="69"/>
    </row>
    <row r="46" spans="1:19" ht="15.75" customHeight="1" x14ac:dyDescent="0.2">
      <c r="A46" s="8"/>
      <c r="B46" s="8"/>
      <c r="C46" s="8"/>
      <c r="D46" s="8"/>
      <c r="E46" s="8"/>
      <c r="F46" s="10"/>
      <c r="G46" s="10"/>
      <c r="H46" s="10"/>
      <c r="I46" s="10"/>
      <c r="K46" s="8"/>
      <c r="L46" s="8"/>
      <c r="M46" s="8"/>
      <c r="N46" s="68"/>
      <c r="P46" s="69"/>
      <c r="Q46" s="69"/>
    </row>
    <row r="47" spans="1:19" ht="15.75" customHeight="1" x14ac:dyDescent="0.2">
      <c r="A47" s="8"/>
      <c r="B47" s="8"/>
      <c r="C47" s="8"/>
      <c r="D47" s="8"/>
      <c r="E47" s="8"/>
      <c r="F47" s="10"/>
      <c r="G47" s="72"/>
      <c r="H47" s="73"/>
      <c r="I47" s="10"/>
      <c r="J47" s="73"/>
      <c r="K47" s="8"/>
      <c r="L47" s="10" t="s">
        <v>70</v>
      </c>
      <c r="M47" s="74">
        <v>0.1</v>
      </c>
      <c r="N47" s="75">
        <f>N45*M47</f>
        <v>28002.173849999999</v>
      </c>
      <c r="P47" s="69">
        <f>P45*0.15</f>
        <v>44221.2765</v>
      </c>
      <c r="Q47" s="69"/>
    </row>
    <row r="48" spans="1:19" ht="15.75" customHeight="1" x14ac:dyDescent="0.2">
      <c r="A48" s="8"/>
      <c r="B48" s="8"/>
      <c r="C48" s="8"/>
      <c r="D48" s="8"/>
      <c r="E48" s="8"/>
      <c r="F48" s="10"/>
      <c r="G48" s="72"/>
      <c r="H48" s="10"/>
      <c r="I48" s="10"/>
      <c r="J48" s="73"/>
      <c r="K48" s="8"/>
      <c r="L48" s="70" t="s">
        <v>71</v>
      </c>
      <c r="M48" s="70"/>
      <c r="N48" s="71">
        <f>SUM(N45:N47)</f>
        <v>308023.91235</v>
      </c>
      <c r="P48" s="76">
        <f>SUM(P45:P47)</f>
        <v>339029.78649999999</v>
      </c>
      <c r="Q48" s="76"/>
    </row>
    <row r="49" spans="1:17" ht="15.75" customHeight="1" x14ac:dyDescent="0.2">
      <c r="A49" s="8"/>
      <c r="B49" s="8"/>
      <c r="C49" s="8"/>
      <c r="D49" s="8"/>
      <c r="E49" s="8"/>
      <c r="F49" s="10"/>
      <c r="G49" s="10"/>
      <c r="H49" s="10"/>
      <c r="I49" s="10"/>
      <c r="J49" s="10"/>
      <c r="K49" s="8"/>
      <c r="L49" s="8" t="s">
        <v>72</v>
      </c>
      <c r="M49" s="77">
        <v>0.06</v>
      </c>
      <c r="N49" s="68">
        <f>N48*M49</f>
        <v>18481.434741000001</v>
      </c>
      <c r="O49" s="5">
        <v>19983</v>
      </c>
      <c r="P49" s="42">
        <f>O49-N49</f>
        <v>1501.5652589999991</v>
      </c>
      <c r="Q49" s="42"/>
    </row>
    <row r="50" spans="1:17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N50" s="42">
        <f>SUM(N48:N49)</f>
        <v>326505.347091</v>
      </c>
    </row>
    <row r="51" spans="1:17" ht="15.75" customHeight="1" x14ac:dyDescent="0.2">
      <c r="N51" s="42"/>
    </row>
    <row r="52" spans="1:17" ht="15.75" customHeight="1" x14ac:dyDescent="0.2">
      <c r="L52" s="8" t="s">
        <v>73</v>
      </c>
      <c r="M52" s="77">
        <v>2.5000000000000001E-2</v>
      </c>
      <c r="N52" s="68">
        <f>N50*M52</f>
        <v>8162.6336772750001</v>
      </c>
    </row>
    <row r="53" spans="1:17" ht="15.75" customHeight="1" x14ac:dyDescent="0.2">
      <c r="N53" s="79">
        <f>SUM(N50:N52)</f>
        <v>334667.98076827498</v>
      </c>
    </row>
  </sheetData>
  <mergeCells count="3">
    <mergeCell ref="I8:J8"/>
    <mergeCell ref="K8:L8"/>
    <mergeCell ref="B9:C9"/>
  </mergeCells>
  <phoneticPr fontId="6" type="noConversion"/>
  <pageMargins left="0.7" right="0.7" top="0.75" bottom="0.75" header="0.3" footer="0.3"/>
  <pageSetup scale="58" orientation="landscape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Est FINAL 0929</vt:lpstr>
      <vt:lpstr>'Est FINAL 0929'!Print_Area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2</dc:creator>
  <cp:lastModifiedBy>Owner</cp:lastModifiedBy>
  <cp:lastPrinted>2013-08-21T20:12:36Z</cp:lastPrinted>
  <dcterms:created xsi:type="dcterms:W3CDTF">2012-09-30T11:10:24Z</dcterms:created>
  <dcterms:modified xsi:type="dcterms:W3CDTF">2014-01-29T18:12:33Z</dcterms:modified>
</cp:coreProperties>
</file>