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24426"/>
  <workbookPr checkCompatibility="1" autoCompressPictures="0"/>
  <bookViews>
    <workbookView xWindow="1420" yWindow="0" windowWidth="25600" windowHeight="14880" tabRatio="1000" activeTab="14"/>
  </bookViews>
  <sheets>
    <sheet name="01" sheetId="41" r:id="rId1"/>
    <sheet name="02" sheetId="56" r:id="rId2"/>
    <sheet name="03" sheetId="57" r:id="rId3"/>
    <sheet name="04" sheetId="65" r:id="rId4"/>
    <sheet name="05" sheetId="58" r:id="rId5"/>
    <sheet name="06" sheetId="59" r:id="rId6"/>
    <sheet name="07" sheetId="62" r:id="rId7"/>
    <sheet name="08" sheetId="61" r:id="rId8"/>
    <sheet name="09" sheetId="66" r:id="rId9"/>
    <sheet name="10" sheetId="67" r:id="rId10"/>
    <sheet name="11" sheetId="68" r:id="rId11"/>
    <sheet name="12" sheetId="69" r:id="rId12"/>
    <sheet name="13" sheetId="70" r:id="rId13"/>
    <sheet name="14" sheetId="71" r:id="rId14"/>
    <sheet name="15" sheetId="73" r:id="rId15"/>
    <sheet name="16" sheetId="74" r:id="rId16"/>
    <sheet name="17" sheetId="75" r:id="rId17"/>
    <sheet name="18" sheetId="76" r:id="rId18"/>
    <sheet name="19" sheetId="77" r:id="rId19"/>
    <sheet name="20" sheetId="78" r:id="rId20"/>
    <sheet name="Sheet3" sheetId="72" r:id="rId2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S71" i="78" l="1"/>
  <c r="Q71" i="78"/>
  <c r="C50" i="78"/>
  <c r="C48" i="78"/>
  <c r="N10" i="78"/>
  <c r="M10" i="78"/>
  <c r="L10" i="78"/>
  <c r="K10" i="78"/>
  <c r="J10" i="78"/>
  <c r="I10" i="78"/>
  <c r="H10" i="78"/>
  <c r="A48" i="78"/>
  <c r="C44" i="78"/>
  <c r="B38" i="78"/>
  <c r="O19" i="78"/>
  <c r="Q19" i="78"/>
  <c r="P18" i="78"/>
  <c r="W17" i="78"/>
  <c r="X17" i="78"/>
  <c r="O17" i="78"/>
  <c r="Q17" i="78"/>
  <c r="O15" i="78"/>
  <c r="Q15" i="78"/>
  <c r="P14" i="78"/>
  <c r="S13" i="78"/>
  <c r="W13" i="78"/>
  <c r="O13" i="78"/>
  <c r="Q13" i="78"/>
  <c r="X13" i="78"/>
  <c r="S71" i="77"/>
  <c r="Q71" i="77"/>
  <c r="C50" i="77"/>
  <c r="C48" i="77"/>
  <c r="N10" i="77"/>
  <c r="M10" i="77"/>
  <c r="L10" i="77"/>
  <c r="K10" i="77"/>
  <c r="J10" i="77"/>
  <c r="I10" i="77"/>
  <c r="H10" i="77"/>
  <c r="A48" i="77"/>
  <c r="C44" i="77"/>
  <c r="B38" i="77"/>
  <c r="O19" i="77"/>
  <c r="Q19" i="77"/>
  <c r="P18" i="77"/>
  <c r="W17" i="77"/>
  <c r="X17" i="77"/>
  <c r="O17" i="77"/>
  <c r="Q17" i="77"/>
  <c r="O15" i="77"/>
  <c r="Q15" i="77"/>
  <c r="P14" i="77"/>
  <c r="S13" i="77"/>
  <c r="W13" i="77"/>
  <c r="O13" i="77"/>
  <c r="Q13" i="77"/>
  <c r="X13" i="77"/>
  <c r="S71" i="76"/>
  <c r="Q71" i="76"/>
  <c r="C50" i="76"/>
  <c r="C48" i="76"/>
  <c r="N10" i="76"/>
  <c r="M10" i="76"/>
  <c r="L10" i="76"/>
  <c r="K10" i="76"/>
  <c r="J10" i="76"/>
  <c r="I10" i="76"/>
  <c r="H10" i="76"/>
  <c r="A48" i="76"/>
  <c r="C44" i="76"/>
  <c r="B38" i="76"/>
  <c r="O19" i="76"/>
  <c r="Q19" i="76"/>
  <c r="P18" i="76"/>
  <c r="W17" i="76"/>
  <c r="X17" i="76"/>
  <c r="O17" i="76"/>
  <c r="Q17" i="76"/>
  <c r="O15" i="76"/>
  <c r="Q15" i="76"/>
  <c r="P14" i="76"/>
  <c r="S13" i="76"/>
  <c r="W13" i="76"/>
  <c r="O13" i="76"/>
  <c r="Q13" i="76"/>
  <c r="X13" i="76"/>
  <c r="S71" i="75"/>
  <c r="Q71" i="75"/>
  <c r="C50" i="75"/>
  <c r="C48" i="75"/>
  <c r="N10" i="75"/>
  <c r="M10" i="75"/>
  <c r="L10" i="75"/>
  <c r="K10" i="75"/>
  <c r="J10" i="75"/>
  <c r="I10" i="75"/>
  <c r="H10" i="75"/>
  <c r="A48" i="75"/>
  <c r="C44" i="75"/>
  <c r="B38" i="75"/>
  <c r="O19" i="75"/>
  <c r="Q19" i="75"/>
  <c r="P18" i="75"/>
  <c r="W17" i="75"/>
  <c r="X17" i="75"/>
  <c r="O17" i="75"/>
  <c r="Q17" i="75"/>
  <c r="O15" i="75"/>
  <c r="Q15" i="75"/>
  <c r="P14" i="75"/>
  <c r="S13" i="75"/>
  <c r="W13" i="75"/>
  <c r="O13" i="75"/>
  <c r="Q13" i="75"/>
  <c r="X13" i="75"/>
  <c r="S71" i="74"/>
  <c r="Q71" i="74"/>
  <c r="C50" i="74"/>
  <c r="C48" i="74"/>
  <c r="N10" i="74"/>
  <c r="M10" i="74"/>
  <c r="L10" i="74"/>
  <c r="K10" i="74"/>
  <c r="J10" i="74"/>
  <c r="I10" i="74"/>
  <c r="H10" i="74"/>
  <c r="A48" i="74"/>
  <c r="C44" i="74"/>
  <c r="B38" i="74"/>
  <c r="O19" i="74"/>
  <c r="Q19" i="74"/>
  <c r="P18" i="74"/>
  <c r="W17" i="74"/>
  <c r="X17" i="74"/>
  <c r="O17" i="74"/>
  <c r="Q17" i="74"/>
  <c r="O15" i="74"/>
  <c r="Q15" i="74"/>
  <c r="P14" i="74"/>
  <c r="S13" i="74"/>
  <c r="W13" i="74"/>
  <c r="O13" i="74"/>
  <c r="Q13" i="74"/>
  <c r="X13" i="74"/>
  <c r="S13" i="73"/>
  <c r="S71" i="73"/>
  <c r="Q71" i="73"/>
  <c r="C50" i="73"/>
  <c r="C48" i="73"/>
  <c r="N10" i="73"/>
  <c r="M10" i="73"/>
  <c r="L10" i="73"/>
  <c r="K10" i="73"/>
  <c r="J10" i="73"/>
  <c r="I10" i="73"/>
  <c r="H10" i="73"/>
  <c r="A48" i="73"/>
  <c r="C44" i="73"/>
  <c r="B38" i="73"/>
  <c r="O19" i="73"/>
  <c r="Q19" i="73"/>
  <c r="P18" i="73"/>
  <c r="W17" i="73"/>
  <c r="X17" i="73"/>
  <c r="O17" i="73"/>
  <c r="Q17" i="73"/>
  <c r="O15" i="73"/>
  <c r="Q15" i="73"/>
  <c r="P14" i="73"/>
  <c r="W13" i="73"/>
  <c r="O13" i="73"/>
  <c r="Q13" i="73"/>
  <c r="X13" i="73"/>
  <c r="S71" i="71"/>
  <c r="Q71" i="71"/>
  <c r="C50" i="71"/>
  <c r="C48" i="71"/>
  <c r="N10" i="71"/>
  <c r="M10" i="71"/>
  <c r="L10" i="71"/>
  <c r="K10" i="71"/>
  <c r="J10" i="71"/>
  <c r="I10" i="71"/>
  <c r="H10" i="71"/>
  <c r="A48" i="71"/>
  <c r="C44" i="71"/>
  <c r="B38" i="71"/>
  <c r="O19" i="71"/>
  <c r="Q19" i="71"/>
  <c r="P18" i="71"/>
  <c r="W17" i="71"/>
  <c r="X17" i="71"/>
  <c r="O17" i="71"/>
  <c r="Q17" i="71"/>
  <c r="O15" i="71"/>
  <c r="Q15" i="71"/>
  <c r="P14" i="71"/>
  <c r="W13" i="71"/>
  <c r="O13" i="71"/>
  <c r="Q13" i="71"/>
  <c r="X13" i="71"/>
  <c r="S71" i="70"/>
  <c r="Q71" i="70"/>
  <c r="C50" i="70"/>
  <c r="C48" i="70"/>
  <c r="N10" i="70"/>
  <c r="M10" i="70"/>
  <c r="L10" i="70"/>
  <c r="K10" i="70"/>
  <c r="J10" i="70"/>
  <c r="I10" i="70"/>
  <c r="H10" i="70"/>
  <c r="A48" i="70"/>
  <c r="C44" i="70"/>
  <c r="B38" i="70"/>
  <c r="O19" i="70"/>
  <c r="Q19" i="70"/>
  <c r="P18" i="70"/>
  <c r="W17" i="70"/>
  <c r="X17" i="70"/>
  <c r="O17" i="70"/>
  <c r="Q17" i="70"/>
  <c r="O15" i="70"/>
  <c r="Q15" i="70"/>
  <c r="P14" i="70"/>
  <c r="W13" i="70"/>
  <c r="O13" i="70"/>
  <c r="Q13" i="70"/>
  <c r="X13" i="70"/>
  <c r="S13" i="67"/>
  <c r="S13" i="66"/>
  <c r="S13" i="68"/>
  <c r="S71" i="69"/>
  <c r="Q71" i="69"/>
  <c r="C50" i="69"/>
  <c r="C48" i="69"/>
  <c r="N10" i="69"/>
  <c r="M10" i="69"/>
  <c r="L10" i="69"/>
  <c r="K10" i="69"/>
  <c r="J10" i="69"/>
  <c r="I10" i="69"/>
  <c r="H10" i="69"/>
  <c r="A48" i="69"/>
  <c r="C44" i="69"/>
  <c r="B38" i="69"/>
  <c r="O19" i="69"/>
  <c r="Q19" i="69"/>
  <c r="P18" i="69"/>
  <c r="W17" i="69"/>
  <c r="X17" i="69"/>
  <c r="O17" i="69"/>
  <c r="Q17" i="69"/>
  <c r="O15" i="69"/>
  <c r="Q15" i="69"/>
  <c r="P14" i="69"/>
  <c r="W13" i="69"/>
  <c r="O13" i="69"/>
  <c r="Q13" i="69"/>
  <c r="X13" i="69"/>
  <c r="S71" i="68"/>
  <c r="Q71" i="68"/>
  <c r="C50" i="68"/>
  <c r="C48" i="68"/>
  <c r="N10" i="68"/>
  <c r="M10" i="68"/>
  <c r="L10" i="68"/>
  <c r="K10" i="68"/>
  <c r="J10" i="68"/>
  <c r="I10" i="68"/>
  <c r="H10" i="68"/>
  <c r="A48" i="68"/>
  <c r="C44" i="68"/>
  <c r="B38" i="68"/>
  <c r="O19" i="68"/>
  <c r="Q19" i="68"/>
  <c r="P18" i="68"/>
  <c r="W17" i="68"/>
  <c r="X17" i="68"/>
  <c r="O17" i="68"/>
  <c r="Q17" i="68"/>
  <c r="O15" i="68"/>
  <c r="Q15" i="68"/>
  <c r="P14" i="68"/>
  <c r="W13" i="68"/>
  <c r="O13" i="68"/>
  <c r="Q13" i="68"/>
  <c r="X13" i="68"/>
  <c r="S71" i="67"/>
  <c r="Q71" i="67"/>
  <c r="C50" i="67"/>
  <c r="C48" i="67"/>
  <c r="N10" i="67"/>
  <c r="M10" i="67"/>
  <c r="L10" i="67"/>
  <c r="K10" i="67"/>
  <c r="J10" i="67"/>
  <c r="I10" i="67"/>
  <c r="H10" i="67"/>
  <c r="A48" i="67"/>
  <c r="C44" i="67"/>
  <c r="B38" i="67"/>
  <c r="O19" i="67"/>
  <c r="Q19" i="67"/>
  <c r="P18" i="67"/>
  <c r="W17" i="67"/>
  <c r="X17" i="67"/>
  <c r="O17" i="67"/>
  <c r="Q17" i="67"/>
  <c r="O15" i="67"/>
  <c r="Q15" i="67"/>
  <c r="P14" i="67"/>
  <c r="W13" i="67"/>
  <c r="O13" i="67"/>
  <c r="Q13" i="67"/>
  <c r="X13" i="67"/>
  <c r="S71" i="66"/>
  <c r="Q71" i="66"/>
  <c r="C50" i="66"/>
  <c r="C48" i="66"/>
  <c r="N10" i="66"/>
  <c r="M10" i="66"/>
  <c r="L10" i="66"/>
  <c r="K10" i="66"/>
  <c r="J10" i="66"/>
  <c r="I10" i="66"/>
  <c r="H10" i="66"/>
  <c r="A48" i="66"/>
  <c r="C44" i="66"/>
  <c r="B38" i="66"/>
  <c r="O19" i="66"/>
  <c r="Q19" i="66"/>
  <c r="P18" i="66"/>
  <c r="W17" i="66"/>
  <c r="X17" i="66"/>
  <c r="O17" i="66"/>
  <c r="Q17" i="66"/>
  <c r="O15" i="66"/>
  <c r="Q15" i="66"/>
  <c r="P14" i="66"/>
  <c r="W13" i="66"/>
  <c r="O13" i="66"/>
  <c r="Q13" i="66"/>
  <c r="X13" i="66"/>
  <c r="S29" i="57"/>
  <c r="W29" i="57"/>
  <c r="S29" i="56"/>
  <c r="S29" i="41"/>
  <c r="Q31" i="57"/>
  <c r="X29" i="57"/>
  <c r="Q29" i="57"/>
  <c r="W29" i="41"/>
  <c r="X29" i="41"/>
  <c r="S25" i="57"/>
  <c r="Q27" i="57"/>
  <c r="W25" i="57"/>
  <c r="X25" i="57"/>
  <c r="Q25" i="57"/>
  <c r="Q31" i="56"/>
  <c r="W29" i="56"/>
  <c r="X29" i="56"/>
  <c r="Q29" i="56"/>
  <c r="X25" i="56"/>
  <c r="W25" i="56"/>
  <c r="S25" i="56"/>
  <c r="Q27" i="56"/>
  <c r="Q25" i="56"/>
  <c r="S25" i="41"/>
  <c r="W25" i="41"/>
  <c r="X25" i="41"/>
  <c r="Q31" i="41"/>
  <c r="Q29" i="41"/>
  <c r="Q27" i="41"/>
  <c r="Q25" i="41"/>
  <c r="S13" i="65"/>
  <c r="S17" i="65"/>
  <c r="S71" i="65"/>
  <c r="Q71" i="65"/>
  <c r="C50" i="65"/>
  <c r="C48" i="65"/>
  <c r="N10" i="65"/>
  <c r="M10" i="65"/>
  <c r="L10" i="65"/>
  <c r="K10" i="65"/>
  <c r="J10" i="65"/>
  <c r="I10" i="65"/>
  <c r="H10" i="65"/>
  <c r="A48" i="65"/>
  <c r="C44" i="65"/>
  <c r="B38" i="65"/>
  <c r="O35" i="65"/>
  <c r="O33" i="65"/>
  <c r="O31" i="65"/>
  <c r="Q31" i="65"/>
  <c r="O29" i="65"/>
  <c r="O27" i="65"/>
  <c r="Q27" i="65"/>
  <c r="O25" i="65"/>
  <c r="O23" i="65"/>
  <c r="Q23" i="65"/>
  <c r="P22" i="65"/>
  <c r="X21" i="65"/>
  <c r="O21" i="65"/>
  <c r="Q21" i="65"/>
  <c r="O19" i="65"/>
  <c r="Q19" i="65"/>
  <c r="P18" i="65"/>
  <c r="W17" i="65"/>
  <c r="X17" i="65"/>
  <c r="O17" i="65"/>
  <c r="Q17" i="65"/>
  <c r="O15" i="65"/>
  <c r="Q15" i="65"/>
  <c r="P14" i="65"/>
  <c r="W13" i="65"/>
  <c r="O13" i="65"/>
  <c r="Q13" i="65"/>
  <c r="X13" i="65"/>
  <c r="S13" i="57"/>
  <c r="O15" i="57"/>
  <c r="Q15" i="57"/>
  <c r="Q13" i="57"/>
  <c r="W13" i="57"/>
  <c r="X13" i="57"/>
  <c r="S17" i="61"/>
  <c r="S13" i="61"/>
  <c r="W13" i="61"/>
  <c r="X13" i="61"/>
  <c r="W17" i="61"/>
  <c r="O19" i="61"/>
  <c r="Q19" i="61"/>
  <c r="X17" i="61"/>
  <c r="S21" i="62"/>
  <c r="W21" i="62"/>
  <c r="S17" i="62"/>
  <c r="S13" i="62"/>
  <c r="X21" i="62"/>
  <c r="W17" i="62"/>
  <c r="O19" i="62"/>
  <c r="Q19" i="62"/>
  <c r="X17" i="62"/>
  <c r="W13" i="62"/>
  <c r="X13" i="62"/>
  <c r="S33" i="59"/>
  <c r="S17" i="59"/>
  <c r="S13" i="59"/>
  <c r="R13" i="59"/>
  <c r="S29" i="59"/>
  <c r="W33" i="59"/>
  <c r="X33" i="59"/>
  <c r="W29" i="59"/>
  <c r="X29" i="59"/>
  <c r="W25" i="59"/>
  <c r="X25" i="59"/>
  <c r="W17" i="59"/>
  <c r="O19" i="59"/>
  <c r="Q19" i="59"/>
  <c r="X17" i="59"/>
  <c r="W13" i="59"/>
  <c r="X13" i="59"/>
  <c r="X21" i="59"/>
  <c r="W21" i="59"/>
  <c r="S21" i="59"/>
  <c r="R21" i="59"/>
  <c r="O15" i="56"/>
  <c r="Q15" i="56"/>
  <c r="P14" i="56"/>
  <c r="S13" i="56"/>
  <c r="O13" i="56"/>
  <c r="Q13" i="56"/>
  <c r="P14" i="57"/>
  <c r="S17" i="58"/>
  <c r="X13" i="58"/>
  <c r="S13" i="58"/>
  <c r="W13" i="58"/>
  <c r="W17" i="58"/>
  <c r="O19" i="58"/>
  <c r="Q19" i="58"/>
  <c r="X17" i="58"/>
  <c r="X21" i="58"/>
  <c r="W21" i="58"/>
  <c r="S21" i="58"/>
  <c r="S17" i="57"/>
  <c r="W17" i="57"/>
  <c r="O19" i="57"/>
  <c r="Q19" i="57"/>
  <c r="X17" i="57"/>
  <c r="W21" i="57"/>
  <c r="S21" i="57"/>
  <c r="O23" i="57"/>
  <c r="Q23" i="57"/>
  <c r="X21" i="57"/>
  <c r="P26" i="59"/>
  <c r="P30" i="59"/>
  <c r="P34" i="59"/>
  <c r="P22" i="62"/>
  <c r="O23" i="62"/>
  <c r="Q23" i="62"/>
  <c r="O21" i="62"/>
  <c r="O25" i="62"/>
  <c r="O27" i="62"/>
  <c r="Q27" i="62"/>
  <c r="O29" i="62"/>
  <c r="O31" i="62"/>
  <c r="Q31" i="62"/>
  <c r="S71" i="62"/>
  <c r="Q71" i="62"/>
  <c r="C50" i="62"/>
  <c r="C48" i="62"/>
  <c r="N10" i="62"/>
  <c r="M10" i="62"/>
  <c r="L10" i="62"/>
  <c r="K10" i="62"/>
  <c r="J10" i="62"/>
  <c r="I10" i="62"/>
  <c r="H10" i="62"/>
  <c r="A48" i="62"/>
  <c r="C44" i="62"/>
  <c r="B38" i="62"/>
  <c r="O35" i="62"/>
  <c r="Q35" i="62"/>
  <c r="O33" i="62"/>
  <c r="P18" i="62"/>
  <c r="O17" i="62"/>
  <c r="Q17" i="62"/>
  <c r="O15" i="62"/>
  <c r="Q15" i="62"/>
  <c r="P14" i="62"/>
  <c r="O13" i="62"/>
  <c r="Q13" i="62"/>
  <c r="S71" i="61"/>
  <c r="Q71" i="61"/>
  <c r="C50" i="61"/>
  <c r="C48" i="61"/>
  <c r="N10" i="61"/>
  <c r="M10" i="61"/>
  <c r="L10" i="61"/>
  <c r="K10" i="61"/>
  <c r="J10" i="61"/>
  <c r="I10" i="61"/>
  <c r="H10" i="61"/>
  <c r="A48" i="61"/>
  <c r="C44" i="61"/>
  <c r="B38" i="61"/>
  <c r="P18" i="61"/>
  <c r="O17" i="61"/>
  <c r="Q17" i="61"/>
  <c r="O15" i="61"/>
  <c r="Q15" i="61"/>
  <c r="P14" i="61"/>
  <c r="O13" i="61"/>
  <c r="Q13" i="61"/>
  <c r="O35" i="59"/>
  <c r="Q35" i="59"/>
  <c r="O33" i="59"/>
  <c r="S71" i="59"/>
  <c r="Q71" i="59"/>
  <c r="C50" i="59"/>
  <c r="C48" i="59"/>
  <c r="N10" i="59"/>
  <c r="M10" i="59"/>
  <c r="L10" i="59"/>
  <c r="K10" i="59"/>
  <c r="J10" i="59"/>
  <c r="I10" i="59"/>
  <c r="H10" i="59"/>
  <c r="A48" i="59"/>
  <c r="C44" i="59"/>
  <c r="B38" i="59"/>
  <c r="O31" i="59"/>
  <c r="Q31" i="59"/>
  <c r="O29" i="59"/>
  <c r="O27" i="59"/>
  <c r="Q27" i="59"/>
  <c r="O25" i="59"/>
  <c r="O23" i="59"/>
  <c r="Q23" i="59"/>
  <c r="P22" i="59"/>
  <c r="O21" i="59"/>
  <c r="Q21" i="59"/>
  <c r="P18" i="59"/>
  <c r="O17" i="59"/>
  <c r="Q17" i="59"/>
  <c r="O15" i="59"/>
  <c r="Q15" i="59"/>
  <c r="P14" i="59"/>
  <c r="O13" i="59"/>
  <c r="Q13" i="59"/>
  <c r="Q31" i="58"/>
  <c r="Q27" i="58"/>
  <c r="S71" i="58"/>
  <c r="Q71" i="58"/>
  <c r="C50" i="58"/>
  <c r="C48" i="58"/>
  <c r="N10" i="58"/>
  <c r="M10" i="58"/>
  <c r="L10" i="58"/>
  <c r="K10" i="58"/>
  <c r="J10" i="58"/>
  <c r="I10" i="58"/>
  <c r="H10" i="58"/>
  <c r="A48" i="58"/>
  <c r="C44" i="58"/>
  <c r="B38" i="58"/>
  <c r="O35" i="58"/>
  <c r="O33" i="58"/>
  <c r="O31" i="58"/>
  <c r="O29" i="58"/>
  <c r="O27" i="58"/>
  <c r="O25" i="58"/>
  <c r="O23" i="58"/>
  <c r="Q23" i="58"/>
  <c r="P22" i="58"/>
  <c r="O21" i="58"/>
  <c r="Q21" i="58"/>
  <c r="P18" i="58"/>
  <c r="O17" i="58"/>
  <c r="Q17" i="58"/>
  <c r="O15" i="58"/>
  <c r="Q15" i="58"/>
  <c r="P14" i="58"/>
  <c r="O13" i="58"/>
  <c r="Q13" i="58"/>
  <c r="S71" i="57"/>
  <c r="Q71" i="57"/>
  <c r="C50" i="57"/>
  <c r="C48" i="57"/>
  <c r="N10" i="57"/>
  <c r="M10" i="57"/>
  <c r="L10" i="57"/>
  <c r="K10" i="57"/>
  <c r="J10" i="57"/>
  <c r="I10" i="57"/>
  <c r="H10" i="57"/>
  <c r="A48" i="57"/>
  <c r="C44" i="57"/>
  <c r="B38" i="57"/>
  <c r="O35" i="57"/>
  <c r="O33" i="57"/>
  <c r="O31" i="57"/>
  <c r="O29" i="57"/>
  <c r="O27" i="57"/>
  <c r="O25" i="57"/>
  <c r="P22" i="57"/>
  <c r="O21" i="57"/>
  <c r="Q21" i="57"/>
  <c r="P18" i="57"/>
  <c r="O17" i="57"/>
  <c r="Q17" i="57"/>
  <c r="O29" i="56"/>
  <c r="O25" i="56"/>
  <c r="O21" i="56"/>
  <c r="O17" i="56"/>
  <c r="S17" i="56"/>
  <c r="W17" i="56"/>
  <c r="X17" i="56"/>
  <c r="R17" i="56"/>
  <c r="X21" i="56"/>
  <c r="W21" i="56"/>
  <c r="S21" i="56"/>
  <c r="R21" i="56"/>
  <c r="S71" i="56"/>
  <c r="Q71" i="56"/>
  <c r="C50" i="56"/>
  <c r="C48" i="56"/>
  <c r="N10" i="56"/>
  <c r="M10" i="56"/>
  <c r="L10" i="56"/>
  <c r="K10" i="56"/>
  <c r="J10" i="56"/>
  <c r="I10" i="56"/>
  <c r="H10" i="56"/>
  <c r="A48" i="56"/>
  <c r="C44" i="56"/>
  <c r="B38" i="56"/>
  <c r="O35" i="56"/>
  <c r="O33" i="56"/>
  <c r="O31" i="56"/>
  <c r="O27" i="56"/>
  <c r="O23" i="56"/>
  <c r="Q23" i="56"/>
  <c r="P22" i="56"/>
  <c r="Q21" i="56"/>
  <c r="O19" i="56"/>
  <c r="Q19" i="56"/>
  <c r="P18" i="56"/>
  <c r="Q17" i="56"/>
  <c r="S21" i="41"/>
  <c r="S17" i="41"/>
  <c r="O23" i="41"/>
  <c r="Q23" i="41"/>
  <c r="O21" i="41"/>
  <c r="Q21" i="41"/>
  <c r="O19" i="41"/>
  <c r="Q19" i="41"/>
  <c r="O17" i="41"/>
  <c r="Q17" i="41"/>
  <c r="Q13" i="41"/>
  <c r="O15" i="41"/>
  <c r="Q15" i="41"/>
  <c r="O35" i="41"/>
  <c r="O33" i="41"/>
  <c r="O29" i="41"/>
  <c r="O25" i="41"/>
  <c r="O13" i="41"/>
  <c r="S71" i="41"/>
  <c r="Q71" i="41"/>
  <c r="C50" i="41"/>
  <c r="C48" i="41"/>
  <c r="N10" i="41"/>
  <c r="M10" i="41"/>
  <c r="L10" i="41"/>
  <c r="K10" i="41"/>
  <c r="J10" i="41"/>
  <c r="I10" i="41"/>
  <c r="H10" i="41"/>
  <c r="A48" i="41"/>
  <c r="C44" i="41"/>
  <c r="B38" i="41"/>
  <c r="O31" i="41"/>
  <c r="O27" i="41"/>
  <c r="P22" i="41"/>
  <c r="P18" i="41"/>
  <c r="P14" i="41"/>
</calcChain>
</file>

<file path=xl/sharedStrings.xml><?xml version="1.0" encoding="utf-8"?>
<sst xmlns="http://schemas.openxmlformats.org/spreadsheetml/2006/main" count="2475" uniqueCount="129">
  <si>
    <t>63 Start. 108, 72 Stat. 967; 76 Stat. 357; 40 U.S.C. 276c), and described below:</t>
  </si>
  <si>
    <t>(a) WHERE FRINGE BENEFITS ARE PAID TO APPROVED PLANS, FUNDS, OR PROGRAMS</t>
  </si>
  <si>
    <t xml:space="preserve">(2) That any payrolls otherwise under this contract required to be submitted for the above period are </t>
  </si>
  <si>
    <t xml:space="preserve">correct and complete; that the wage rates for laborers or mechanics contained therein are not less than the </t>
  </si>
  <si>
    <t xml:space="preserve">applicable wage rates contained in any wage determination Incorporated into the contract; that the </t>
  </si>
  <si>
    <t>classifications set forth therein for each laborer or mechanic conform with the work he performed.</t>
  </si>
  <si>
    <t xml:space="preserve">(3) That any apprentices employed in the above period are duly registered in a bona fide </t>
  </si>
  <si>
    <t xml:space="preserve">apprenticeship program registered with a State apprenticeship agency recognized by the Bureau of </t>
  </si>
  <si>
    <t xml:space="preserve">Apprenticeship and Training, United States Department of Labor, of if no such recognized agency exists in a </t>
  </si>
  <si>
    <t>State, are registered with the Bureau of Apprenticeship and Training, United States Department of Labor.</t>
  </si>
  <si>
    <t xml:space="preserve">Each laborer or mechanic listed in the above referenced payroll has been paid, </t>
  </si>
  <si>
    <t xml:space="preserve">as indicated on the payroll, an amount not less than the sum of the applicable </t>
  </si>
  <si>
    <t xml:space="preserve">basic hourly wage rate plus the amount of the required fringe benefits as listed </t>
  </si>
  <si>
    <t>in the contract, except as noted in Section 4(c) below.</t>
  </si>
  <si>
    <t>EXCEPTION (CRAFT)</t>
  </si>
  <si>
    <t>EXPLANATION</t>
  </si>
  <si>
    <t>(c) EXCEPTIONS</t>
  </si>
  <si>
    <t>REMARKS:</t>
  </si>
  <si>
    <t>PAYROLL NO.</t>
  </si>
  <si>
    <t>FOR WEEK ENDING</t>
  </si>
  <si>
    <t>PROJECT AND LOCATION</t>
  </si>
  <si>
    <t>PROJECT OR CONTRACT NO.</t>
  </si>
  <si>
    <r>
      <rPr>
        <b/>
        <sz val="13"/>
        <color theme="1"/>
        <rFont val="Calibri"/>
        <family val="2"/>
        <scheme val="minor"/>
      </rPr>
      <t xml:space="preserve">U.S. Department of Labor </t>
    </r>
    <r>
      <rPr>
        <b/>
        <sz val="12"/>
        <color theme="1"/>
        <rFont val="Calibri"/>
        <family val="2"/>
        <scheme val="minor"/>
      </rPr>
      <t xml:space="preserve">     </t>
    </r>
    <r>
      <rPr>
        <sz val="11"/>
        <color theme="1"/>
        <rFont val="Calibri"/>
        <family val="2"/>
        <scheme val="minor"/>
      </rPr>
      <t xml:space="preserve"> </t>
    </r>
    <r>
      <rPr>
        <sz val="9"/>
        <color theme="1"/>
        <rFont val="Calibri"/>
        <family val="2"/>
        <scheme val="minor"/>
      </rPr>
      <t>Employment Standards Administration      Wage and Hour Division</t>
    </r>
  </si>
  <si>
    <t>(1)</t>
  </si>
  <si>
    <t>(2)</t>
  </si>
  <si>
    <t>(3)</t>
  </si>
  <si>
    <t>NAME, ADDRESS, AND SOCIAL SECURITY NUMBER OF EMPLOYEE</t>
  </si>
  <si>
    <t>NO. OF WITHHOLDING EXEMPTIONS</t>
  </si>
  <si>
    <t>WORK CLASSIFICATION</t>
  </si>
  <si>
    <t>OT. OR ST.</t>
  </si>
  <si>
    <t>(5)</t>
  </si>
  <si>
    <t>(6)</t>
  </si>
  <si>
    <t>(7)</t>
  </si>
  <si>
    <t>(8) DEDUCTIONS</t>
  </si>
  <si>
    <t>TOTAL DEDUCTIONS</t>
  </si>
  <si>
    <t>OTHER</t>
  </si>
  <si>
    <t>M</t>
  </si>
  <si>
    <t>T</t>
  </si>
  <si>
    <t>W</t>
  </si>
  <si>
    <t>F</t>
  </si>
  <si>
    <t>S</t>
  </si>
  <si>
    <t>SAT</t>
  </si>
  <si>
    <t>SUN</t>
  </si>
  <si>
    <t>HOURS WORKED EACH DAY</t>
  </si>
  <si>
    <t>FICA</t>
  </si>
  <si>
    <t>WITH-HOLDING TAX</t>
  </si>
  <si>
    <t>TOTAL HOURS</t>
  </si>
  <si>
    <t>RATE OF PAY</t>
  </si>
  <si>
    <t>GROSS AMOUNT EARNED</t>
  </si>
  <si>
    <t xml:space="preserve">O </t>
  </si>
  <si>
    <t>NAME AND TITLE</t>
  </si>
  <si>
    <t>SIGNATURE</t>
  </si>
  <si>
    <r>
      <t>SUBCONTRACTOR [_</t>
    </r>
    <r>
      <rPr>
        <u/>
        <sz val="8"/>
        <rFont val="Calibri"/>
        <family val="2"/>
        <scheme val="minor"/>
      </rPr>
      <t>x</t>
    </r>
    <r>
      <rPr>
        <sz val="8"/>
        <rFont val="Calibri"/>
        <family val="2"/>
        <scheme val="minor"/>
      </rPr>
      <t>_]</t>
    </r>
  </si>
  <si>
    <t>(9)                                       NET WAGES PAID FOR WEEK</t>
  </si>
  <si>
    <t>(4) DAY AND DATE</t>
    <phoneticPr fontId="18" type="noConversion"/>
  </si>
  <si>
    <r>
      <rPr>
        <b/>
        <sz val="14"/>
        <color theme="1"/>
        <rFont val="Calibri"/>
        <family val="2"/>
        <scheme val="minor"/>
      </rPr>
      <t>PAYROLL</t>
    </r>
    <r>
      <rPr>
        <b/>
        <sz val="10"/>
        <color theme="1"/>
        <rFont val="Calibri"/>
        <family val="2"/>
        <scheme val="minor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(For Contractor's Optional Use; See Instructions, Form WH-347 Inst.)                                                                                                                                               </t>
    </r>
    <r>
      <rPr>
        <i/>
        <sz val="9"/>
        <color theme="1"/>
        <rFont val="Calibri"/>
        <family val="2"/>
        <scheme val="minor"/>
      </rPr>
      <t>Persons are not required to respond to the collection of information unless it displays a currently valid OMB control number.</t>
    </r>
  </si>
  <si>
    <t>NAME OF CONTRACTOR [__]</t>
  </si>
  <si>
    <t>(4) That:</t>
  </si>
  <si>
    <t>Date</t>
  </si>
  <si>
    <t>I,</t>
  </si>
  <si>
    <t>do hereby state:</t>
  </si>
  <si>
    <t>(1) That I pay or supervise the payment of the persons employed by</t>
  </si>
  <si>
    <t>(Name of Signatory Party)</t>
  </si>
  <si>
    <t>(Title)</t>
  </si>
  <si>
    <t>on the</t>
  </si>
  <si>
    <t>(Contractor or Subcontractor)</t>
  </si>
  <si>
    <t>(Building or Work)</t>
  </si>
  <si>
    <t>; that during the payroll period commencing on the</t>
  </si>
  <si>
    <t xml:space="preserve">and ending the </t>
  </si>
  <si>
    <t>from the full</t>
  </si>
  <si>
    <t>weekly wages earned by any person and that no deductions have been made either directly or indirectly</t>
  </si>
  <si>
    <t xml:space="preserve">from the full wages earned by any person, other than permissible deductions as defined in Regulations, Part </t>
  </si>
  <si>
    <t>3 (29 CFR Subtitle A), issued by the Secretary of Labor under the Copeland Act, as amended (48 Stat. 948,</t>
  </si>
  <si>
    <t xml:space="preserve">all persons employed on said project have been paid the full </t>
  </si>
  <si>
    <t>weekly wages earned, that no rebates have been or will  be made either directly or indirectly to or on behalf of said</t>
  </si>
  <si>
    <t>President</t>
  </si>
  <si>
    <t xml:space="preserve">in addition to the basic hourly wage rates paid to each laborer or mechanic listed in </t>
  </si>
  <si>
    <t xml:space="preserve">the above referenced payroll, payments of fringe benefits as listed in the contract </t>
  </si>
  <si>
    <t xml:space="preserve">have been or will be made to appropriate programs for the benefit of such </t>
  </si>
  <si>
    <t>employees, except as noted in Section 4(c) below.</t>
  </si>
  <si>
    <t>-</t>
  </si>
  <si>
    <t>[___]</t>
  </si>
  <si>
    <t>(b) WHERE FRINGE BENEFITS ARE PAID IN CASH</t>
  </si>
  <si>
    <t>Eric Coffie</t>
  </si>
  <si>
    <t>Charles Waldrup</t>
  </si>
  <si>
    <t>xxx-xx-7797</t>
  </si>
  <si>
    <t>THE WILLFUL FALSIFICATION OF ANY OF THE ABOVE STATEMENTS MAY SUBJECT</t>
  </si>
  <si>
    <t xml:space="preserve">THE CONTRACTOR OR SUBCONTRACTOR TO CIVIL OR CRIMINAL PROSECUTION. </t>
  </si>
  <si>
    <t xml:space="preserve">SEE SECTIONS 1001 OF TITLE !8 AND SECTION 231 OF TITLE 31 OF THE UNITED </t>
  </si>
  <si>
    <t>STATES CODE.</t>
  </si>
  <si>
    <t>[_x__]</t>
  </si>
  <si>
    <t>DAVIS BACON WAGES GENERAL DECISION NO.</t>
  </si>
  <si>
    <t>FB $ 5.00</t>
  </si>
  <si>
    <t>Explanation</t>
  </si>
  <si>
    <t>IronWorker</t>
  </si>
  <si>
    <t>Are paid fringe benefits, as listed in the wage decision, to fund as noted in Remarks</t>
  </si>
  <si>
    <t xml:space="preserve">Fringe benefits payments made to: </t>
  </si>
  <si>
    <t>Are paid fringe benefits as listed in the wage decision, in cash</t>
  </si>
  <si>
    <t>Marvin Marsh</t>
  </si>
  <si>
    <t>Brandon Mills</t>
  </si>
  <si>
    <t>Brady Mayfield</t>
  </si>
  <si>
    <t>Pavel Escobar</t>
  </si>
  <si>
    <t>xxx-xx-6044</t>
  </si>
  <si>
    <t>xxx-xxx-1265</t>
  </si>
  <si>
    <t>xxx-xx-0158</t>
  </si>
  <si>
    <t>USACE McConnell AFB Flight Simulator</t>
  </si>
  <si>
    <t>xxx-xx-4645</t>
  </si>
  <si>
    <t>McConnell AFB, Wichita, KS</t>
  </si>
  <si>
    <t>CONTRACT NO. W912DQ-15-C-4005</t>
  </si>
  <si>
    <t>KSI 50007 02/20/2015 KS7</t>
  </si>
  <si>
    <t>FB $ 0.00</t>
  </si>
  <si>
    <t>R</t>
  </si>
  <si>
    <t>Noah Cook</t>
  </si>
  <si>
    <t>Erik Ward</t>
  </si>
  <si>
    <t>Johnathan Leavins</t>
  </si>
  <si>
    <t>Tanner Wallace</t>
  </si>
  <si>
    <t>General Labor,  (SUKS2004-003 10/31/2002)</t>
  </si>
  <si>
    <t>xxx-xx-2144</t>
  </si>
  <si>
    <t>xxx-xx-0271</t>
  </si>
  <si>
    <t>xxx-xx-1634</t>
  </si>
  <si>
    <t>xxx-xx-6762</t>
  </si>
  <si>
    <t>Victoria Watkins</t>
  </si>
  <si>
    <t>xxx-xx-6716</t>
  </si>
  <si>
    <t>Pre-engineered Building Erector (SUKS2004-003 10/31/2002)</t>
  </si>
  <si>
    <t>General Labor (SUKS2004-003 10/31/2002)</t>
  </si>
  <si>
    <t>Evankoff LLC</t>
  </si>
  <si>
    <t>ADDRESS:    10711 SW 216th St. #104, Miami, FL 33170</t>
  </si>
  <si>
    <t>Building Erector</t>
  </si>
  <si>
    <t>Pre-engineered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</si>
</sst>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(&quot;$&quot;* #,##0.00_);_(&quot;$&quot;* \(#,##0.00\);_(&quot;$&quot;* &quot;-&quot;??_);_(@_)"/>
    <numFmt numFmtId="165" formatCode="[$-409]d\-mmm\-yy;@"/>
    <numFmt numFmtId="166" formatCode="[$-409]d\-mmm\-yyyy;@"/>
    <numFmt numFmtId="167" formatCode="m/d;@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5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name val="Century Gothic"/>
      <family val="2"/>
    </font>
    <font>
      <u/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u/>
      <sz val="8"/>
      <name val="Calibri"/>
      <family val="2"/>
      <scheme val="minor"/>
    </font>
    <font>
      <sz val="8"/>
      <name val="Verdana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8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sz val="8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CE6F1"/>
        <bgColor rgb="FF000000"/>
      </patternFill>
    </fill>
  </fills>
  <borders count="26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</borders>
  <cellStyleXfs count="334">
    <xf numFmtId="0" fontId="0" fillId="0" borderId="0"/>
    <xf numFmtId="164" fontId="1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</cellStyleXfs>
  <cellXfs count="268">
    <xf numFmtId="0" fontId="0" fillId="0" borderId="0" xfId="0"/>
    <xf numFmtId="0" fontId="3" fillId="0" borderId="0" xfId="0" applyFont="1"/>
    <xf numFmtId="49" fontId="2" fillId="0" borderId="0" xfId="0" applyNumberFormat="1" applyFont="1"/>
    <xf numFmtId="0" fontId="2" fillId="0" borderId="0" xfId="0" applyFont="1" applyAlignment="1">
      <alignment vertical="center" wrapText="1"/>
    </xf>
    <xf numFmtId="0" fontId="2" fillId="0" borderId="6" xfId="0" applyFont="1" applyBorder="1"/>
    <xf numFmtId="0" fontId="0" fillId="0" borderId="6" xfId="0" applyBorder="1"/>
    <xf numFmtId="0" fontId="2" fillId="0" borderId="11" xfId="0" applyFont="1" applyBorder="1"/>
    <xf numFmtId="49" fontId="2" fillId="0" borderId="10" xfId="0" applyNumberFormat="1" applyFont="1" applyBorder="1" applyAlignment="1">
      <alignment horizontal="center"/>
    </xf>
    <xf numFmtId="0" fontId="0" fillId="0" borderId="11" xfId="0" applyBorder="1"/>
    <xf numFmtId="0" fontId="0" fillId="3" borderId="0" xfId="0" applyFill="1"/>
    <xf numFmtId="0" fontId="0" fillId="3" borderId="1" xfId="0" applyFill="1" applyBorder="1"/>
    <xf numFmtId="0" fontId="0" fillId="0" borderId="0" xfId="0" applyAlignment="1">
      <alignment vertical="top"/>
    </xf>
    <xf numFmtId="0" fontId="2" fillId="0" borderId="14" xfId="0" applyFont="1" applyBorder="1" applyAlignment="1">
      <alignment vertical="top"/>
    </xf>
    <xf numFmtId="0" fontId="2" fillId="0" borderId="0" xfId="0" applyFont="1" applyAlignment="1">
      <alignment vertical="top"/>
    </xf>
    <xf numFmtId="0" fontId="2" fillId="0" borderId="15" xfId="0" applyFont="1" applyBorder="1" applyAlignment="1">
      <alignment vertical="center" wrapText="1"/>
    </xf>
    <xf numFmtId="0" fontId="11" fillId="0" borderId="15" xfId="0" applyFont="1" applyBorder="1" applyAlignment="1">
      <alignment vertical="top"/>
    </xf>
    <xf numFmtId="0" fontId="11" fillId="0" borderId="16" xfId="0" applyFont="1" applyBorder="1" applyAlignment="1">
      <alignment vertical="top"/>
    </xf>
    <xf numFmtId="0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/>
    <xf numFmtId="0" fontId="15" fillId="0" borderId="0" xfId="0" applyFont="1" applyAlignment="1">
      <alignment vertical="center"/>
    </xf>
    <xf numFmtId="0" fontId="2" fillId="0" borderId="15" xfId="0" applyFont="1" applyBorder="1" applyAlignment="1">
      <alignment vertical="center"/>
    </xf>
    <xf numFmtId="0" fontId="0" fillId="0" borderId="15" xfId="0" applyBorder="1" applyAlignment="1"/>
    <xf numFmtId="0" fontId="2" fillId="0" borderId="0" xfId="0" applyFont="1"/>
    <xf numFmtId="0" fontId="2" fillId="0" borderId="15" xfId="0" applyFont="1" applyBorder="1" applyAlignment="1"/>
    <xf numFmtId="0" fontId="2" fillId="0" borderId="0" xfId="0" applyFont="1" applyAlignment="1"/>
    <xf numFmtId="0" fontId="2" fillId="0" borderId="0" xfId="0" applyFont="1" applyAlignment="1">
      <alignment horizontal="right"/>
    </xf>
    <xf numFmtId="0" fontId="2" fillId="0" borderId="0" xfId="0" applyFont="1" applyBorder="1" applyAlignment="1"/>
    <xf numFmtId="0" fontId="2" fillId="0" borderId="15" xfId="0" applyNumberFormat="1" applyFont="1" applyBorder="1" applyAlignment="1"/>
    <xf numFmtId="0" fontId="2" fillId="0" borderId="0" xfId="0" applyNumberFormat="1" applyFont="1" applyAlignment="1"/>
    <xf numFmtId="0" fontId="2" fillId="0" borderId="0" xfId="0" applyNumberFormat="1" applyFont="1" applyBorder="1" applyAlignment="1"/>
    <xf numFmtId="0" fontId="6" fillId="0" borderId="0" xfId="0" applyFont="1" applyAlignment="1"/>
    <xf numFmtId="165" fontId="16" fillId="0" borderId="0" xfId="0" applyNumberFormat="1" applyFont="1" applyBorder="1" applyAlignment="1"/>
    <xf numFmtId="165" fontId="2" fillId="0" borderId="0" xfId="0" applyNumberFormat="1" applyFont="1" applyBorder="1" applyAlignment="1"/>
    <xf numFmtId="0" fontId="2" fillId="0" borderId="0" xfId="0" applyFont="1" applyAlignment="1">
      <alignment wrapText="1"/>
    </xf>
    <xf numFmtId="0" fontId="6" fillId="0" borderId="8" xfId="0" applyFont="1" applyBorder="1" applyAlignment="1"/>
    <xf numFmtId="0" fontId="3" fillId="0" borderId="0" xfId="0" applyFont="1" applyAlignment="1"/>
    <xf numFmtId="0" fontId="0" fillId="0" borderId="2" xfId="0" applyBorder="1"/>
    <xf numFmtId="0" fontId="0" fillId="0" borderId="0" xfId="0" applyBorder="1"/>
    <xf numFmtId="0" fontId="2" fillId="0" borderId="22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2" fillId="3" borderId="20" xfId="0" applyFont="1" applyFill="1" applyBorder="1" applyAlignment="1"/>
    <xf numFmtId="0" fontId="0" fillId="3" borderId="0" xfId="0" applyFill="1" applyBorder="1" applyAlignment="1"/>
    <xf numFmtId="0" fontId="0" fillId="3" borderId="20" xfId="0" applyFill="1" applyBorder="1" applyAlignment="1"/>
    <xf numFmtId="0" fontId="0" fillId="3" borderId="0" xfId="0" applyFill="1" applyBorder="1"/>
    <xf numFmtId="0" fontId="0" fillId="3" borderId="21" xfId="0" applyFill="1" applyBorder="1"/>
    <xf numFmtId="0" fontId="2" fillId="3" borderId="18" xfId="0" applyFont="1" applyFill="1" applyBorder="1" applyAlignment="1"/>
    <xf numFmtId="0" fontId="0" fillId="3" borderId="2" xfId="0" applyFill="1" applyBorder="1" applyAlignment="1"/>
    <xf numFmtId="0" fontId="0" fillId="3" borderId="18" xfId="0" applyFill="1" applyBorder="1" applyAlignment="1"/>
    <xf numFmtId="0" fontId="0" fillId="3" borderId="2" xfId="0" applyFill="1" applyBorder="1"/>
    <xf numFmtId="0" fontId="0" fillId="3" borderId="19" xfId="0" applyFill="1" applyBorder="1"/>
    <xf numFmtId="0" fontId="2" fillId="3" borderId="22" xfId="0" applyFont="1" applyFill="1" applyBorder="1" applyAlignment="1"/>
    <xf numFmtId="0" fontId="0" fillId="3" borderId="1" xfId="0" applyFill="1" applyBorder="1" applyAlignment="1"/>
    <xf numFmtId="0" fontId="0" fillId="3" borderId="22" xfId="0" applyFill="1" applyBorder="1" applyAlignment="1"/>
    <xf numFmtId="0" fontId="0" fillId="3" borderId="23" xfId="0" applyFill="1" applyBorder="1"/>
    <xf numFmtId="0" fontId="2" fillId="0" borderId="14" xfId="0" applyFont="1" applyBorder="1" applyAlignment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3" xfId="0" applyBorder="1" applyAlignment="1"/>
    <xf numFmtId="0" fontId="0" fillId="0" borderId="4" xfId="0" applyBorder="1" applyAlignment="1"/>
    <xf numFmtId="0" fontId="0" fillId="0" borderId="13" xfId="0" applyBorder="1"/>
    <xf numFmtId="0" fontId="2" fillId="0" borderId="14" xfId="0" applyFont="1" applyBorder="1"/>
    <xf numFmtId="0" fontId="2" fillId="0" borderId="4" xfId="0" applyFont="1" applyBorder="1"/>
    <xf numFmtId="0" fontId="2" fillId="0" borderId="13" xfId="0" applyFont="1" applyBorder="1"/>
    <xf numFmtId="0" fontId="0" fillId="0" borderId="16" xfId="0" applyBorder="1" applyAlignment="1"/>
    <xf numFmtId="0" fontId="0" fillId="0" borderId="17" xfId="0" applyBorder="1" applyAlignment="1"/>
    <xf numFmtId="0" fontId="0" fillId="0" borderId="5" xfId="0" applyBorder="1" applyAlignment="1"/>
    <xf numFmtId="0" fontId="0" fillId="0" borderId="18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19" xfId="0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Font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0" fillId="0" borderId="21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23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10" fillId="0" borderId="0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13" xfId="0" applyFont="1" applyBorder="1" applyAlignment="1">
      <alignment horizontal="left"/>
    </xf>
    <xf numFmtId="0" fontId="0" fillId="0" borderId="18" xfId="0" applyBorder="1"/>
    <xf numFmtId="0" fontId="2" fillId="0" borderId="0" xfId="0" applyFont="1" applyBorder="1" applyAlignment="1">
      <alignment vertical="center"/>
    </xf>
    <xf numFmtId="0" fontId="6" fillId="0" borderId="0" xfId="0" applyFont="1" applyBorder="1" applyAlignment="1"/>
    <xf numFmtId="0" fontId="2" fillId="0" borderId="0" xfId="0" applyFont="1" applyAlignment="1">
      <alignment horizontal="center" vertical="center"/>
    </xf>
    <xf numFmtId="165" fontId="16" fillId="0" borderId="0" xfId="0" applyNumberFormat="1" applyFont="1" applyBorder="1" applyAlignment="1">
      <alignment horizontal="center" vertical="center"/>
    </xf>
    <xf numFmtId="166" fontId="16" fillId="0" borderId="0" xfId="0" applyNumberFormat="1" applyFont="1" applyAlignment="1">
      <alignment horizontal="center" vertical="center"/>
    </xf>
    <xf numFmtId="167" fontId="2" fillId="0" borderId="6" xfId="0" applyNumberFormat="1" applyFont="1" applyBorder="1"/>
    <xf numFmtId="14" fontId="6" fillId="4" borderId="0" xfId="0" applyNumberFormat="1" applyFont="1" applyFill="1" applyAlignment="1"/>
    <xf numFmtId="0" fontId="21" fillId="0" borderId="14" xfId="0" applyFont="1" applyBorder="1" applyAlignment="1">
      <alignment vertical="top"/>
    </xf>
    <xf numFmtId="164" fontId="0" fillId="2" borderId="10" xfId="0" applyNumberFormat="1" applyFill="1" applyBorder="1" applyAlignment="1">
      <alignment vertical="center"/>
    </xf>
    <xf numFmtId="164" fontId="0" fillId="0" borderId="12" xfId="1" applyFont="1" applyBorder="1" applyAlignment="1">
      <alignment vertical="center"/>
    </xf>
    <xf numFmtId="164" fontId="0" fillId="2" borderId="6" xfId="0" applyNumberFormat="1" applyFill="1" applyBorder="1" applyAlignment="1">
      <alignment vertical="center"/>
    </xf>
    <xf numFmtId="164" fontId="0" fillId="0" borderId="6" xfId="1" applyFont="1" applyBorder="1" applyAlignment="1">
      <alignment vertical="center"/>
    </xf>
    <xf numFmtId="0" fontId="22" fillId="0" borderId="18" xfId="0" applyFont="1" applyBorder="1" applyAlignment="1">
      <alignment horizontal="center"/>
    </xf>
    <xf numFmtId="0" fontId="16" fillId="0" borderId="2" xfId="0" applyFont="1" applyBorder="1" applyAlignment="1">
      <alignment horizontal="center"/>
    </xf>
    <xf numFmtId="0" fontId="16" fillId="0" borderId="20" xfId="0" applyFont="1" applyBorder="1" applyAlignment="1">
      <alignment horizontal="center"/>
    </xf>
    <xf numFmtId="0" fontId="16" fillId="0" borderId="0" xfId="0" applyFont="1" applyBorder="1" applyAlignment="1">
      <alignment horizontal="center"/>
    </xf>
    <xf numFmtId="0" fontId="6" fillId="3" borderId="20" xfId="0" applyFont="1" applyFill="1" applyBorder="1" applyAlignment="1"/>
    <xf numFmtId="0" fontId="0" fillId="0" borderId="0" xfId="0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12" fillId="2" borderId="3" xfId="0" applyFont="1" applyFill="1" applyBorder="1" applyAlignment="1">
      <alignment horizontal="center"/>
    </xf>
    <xf numFmtId="0" fontId="11" fillId="0" borderId="15" xfId="0" applyFont="1" applyBorder="1" applyAlignment="1">
      <alignment horizontal="left" vertical="top"/>
    </xf>
    <xf numFmtId="0" fontId="0" fillId="0" borderId="3" xfId="0" applyBorder="1"/>
    <xf numFmtId="0" fontId="0" fillId="0" borderId="5" xfId="0" applyBorder="1"/>
    <xf numFmtId="0" fontId="0" fillId="0" borderId="0" xfId="0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12" fillId="2" borderId="3" xfId="0" applyFont="1" applyFill="1" applyBorder="1" applyAlignment="1">
      <alignment horizontal="center"/>
    </xf>
    <xf numFmtId="0" fontId="6" fillId="5" borderId="20" xfId="0" applyFont="1" applyFill="1" applyBorder="1" applyAlignment="1"/>
    <xf numFmtId="0" fontId="0" fillId="5" borderId="0" xfId="0" applyFill="1" applyBorder="1" applyAlignment="1"/>
    <xf numFmtId="0" fontId="12" fillId="2" borderId="3" xfId="0" applyFont="1" applyFill="1" applyBorder="1" applyAlignment="1">
      <alignment horizontal="center"/>
    </xf>
    <xf numFmtId="0" fontId="0" fillId="0" borderId="0" xfId="0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12" fillId="2" borderId="3" xfId="0" applyFont="1" applyFill="1" applyBorder="1" applyAlignment="1">
      <alignment horizontal="center"/>
    </xf>
    <xf numFmtId="0" fontId="0" fillId="0" borderId="0" xfId="0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12" fillId="2" borderId="3" xfId="0" applyFont="1" applyFill="1" applyBorder="1" applyAlignment="1">
      <alignment horizontal="center"/>
    </xf>
    <xf numFmtId="0" fontId="0" fillId="0" borderId="0" xfId="0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25" fillId="0" borderId="6" xfId="0" applyFont="1" applyBorder="1"/>
    <xf numFmtId="0" fontId="25" fillId="0" borderId="9" xfId="0" applyFont="1" applyBorder="1"/>
    <xf numFmtId="0" fontId="0" fillId="0" borderId="0" xfId="0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12" fillId="2" borderId="3" xfId="0" applyFont="1" applyFill="1" applyBorder="1" applyAlignment="1">
      <alignment horizontal="center"/>
    </xf>
    <xf numFmtId="0" fontId="12" fillId="2" borderId="3" xfId="0" applyFont="1" applyFill="1" applyBorder="1" applyAlignment="1">
      <alignment horizontal="center"/>
    </xf>
    <xf numFmtId="0" fontId="0" fillId="0" borderId="0" xfId="0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12" fillId="2" borderId="3" xfId="0" applyFont="1" applyFill="1" applyBorder="1" applyAlignment="1">
      <alignment horizontal="center"/>
    </xf>
    <xf numFmtId="0" fontId="0" fillId="0" borderId="0" xfId="0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12" fillId="2" borderId="3" xfId="0" applyFont="1" applyFill="1" applyBorder="1" applyAlignment="1">
      <alignment horizontal="center"/>
    </xf>
    <xf numFmtId="0" fontId="12" fillId="2" borderId="3" xfId="0" applyFont="1" applyFill="1" applyBorder="1" applyAlignment="1">
      <alignment horizontal="center"/>
    </xf>
    <xf numFmtId="0" fontId="0" fillId="0" borderId="0" xfId="0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6" fillId="0" borderId="0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1" fillId="0" borderId="24" xfId="0" applyFont="1" applyBorder="1" applyAlignment="1">
      <alignment horizontal="left" vertical="top"/>
    </xf>
    <xf numFmtId="0" fontId="11" fillId="0" borderId="2" xfId="0" applyFont="1" applyBorder="1" applyAlignment="1">
      <alignment horizontal="left" vertical="top"/>
    </xf>
    <xf numFmtId="0" fontId="12" fillId="0" borderId="2" xfId="0" applyFont="1" applyBorder="1" applyAlignment="1">
      <alignment horizontal="center" vertical="top"/>
    </xf>
    <xf numFmtId="0" fontId="12" fillId="0" borderId="25" xfId="0" applyFont="1" applyBorder="1" applyAlignment="1">
      <alignment horizontal="center" vertical="top"/>
    </xf>
    <xf numFmtId="0" fontId="21" fillId="3" borderId="24" xfId="0" applyFont="1" applyFill="1" applyBorder="1" applyAlignment="1">
      <alignment horizontal="left" vertical="top"/>
    </xf>
    <xf numFmtId="0" fontId="21" fillId="3" borderId="2" xfId="0" applyFont="1" applyFill="1" applyBorder="1" applyAlignment="1">
      <alignment horizontal="left" vertical="top"/>
    </xf>
    <xf numFmtId="0" fontId="12" fillId="0" borderId="2" xfId="0" applyFont="1" applyBorder="1" applyAlignment="1">
      <alignment horizontal="center"/>
    </xf>
    <xf numFmtId="0" fontId="12" fillId="0" borderId="25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13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3" fillId="2" borderId="4" xfId="0" applyFont="1" applyFill="1" applyBorder="1" applyAlignment="1">
      <alignment horizontal="left"/>
    </xf>
    <xf numFmtId="0" fontId="13" fillId="2" borderId="3" xfId="0" applyFont="1" applyFill="1" applyBorder="1" applyAlignment="1">
      <alignment horizontal="left"/>
    </xf>
    <xf numFmtId="0" fontId="21" fillId="0" borderId="14" xfId="0" applyFont="1" applyBorder="1" applyAlignment="1">
      <alignment horizontal="left" vertical="top"/>
    </xf>
    <xf numFmtId="0" fontId="21" fillId="0" borderId="15" xfId="0" applyFont="1" applyBorder="1" applyAlignment="1">
      <alignment horizontal="left" vertical="top"/>
    </xf>
    <xf numFmtId="0" fontId="21" fillId="0" borderId="16" xfId="0" applyFont="1" applyBorder="1" applyAlignment="1">
      <alignment horizontal="left" vertical="top"/>
    </xf>
    <xf numFmtId="0" fontId="12" fillId="2" borderId="4" xfId="0" applyFont="1" applyFill="1" applyBorder="1" applyAlignment="1">
      <alignment horizontal="center"/>
    </xf>
    <xf numFmtId="0" fontId="12" fillId="2" borderId="3" xfId="0" applyFont="1" applyFill="1" applyBorder="1" applyAlignment="1">
      <alignment horizontal="center"/>
    </xf>
    <xf numFmtId="0" fontId="12" fillId="2" borderId="5" xfId="0" applyFont="1" applyFill="1" applyBorder="1" applyAlignment="1">
      <alignment horizontal="center"/>
    </xf>
    <xf numFmtId="166" fontId="13" fillId="2" borderId="4" xfId="0" applyNumberFormat="1" applyFont="1" applyFill="1" applyBorder="1" applyAlignment="1">
      <alignment horizontal="center"/>
    </xf>
    <xf numFmtId="166" fontId="13" fillId="2" borderId="3" xfId="0" applyNumberFormat="1" applyFont="1" applyFill="1" applyBorder="1" applyAlignment="1">
      <alignment horizontal="center"/>
    </xf>
    <xf numFmtId="166" fontId="13" fillId="2" borderId="5" xfId="0" applyNumberFormat="1" applyFont="1" applyFill="1" applyBorder="1" applyAlignment="1">
      <alignment horizontal="center"/>
    </xf>
    <xf numFmtId="0" fontId="13" fillId="2" borderId="5" xfId="0" applyFont="1" applyFill="1" applyBorder="1" applyAlignment="1">
      <alignment horizontal="left"/>
    </xf>
    <xf numFmtId="49" fontId="2" fillId="0" borderId="14" xfId="0" applyNumberFormat="1" applyFont="1" applyBorder="1" applyAlignment="1">
      <alignment horizontal="center"/>
    </xf>
    <xf numFmtId="49" fontId="2" fillId="0" borderId="16" xfId="0" applyNumberFormat="1" applyFont="1" applyBorder="1" applyAlignment="1">
      <alignment horizontal="center"/>
    </xf>
    <xf numFmtId="49" fontId="2" fillId="0" borderId="15" xfId="0" applyNumberFormat="1" applyFont="1" applyBorder="1" applyAlignment="1">
      <alignment horizontal="center"/>
    </xf>
    <xf numFmtId="49" fontId="2" fillId="0" borderId="10" xfId="0" applyNumberFormat="1" applyFont="1" applyBorder="1" applyAlignment="1">
      <alignment horizontal="center" vertical="center" textRotation="90"/>
    </xf>
    <xf numFmtId="49" fontId="2" fillId="0" borderId="11" xfId="0" applyNumberFormat="1" applyFont="1" applyBorder="1" applyAlignment="1">
      <alignment horizontal="center" vertical="center" textRotation="90"/>
    </xf>
    <xf numFmtId="49" fontId="2" fillId="0" borderId="12" xfId="0" applyNumberFormat="1" applyFont="1" applyBorder="1" applyAlignment="1">
      <alignment horizontal="center" vertical="center" textRotation="90"/>
    </xf>
    <xf numFmtId="49" fontId="2" fillId="0" borderId="7" xfId="0" applyNumberFormat="1" applyFont="1" applyBorder="1" applyAlignment="1">
      <alignment horizontal="center"/>
    </xf>
    <xf numFmtId="49" fontId="2" fillId="0" borderId="8" xfId="0" applyNumberFormat="1" applyFont="1" applyBorder="1" applyAlignment="1">
      <alignment horizontal="center"/>
    </xf>
    <xf numFmtId="49" fontId="2" fillId="0" borderId="9" xfId="0" applyNumberFormat="1" applyFont="1" applyBorder="1" applyAlignment="1">
      <alignment horizontal="center"/>
    </xf>
    <xf numFmtId="49" fontId="2" fillId="0" borderId="6" xfId="0" applyNumberFormat="1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textRotation="90" wrapText="1"/>
    </xf>
    <xf numFmtId="0" fontId="9" fillId="0" borderId="12" xfId="0" applyFont="1" applyBorder="1" applyAlignment="1">
      <alignment horizontal="center" vertical="center" textRotation="90" wrapText="1"/>
    </xf>
    <xf numFmtId="0" fontId="2" fillId="0" borderId="13" xfId="0" applyFont="1" applyBorder="1" applyAlignment="1">
      <alignment horizontal="center" wrapText="1"/>
    </xf>
    <xf numFmtId="0" fontId="2" fillId="0" borderId="0" xfId="0" applyFont="1" applyBorder="1" applyAlignment="1">
      <alignment horizontal="center" wrapText="1"/>
    </xf>
    <xf numFmtId="0" fontId="2" fillId="0" borderId="17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0" fontId="2" fillId="0" borderId="11" xfId="0" applyFont="1" applyBorder="1" applyAlignment="1">
      <alignment horizontal="center" wrapText="1"/>
    </xf>
    <xf numFmtId="0" fontId="2" fillId="0" borderId="12" xfId="0" applyFont="1" applyBorder="1" applyAlignment="1">
      <alignment horizontal="center" wrapText="1"/>
    </xf>
    <xf numFmtId="0" fontId="2" fillId="0" borderId="6" xfId="0" applyFont="1" applyBorder="1" applyAlignment="1">
      <alignment horizontal="center"/>
    </xf>
    <xf numFmtId="0" fontId="2" fillId="0" borderId="6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wrapText="1"/>
    </xf>
    <xf numFmtId="0" fontId="2" fillId="0" borderId="9" xfId="0" applyFont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0" fontId="0" fillId="0" borderId="6" xfId="0" applyBorder="1" applyAlignment="1">
      <alignment horizontal="center"/>
    </xf>
    <xf numFmtId="0" fontId="14" fillId="0" borderId="14" xfId="0" applyFont="1" applyBorder="1" applyAlignment="1">
      <alignment horizontal="left"/>
    </xf>
    <xf numFmtId="0" fontId="14" fillId="0" borderId="16" xfId="0" applyFont="1" applyBorder="1" applyAlignment="1">
      <alignment horizontal="left"/>
    </xf>
    <xf numFmtId="0" fontId="3" fillId="0" borderId="6" xfId="0" applyFont="1" applyBorder="1" applyAlignment="1">
      <alignment horizontal="center" vertical="center"/>
    </xf>
    <xf numFmtId="0" fontId="22" fillId="2" borderId="14" xfId="0" applyFont="1" applyFill="1" applyBorder="1" applyAlignment="1">
      <alignment horizontal="center" vertical="center" wrapText="1"/>
    </xf>
    <xf numFmtId="0" fontId="22" fillId="2" borderId="15" xfId="0" applyFont="1" applyFill="1" applyBorder="1" applyAlignment="1">
      <alignment horizontal="center" vertical="center" wrapText="1"/>
    </xf>
    <xf numFmtId="0" fontId="22" fillId="2" borderId="16" xfId="0" applyFont="1" applyFill="1" applyBorder="1" applyAlignment="1">
      <alignment horizontal="center" vertical="center" wrapText="1"/>
    </xf>
    <xf numFmtId="0" fontId="22" fillId="2" borderId="13" xfId="0" applyFont="1" applyFill="1" applyBorder="1" applyAlignment="1">
      <alignment horizontal="center" vertical="center" wrapText="1"/>
    </xf>
    <xf numFmtId="0" fontId="22" fillId="2" borderId="0" xfId="0" applyFont="1" applyFill="1" applyBorder="1" applyAlignment="1">
      <alignment horizontal="center" vertical="center" wrapText="1"/>
    </xf>
    <xf numFmtId="0" fontId="22" fillId="2" borderId="17" xfId="0" applyFont="1" applyFill="1" applyBorder="1" applyAlignment="1">
      <alignment horizontal="center" vertical="center" wrapText="1"/>
    </xf>
    <xf numFmtId="0" fontId="22" fillId="2" borderId="4" xfId="0" applyFont="1" applyFill="1" applyBorder="1" applyAlignment="1">
      <alignment horizontal="center" vertical="center" wrapText="1"/>
    </xf>
    <xf numFmtId="0" fontId="22" fillId="2" borderId="3" xfId="0" applyFont="1" applyFill="1" applyBorder="1" applyAlignment="1">
      <alignment horizontal="center" vertical="center" wrapText="1"/>
    </xf>
    <xf numFmtId="0" fontId="22" fillId="2" borderId="5" xfId="0" applyFon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/>
    </xf>
    <xf numFmtId="0" fontId="14" fillId="0" borderId="13" xfId="0" applyFont="1" applyBorder="1" applyAlignment="1">
      <alignment horizontal="left"/>
    </xf>
    <xf numFmtId="0" fontId="14" fillId="0" borderId="17" xfId="0" applyFont="1" applyBorder="1" applyAlignment="1">
      <alignment horizontal="left"/>
    </xf>
    <xf numFmtId="0" fontId="0" fillId="0" borderId="6" xfId="0" applyBorder="1" applyAlignment="1">
      <alignment horizontal="center" vertical="center"/>
    </xf>
    <xf numFmtId="0" fontId="14" fillId="0" borderId="4" xfId="0" applyFont="1" applyBorder="1" applyAlignment="1">
      <alignment horizontal="left"/>
    </xf>
    <xf numFmtId="0" fontId="14" fillId="0" borderId="5" xfId="0" applyFont="1" applyBorder="1" applyAlignment="1">
      <alignment horizontal="left"/>
    </xf>
    <xf numFmtId="164" fontId="0" fillId="0" borderId="14" xfId="1" applyFont="1" applyBorder="1" applyAlignment="1">
      <alignment horizontal="center" vertical="center"/>
    </xf>
    <xf numFmtId="164" fontId="0" fillId="0" borderId="13" xfId="1" applyFont="1" applyBorder="1" applyAlignment="1">
      <alignment horizontal="center" vertical="center"/>
    </xf>
    <xf numFmtId="164" fontId="0" fillId="0" borderId="4" xfId="1" applyFont="1" applyBorder="1" applyAlignment="1">
      <alignment horizontal="center" vertical="center"/>
    </xf>
    <xf numFmtId="164" fontId="0" fillId="0" borderId="10" xfId="1" applyFont="1" applyBorder="1" applyAlignment="1">
      <alignment horizontal="center" vertical="center"/>
    </xf>
    <xf numFmtId="164" fontId="0" fillId="0" borderId="11" xfId="1" applyFont="1" applyBorder="1" applyAlignment="1">
      <alignment horizontal="center" vertical="center"/>
    </xf>
    <xf numFmtId="164" fontId="0" fillId="0" borderId="12" xfId="1" applyFont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64" fontId="0" fillId="3" borderId="6" xfId="0" applyNumberFormat="1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164" fontId="0" fillId="2" borderId="10" xfId="1" applyFont="1" applyFill="1" applyBorder="1" applyAlignment="1">
      <alignment horizontal="center" vertical="center"/>
    </xf>
    <xf numFmtId="164" fontId="0" fillId="2" borderId="12" xfId="1" applyFont="1" applyFill="1" applyBorder="1" applyAlignment="1">
      <alignment horizontal="center" vertical="center"/>
    </xf>
    <xf numFmtId="0" fontId="22" fillId="0" borderId="2" xfId="0" applyFont="1" applyBorder="1" applyAlignment="1">
      <alignment horizontal="left" wrapText="1"/>
    </xf>
    <xf numFmtId="0" fontId="22" fillId="0" borderId="19" xfId="0" applyFont="1" applyBorder="1" applyAlignment="1">
      <alignment horizontal="left" wrapText="1"/>
    </xf>
    <xf numFmtId="0" fontId="22" fillId="0" borderId="0" xfId="0" applyFont="1" applyBorder="1" applyAlignment="1">
      <alignment horizontal="left" wrapText="1"/>
    </xf>
    <xf numFmtId="0" fontId="22" fillId="0" borderId="21" xfId="0" applyFont="1" applyBorder="1" applyAlignment="1">
      <alignment horizontal="left" wrapText="1"/>
    </xf>
    <xf numFmtId="166" fontId="16" fillId="0" borderId="3" xfId="0" applyNumberFormat="1" applyFont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164" fontId="0" fillId="0" borderId="10" xfId="1" applyFont="1" applyFill="1" applyBorder="1" applyAlignment="1">
      <alignment horizontal="center" vertical="center"/>
    </xf>
    <xf numFmtId="164" fontId="0" fillId="0" borderId="12" xfId="1" applyFont="1" applyFill="1" applyBorder="1" applyAlignment="1">
      <alignment horizontal="center" vertical="center"/>
    </xf>
    <xf numFmtId="164" fontId="0" fillId="2" borderId="6" xfId="1" applyFont="1" applyFill="1" applyBorder="1" applyAlignment="1">
      <alignment horizontal="center" vertical="center"/>
    </xf>
    <xf numFmtId="0" fontId="24" fillId="6" borderId="14" xfId="0" applyFont="1" applyFill="1" applyBorder="1" applyAlignment="1">
      <alignment horizontal="center" vertical="center" wrapText="1"/>
    </xf>
    <xf numFmtId="0" fontId="24" fillId="6" borderId="15" xfId="0" applyFont="1" applyFill="1" applyBorder="1" applyAlignment="1">
      <alignment horizontal="center" vertical="center" wrapText="1"/>
    </xf>
    <xf numFmtId="0" fontId="24" fillId="6" borderId="16" xfId="0" applyFont="1" applyFill="1" applyBorder="1" applyAlignment="1">
      <alignment horizontal="center" vertical="center" wrapText="1"/>
    </xf>
    <xf numFmtId="0" fontId="24" fillId="6" borderId="13" xfId="0" applyFont="1" applyFill="1" applyBorder="1" applyAlignment="1">
      <alignment horizontal="center" vertical="center" wrapText="1"/>
    </xf>
    <xf numFmtId="0" fontId="24" fillId="6" borderId="0" xfId="0" applyFont="1" applyFill="1" applyBorder="1" applyAlignment="1">
      <alignment horizontal="center" vertical="center" wrapText="1"/>
    </xf>
    <xf numFmtId="0" fontId="24" fillId="6" borderId="17" xfId="0" applyFont="1" applyFill="1" applyBorder="1" applyAlignment="1">
      <alignment horizontal="center" vertical="center" wrapText="1"/>
    </xf>
    <xf numFmtId="0" fontId="24" fillId="6" borderId="4" xfId="0" applyFont="1" applyFill="1" applyBorder="1" applyAlignment="1">
      <alignment horizontal="center" vertical="center" wrapText="1"/>
    </xf>
    <xf numFmtId="0" fontId="24" fillId="6" borderId="3" xfId="0" applyFont="1" applyFill="1" applyBorder="1" applyAlignment="1">
      <alignment horizontal="center" vertical="center" wrapText="1"/>
    </xf>
    <xf numFmtId="0" fontId="24" fillId="6" borderId="5" xfId="0" applyFont="1" applyFill="1" applyBorder="1" applyAlignment="1">
      <alignment horizontal="center" vertical="center" wrapText="1"/>
    </xf>
    <xf numFmtId="164" fontId="23" fillId="0" borderId="10" xfId="0" applyNumberFormat="1" applyFont="1" applyBorder="1" applyAlignment="1">
      <alignment horizontal="center" vertical="center"/>
    </xf>
    <xf numFmtId="164" fontId="23" fillId="0" borderId="11" xfId="0" applyNumberFormat="1" applyFont="1" applyBorder="1" applyAlignment="1">
      <alignment horizontal="center" vertical="center"/>
    </xf>
    <xf numFmtId="164" fontId="23" fillId="0" borderId="12" xfId="0" applyNumberFormat="1" applyFont="1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0" borderId="17" xfId="0" applyBorder="1" applyAlignment="1">
      <alignment horizont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164" fontId="0" fillId="3" borderId="10" xfId="0" applyNumberFormat="1" applyFill="1" applyBorder="1" applyAlignment="1">
      <alignment horizontal="center" vertical="center"/>
    </xf>
    <xf numFmtId="164" fontId="0" fillId="3" borderId="12" xfId="0" applyNumberFormat="1" applyFill="1" applyBorder="1" applyAlignment="1">
      <alignment horizontal="center" vertical="center"/>
    </xf>
  </cellXfs>
  <cellStyles count="334">
    <cellStyle name="Currency" xfId="1" builtinId="4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107" builtinId="9" hidden="1"/>
    <cellStyle name="Followed Hyperlink" xfId="109" builtinId="9" hidden="1"/>
    <cellStyle name="Followed Hyperlink" xfId="111" builtinId="9" hidden="1"/>
    <cellStyle name="Followed Hyperlink" xfId="113" builtinId="9" hidden="1"/>
    <cellStyle name="Followed Hyperlink" xfId="115" builtinId="9" hidden="1"/>
    <cellStyle name="Followed Hyperlink" xfId="117" builtinId="9" hidden="1"/>
    <cellStyle name="Followed Hyperlink" xfId="119" builtinId="9" hidden="1"/>
    <cellStyle name="Followed Hyperlink" xfId="121" builtinId="9" hidden="1"/>
    <cellStyle name="Followed Hyperlink" xfId="123" builtinId="9" hidden="1"/>
    <cellStyle name="Followed Hyperlink" xfId="125" builtinId="9" hidden="1"/>
    <cellStyle name="Followed Hyperlink" xfId="127" builtinId="9" hidden="1"/>
    <cellStyle name="Followed Hyperlink" xfId="129" builtinId="9" hidden="1"/>
    <cellStyle name="Followed Hyperlink" xfId="131" builtinId="9" hidden="1"/>
    <cellStyle name="Followed Hyperlink" xfId="133" builtinId="9" hidden="1"/>
    <cellStyle name="Followed Hyperlink" xfId="135" builtinId="9" hidden="1"/>
    <cellStyle name="Followed Hyperlink" xfId="137" builtinId="9" hidden="1"/>
    <cellStyle name="Followed Hyperlink" xfId="139" builtinId="9" hidden="1"/>
    <cellStyle name="Followed Hyperlink" xfId="141" builtinId="9" hidden="1"/>
    <cellStyle name="Followed Hyperlink" xfId="143" builtinId="9" hidden="1"/>
    <cellStyle name="Followed Hyperlink" xfId="145" builtinId="9" hidden="1"/>
    <cellStyle name="Followed Hyperlink" xfId="147" builtinId="9" hidden="1"/>
    <cellStyle name="Followed Hyperlink" xfId="149" builtinId="9" hidden="1"/>
    <cellStyle name="Followed Hyperlink" xfId="151" builtinId="9" hidden="1"/>
    <cellStyle name="Followed Hyperlink" xfId="153" builtinId="9" hidden="1"/>
    <cellStyle name="Followed Hyperlink" xfId="155" builtinId="9" hidden="1"/>
    <cellStyle name="Followed Hyperlink" xfId="157" builtinId="9" hidden="1"/>
    <cellStyle name="Followed Hyperlink" xfId="159" builtinId="9" hidden="1"/>
    <cellStyle name="Followed Hyperlink" xfId="161" builtinId="9" hidden="1"/>
    <cellStyle name="Followed Hyperlink" xfId="163" builtinId="9" hidden="1"/>
    <cellStyle name="Followed Hyperlink" xfId="165" builtinId="9" hidden="1"/>
    <cellStyle name="Followed Hyperlink" xfId="167" builtinId="9" hidden="1"/>
    <cellStyle name="Followed Hyperlink" xfId="169" builtinId="9" hidden="1"/>
    <cellStyle name="Followed Hyperlink" xfId="171" builtinId="9" hidden="1"/>
    <cellStyle name="Followed Hyperlink" xfId="173" builtinId="9" hidden="1"/>
    <cellStyle name="Followed Hyperlink" xfId="175" builtinId="9" hidden="1"/>
    <cellStyle name="Followed Hyperlink" xfId="177" builtinId="9" hidden="1"/>
    <cellStyle name="Followed Hyperlink" xfId="179" builtinId="9" hidden="1"/>
    <cellStyle name="Followed Hyperlink" xfId="181" builtinId="9" hidden="1"/>
    <cellStyle name="Followed Hyperlink" xfId="183" builtinId="9" hidden="1"/>
    <cellStyle name="Followed Hyperlink" xfId="185" builtinId="9" hidden="1"/>
    <cellStyle name="Followed Hyperlink" xfId="187" builtinId="9" hidden="1"/>
    <cellStyle name="Followed Hyperlink" xfId="189" builtinId="9" hidden="1"/>
    <cellStyle name="Followed Hyperlink" xfId="191" builtinId="9" hidden="1"/>
    <cellStyle name="Followed Hyperlink" xfId="193" builtinId="9" hidden="1"/>
    <cellStyle name="Followed Hyperlink" xfId="195" builtinId="9" hidden="1"/>
    <cellStyle name="Followed Hyperlink" xfId="197" builtinId="9" hidden="1"/>
    <cellStyle name="Followed Hyperlink" xfId="199" builtinId="9" hidden="1"/>
    <cellStyle name="Followed Hyperlink" xfId="201" builtinId="9" hidden="1"/>
    <cellStyle name="Followed Hyperlink" xfId="203" builtinId="9" hidden="1"/>
    <cellStyle name="Followed Hyperlink" xfId="205" builtinId="9" hidden="1"/>
    <cellStyle name="Followed Hyperlink" xfId="207" builtinId="9" hidden="1"/>
    <cellStyle name="Followed Hyperlink" xfId="209" builtinId="9" hidden="1"/>
    <cellStyle name="Followed Hyperlink" xfId="211" builtinId="9" hidden="1"/>
    <cellStyle name="Followed Hyperlink" xfId="213" builtinId="9" hidden="1"/>
    <cellStyle name="Followed Hyperlink" xfId="215" builtinId="9" hidden="1"/>
    <cellStyle name="Followed Hyperlink" xfId="217" builtinId="9" hidden="1"/>
    <cellStyle name="Followed Hyperlink" xfId="219" builtinId="9" hidden="1"/>
    <cellStyle name="Followed Hyperlink" xfId="221" builtinId="9" hidden="1"/>
    <cellStyle name="Followed Hyperlink" xfId="223" builtinId="9" hidden="1"/>
    <cellStyle name="Followed Hyperlink" xfId="225" builtinId="9" hidden="1"/>
    <cellStyle name="Followed Hyperlink" xfId="227" builtinId="9" hidden="1"/>
    <cellStyle name="Followed Hyperlink" xfId="229" builtinId="9" hidden="1"/>
    <cellStyle name="Followed Hyperlink" xfId="231" builtinId="9" hidden="1"/>
    <cellStyle name="Followed Hyperlink" xfId="233" builtinId="9" hidden="1"/>
    <cellStyle name="Followed Hyperlink" xfId="235" builtinId="9" hidden="1"/>
    <cellStyle name="Followed Hyperlink" xfId="237" builtinId="9" hidden="1"/>
    <cellStyle name="Followed Hyperlink" xfId="239" builtinId="9" hidden="1"/>
    <cellStyle name="Followed Hyperlink" xfId="241" builtinId="9" hidden="1"/>
    <cellStyle name="Followed Hyperlink" xfId="243" builtinId="9" hidden="1"/>
    <cellStyle name="Followed Hyperlink" xfId="245" builtinId="9" hidden="1"/>
    <cellStyle name="Followed Hyperlink" xfId="247" builtinId="9" hidden="1"/>
    <cellStyle name="Followed Hyperlink" xfId="249" builtinId="9" hidden="1"/>
    <cellStyle name="Followed Hyperlink" xfId="251" builtinId="9" hidden="1"/>
    <cellStyle name="Followed Hyperlink" xfId="253" builtinId="9" hidden="1"/>
    <cellStyle name="Followed Hyperlink" xfId="255" builtinId="9" hidden="1"/>
    <cellStyle name="Followed Hyperlink" xfId="257" builtinId="9" hidden="1"/>
    <cellStyle name="Followed Hyperlink" xfId="259" builtinId="9" hidden="1"/>
    <cellStyle name="Followed Hyperlink" xfId="261" builtinId="9" hidden="1"/>
    <cellStyle name="Followed Hyperlink" xfId="263" builtinId="9" hidden="1"/>
    <cellStyle name="Followed Hyperlink" xfId="265" builtinId="9" hidden="1"/>
    <cellStyle name="Followed Hyperlink" xfId="267" builtinId="9" hidden="1"/>
    <cellStyle name="Followed Hyperlink" xfId="269" builtinId="9" hidden="1"/>
    <cellStyle name="Followed Hyperlink" xfId="271" builtinId="9" hidden="1"/>
    <cellStyle name="Followed Hyperlink" xfId="273" builtinId="9" hidden="1"/>
    <cellStyle name="Followed Hyperlink" xfId="275" builtinId="9" hidden="1"/>
    <cellStyle name="Followed Hyperlink" xfId="277" builtinId="9" hidden="1"/>
    <cellStyle name="Followed Hyperlink" xfId="279" builtinId="9" hidden="1"/>
    <cellStyle name="Followed Hyperlink" xfId="281" builtinId="9" hidden="1"/>
    <cellStyle name="Followed Hyperlink" xfId="283" builtinId="9" hidden="1"/>
    <cellStyle name="Followed Hyperlink" xfId="285" builtinId="9" hidden="1"/>
    <cellStyle name="Followed Hyperlink" xfId="287" builtinId="9" hidden="1"/>
    <cellStyle name="Followed Hyperlink" xfId="289" builtinId="9" hidden="1"/>
    <cellStyle name="Followed Hyperlink" xfId="291" builtinId="9" hidden="1"/>
    <cellStyle name="Followed Hyperlink" xfId="293" builtinId="9" hidden="1"/>
    <cellStyle name="Followed Hyperlink" xfId="295" builtinId="9" hidden="1"/>
    <cellStyle name="Followed Hyperlink" xfId="297" builtinId="9" hidden="1"/>
    <cellStyle name="Followed Hyperlink" xfId="299" builtinId="9" hidden="1"/>
    <cellStyle name="Followed Hyperlink" xfId="301" builtinId="9" hidden="1"/>
    <cellStyle name="Followed Hyperlink" xfId="303" builtinId="9" hidden="1"/>
    <cellStyle name="Followed Hyperlink" xfId="305" builtinId="9" hidden="1"/>
    <cellStyle name="Followed Hyperlink" xfId="307" builtinId="9" hidden="1"/>
    <cellStyle name="Followed Hyperlink" xfId="309" builtinId="9" hidden="1"/>
    <cellStyle name="Followed Hyperlink" xfId="311" builtinId="9" hidden="1"/>
    <cellStyle name="Followed Hyperlink" xfId="313" builtinId="9" hidden="1"/>
    <cellStyle name="Followed Hyperlink" xfId="315" builtinId="9" hidden="1"/>
    <cellStyle name="Followed Hyperlink" xfId="317" builtinId="9" hidden="1"/>
    <cellStyle name="Followed Hyperlink" xfId="319" builtinId="9" hidden="1"/>
    <cellStyle name="Followed Hyperlink" xfId="321" builtinId="9" hidden="1"/>
    <cellStyle name="Followed Hyperlink" xfId="323" builtinId="9" hidden="1"/>
    <cellStyle name="Followed Hyperlink" xfId="325" builtinId="9" hidden="1"/>
    <cellStyle name="Followed Hyperlink" xfId="327" builtinId="9" hidden="1"/>
    <cellStyle name="Followed Hyperlink" xfId="329" builtinId="9" hidden="1"/>
    <cellStyle name="Followed Hyperlink" xfId="331" builtinId="9" hidden="1"/>
    <cellStyle name="Followed Hyperlink" xfId="333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6" builtinId="8" hidden="1"/>
    <cellStyle name="Hyperlink" xfId="108" builtinId="8" hidden="1"/>
    <cellStyle name="Hyperlink" xfId="110" builtinId="8" hidden="1"/>
    <cellStyle name="Hyperlink" xfId="112" builtinId="8" hidden="1"/>
    <cellStyle name="Hyperlink" xfId="114" builtinId="8" hidden="1"/>
    <cellStyle name="Hyperlink" xfId="116" builtinId="8" hidden="1"/>
    <cellStyle name="Hyperlink" xfId="118" builtinId="8" hidden="1"/>
    <cellStyle name="Hyperlink" xfId="120" builtinId="8" hidden="1"/>
    <cellStyle name="Hyperlink" xfId="122" builtinId="8" hidden="1"/>
    <cellStyle name="Hyperlink" xfId="124" builtinId="8" hidden="1"/>
    <cellStyle name="Hyperlink" xfId="126" builtinId="8" hidden="1"/>
    <cellStyle name="Hyperlink" xfId="128" builtinId="8" hidden="1"/>
    <cellStyle name="Hyperlink" xfId="130" builtinId="8" hidden="1"/>
    <cellStyle name="Hyperlink" xfId="132" builtinId="8" hidden="1"/>
    <cellStyle name="Hyperlink" xfId="134" builtinId="8" hidden="1"/>
    <cellStyle name="Hyperlink" xfId="136" builtinId="8" hidden="1"/>
    <cellStyle name="Hyperlink" xfId="138" builtinId="8" hidden="1"/>
    <cellStyle name="Hyperlink" xfId="140" builtinId="8" hidden="1"/>
    <cellStyle name="Hyperlink" xfId="142" builtinId="8" hidden="1"/>
    <cellStyle name="Hyperlink" xfId="144" builtinId="8" hidden="1"/>
    <cellStyle name="Hyperlink" xfId="146" builtinId="8" hidden="1"/>
    <cellStyle name="Hyperlink" xfId="148" builtinId="8" hidden="1"/>
    <cellStyle name="Hyperlink" xfId="150" builtinId="8" hidden="1"/>
    <cellStyle name="Hyperlink" xfId="152" builtinId="8" hidden="1"/>
    <cellStyle name="Hyperlink" xfId="154" builtinId="8" hidden="1"/>
    <cellStyle name="Hyperlink" xfId="156" builtinId="8" hidden="1"/>
    <cellStyle name="Hyperlink" xfId="158" builtinId="8" hidden="1"/>
    <cellStyle name="Hyperlink" xfId="160" builtinId="8" hidden="1"/>
    <cellStyle name="Hyperlink" xfId="162" builtinId="8" hidden="1"/>
    <cellStyle name="Hyperlink" xfId="164" builtinId="8" hidden="1"/>
    <cellStyle name="Hyperlink" xfId="166" builtinId="8" hidden="1"/>
    <cellStyle name="Hyperlink" xfId="168" builtinId="8" hidden="1"/>
    <cellStyle name="Hyperlink" xfId="170" builtinId="8" hidden="1"/>
    <cellStyle name="Hyperlink" xfId="172" builtinId="8" hidden="1"/>
    <cellStyle name="Hyperlink" xfId="174" builtinId="8" hidden="1"/>
    <cellStyle name="Hyperlink" xfId="176" builtinId="8" hidden="1"/>
    <cellStyle name="Hyperlink" xfId="178" builtinId="8" hidden="1"/>
    <cellStyle name="Hyperlink" xfId="180" builtinId="8" hidden="1"/>
    <cellStyle name="Hyperlink" xfId="182" builtinId="8" hidden="1"/>
    <cellStyle name="Hyperlink" xfId="184" builtinId="8" hidden="1"/>
    <cellStyle name="Hyperlink" xfId="186" builtinId="8" hidden="1"/>
    <cellStyle name="Hyperlink" xfId="188" builtinId="8" hidden="1"/>
    <cellStyle name="Hyperlink" xfId="190" builtinId="8" hidden="1"/>
    <cellStyle name="Hyperlink" xfId="192" builtinId="8" hidden="1"/>
    <cellStyle name="Hyperlink" xfId="194" builtinId="8" hidden="1"/>
    <cellStyle name="Hyperlink" xfId="196" builtinId="8" hidden="1"/>
    <cellStyle name="Hyperlink" xfId="198" builtinId="8" hidden="1"/>
    <cellStyle name="Hyperlink" xfId="200" builtinId="8" hidden="1"/>
    <cellStyle name="Hyperlink" xfId="202" builtinId="8" hidden="1"/>
    <cellStyle name="Hyperlink" xfId="204" builtinId="8" hidden="1"/>
    <cellStyle name="Hyperlink" xfId="206" builtinId="8" hidden="1"/>
    <cellStyle name="Hyperlink" xfId="208" builtinId="8" hidden="1"/>
    <cellStyle name="Hyperlink" xfId="210" builtinId="8" hidden="1"/>
    <cellStyle name="Hyperlink" xfId="212" builtinId="8" hidden="1"/>
    <cellStyle name="Hyperlink" xfId="214" builtinId="8" hidden="1"/>
    <cellStyle name="Hyperlink" xfId="216" builtinId="8" hidden="1"/>
    <cellStyle name="Hyperlink" xfId="218" builtinId="8" hidden="1"/>
    <cellStyle name="Hyperlink" xfId="220" builtinId="8" hidden="1"/>
    <cellStyle name="Hyperlink" xfId="222" builtinId="8" hidden="1"/>
    <cellStyle name="Hyperlink" xfId="224" builtinId="8" hidden="1"/>
    <cellStyle name="Hyperlink" xfId="226" builtinId="8" hidden="1"/>
    <cellStyle name="Hyperlink" xfId="228" builtinId="8" hidden="1"/>
    <cellStyle name="Hyperlink" xfId="230" builtinId="8" hidden="1"/>
    <cellStyle name="Hyperlink" xfId="232" builtinId="8" hidden="1"/>
    <cellStyle name="Hyperlink" xfId="234" builtinId="8" hidden="1"/>
    <cellStyle name="Hyperlink" xfId="236" builtinId="8" hidden="1"/>
    <cellStyle name="Hyperlink" xfId="238" builtinId="8" hidden="1"/>
    <cellStyle name="Hyperlink" xfId="240" builtinId="8" hidden="1"/>
    <cellStyle name="Hyperlink" xfId="242" builtinId="8" hidden="1"/>
    <cellStyle name="Hyperlink" xfId="244" builtinId="8" hidden="1"/>
    <cellStyle name="Hyperlink" xfId="246" builtinId="8" hidden="1"/>
    <cellStyle name="Hyperlink" xfId="248" builtinId="8" hidden="1"/>
    <cellStyle name="Hyperlink" xfId="250" builtinId="8" hidden="1"/>
    <cellStyle name="Hyperlink" xfId="252" builtinId="8" hidden="1"/>
    <cellStyle name="Hyperlink" xfId="254" builtinId="8" hidden="1"/>
    <cellStyle name="Hyperlink" xfId="256" builtinId="8" hidden="1"/>
    <cellStyle name="Hyperlink" xfId="258" builtinId="8" hidden="1"/>
    <cellStyle name="Hyperlink" xfId="260" builtinId="8" hidden="1"/>
    <cellStyle name="Hyperlink" xfId="262" builtinId="8" hidden="1"/>
    <cellStyle name="Hyperlink" xfId="264" builtinId="8" hidden="1"/>
    <cellStyle name="Hyperlink" xfId="266" builtinId="8" hidden="1"/>
    <cellStyle name="Hyperlink" xfId="268" builtinId="8" hidden="1"/>
    <cellStyle name="Hyperlink" xfId="270" builtinId="8" hidden="1"/>
    <cellStyle name="Hyperlink" xfId="272" builtinId="8" hidden="1"/>
    <cellStyle name="Hyperlink" xfId="274" builtinId="8" hidden="1"/>
    <cellStyle name="Hyperlink" xfId="276" builtinId="8" hidden="1"/>
    <cellStyle name="Hyperlink" xfId="278" builtinId="8" hidden="1"/>
    <cellStyle name="Hyperlink" xfId="280" builtinId="8" hidden="1"/>
    <cellStyle name="Hyperlink" xfId="282" builtinId="8" hidden="1"/>
    <cellStyle name="Hyperlink" xfId="284" builtinId="8" hidden="1"/>
    <cellStyle name="Hyperlink" xfId="286" builtinId="8" hidden="1"/>
    <cellStyle name="Hyperlink" xfId="288" builtinId="8" hidden="1"/>
    <cellStyle name="Hyperlink" xfId="290" builtinId="8" hidden="1"/>
    <cellStyle name="Hyperlink" xfId="292" builtinId="8" hidden="1"/>
    <cellStyle name="Hyperlink" xfId="294" builtinId="8" hidden="1"/>
    <cellStyle name="Hyperlink" xfId="296" builtinId="8" hidden="1"/>
    <cellStyle name="Hyperlink" xfId="298" builtinId="8" hidden="1"/>
    <cellStyle name="Hyperlink" xfId="300" builtinId="8" hidden="1"/>
    <cellStyle name="Hyperlink" xfId="302" builtinId="8" hidden="1"/>
    <cellStyle name="Hyperlink" xfId="304" builtinId="8" hidden="1"/>
    <cellStyle name="Hyperlink" xfId="306" builtinId="8" hidden="1"/>
    <cellStyle name="Hyperlink" xfId="308" builtinId="8" hidden="1"/>
    <cellStyle name="Hyperlink" xfId="310" builtinId="8" hidden="1"/>
    <cellStyle name="Hyperlink" xfId="312" builtinId="8" hidden="1"/>
    <cellStyle name="Hyperlink" xfId="314" builtinId="8" hidden="1"/>
    <cellStyle name="Hyperlink" xfId="316" builtinId="8" hidden="1"/>
    <cellStyle name="Hyperlink" xfId="318" builtinId="8" hidden="1"/>
    <cellStyle name="Hyperlink" xfId="320" builtinId="8" hidden="1"/>
    <cellStyle name="Hyperlink" xfId="322" builtinId="8" hidden="1"/>
    <cellStyle name="Hyperlink" xfId="324" builtinId="8" hidden="1"/>
    <cellStyle name="Hyperlink" xfId="326" builtinId="8" hidden="1"/>
    <cellStyle name="Hyperlink" xfId="328" builtinId="8" hidden="1"/>
    <cellStyle name="Hyperlink" xfId="330" builtinId="8" hidden="1"/>
    <cellStyle name="Hyperlink" xfId="332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theme" Target="theme/theme1.xml"/><Relationship Id="rId23" Type="http://schemas.openxmlformats.org/officeDocument/2006/relationships/styles" Target="styles.xml"/><Relationship Id="rId24" Type="http://schemas.openxmlformats.org/officeDocument/2006/relationships/sharedStrings" Target="sharedStrings.xml"/><Relationship Id="rId25" Type="http://schemas.openxmlformats.org/officeDocument/2006/relationships/calcChain" Target="calcChain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25401</xdr:colOff>
      <xdr:row>15</xdr:row>
      <xdr:rowOff>50802</xdr:rowOff>
    </xdr:from>
    <xdr:to>
      <xdr:col>17</xdr:col>
      <xdr:colOff>330201</xdr:colOff>
      <xdr:row>22</xdr:row>
      <xdr:rowOff>165102</xdr:rowOff>
    </xdr:to>
    <xdr:sp macro="" textlink="">
      <xdr:nvSpPr>
        <xdr:cNvPr id="2" name="TextBox 1"/>
        <xdr:cNvSpPr txBox="1"/>
      </xdr:nvSpPr>
      <xdr:spPr>
        <a:xfrm rot="19167337">
          <a:off x="3822701" y="2603502"/>
          <a:ext cx="4826000" cy="1371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0">
              <a:solidFill>
                <a:srgbClr val="FF0000"/>
              </a:solidFill>
            </a:rPr>
            <a:t>NO</a:t>
          </a:r>
          <a:r>
            <a:rPr lang="en-US" sz="8000" baseline="0">
              <a:solidFill>
                <a:srgbClr val="FF0000"/>
              </a:solidFill>
            </a:rPr>
            <a:t> WORK</a:t>
          </a:r>
          <a:endParaRPr lang="en-US" sz="8000">
            <a:solidFill>
              <a:srgbClr val="FF0000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25401</xdr:colOff>
      <xdr:row>15</xdr:row>
      <xdr:rowOff>50802</xdr:rowOff>
    </xdr:from>
    <xdr:to>
      <xdr:col>17</xdr:col>
      <xdr:colOff>330201</xdr:colOff>
      <xdr:row>22</xdr:row>
      <xdr:rowOff>165102</xdr:rowOff>
    </xdr:to>
    <xdr:sp macro="" textlink="">
      <xdr:nvSpPr>
        <xdr:cNvPr id="2" name="TextBox 1"/>
        <xdr:cNvSpPr txBox="1"/>
      </xdr:nvSpPr>
      <xdr:spPr>
        <a:xfrm rot="19167337">
          <a:off x="3822701" y="2603502"/>
          <a:ext cx="4826000" cy="1371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0">
              <a:solidFill>
                <a:srgbClr val="FF0000"/>
              </a:solidFill>
            </a:rPr>
            <a:t>NO</a:t>
          </a:r>
          <a:r>
            <a:rPr lang="en-US" sz="8000" baseline="0">
              <a:solidFill>
                <a:srgbClr val="FF0000"/>
              </a:solidFill>
            </a:rPr>
            <a:t> WORK</a:t>
          </a:r>
          <a:endParaRPr lang="en-US" sz="8000">
            <a:solidFill>
              <a:srgbClr val="FF0000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190500</xdr:colOff>
      <xdr:row>15</xdr:row>
      <xdr:rowOff>165100</xdr:rowOff>
    </xdr:from>
    <xdr:to>
      <xdr:col>15</xdr:col>
      <xdr:colOff>609600</xdr:colOff>
      <xdr:row>23</xdr:row>
      <xdr:rowOff>101600</xdr:rowOff>
    </xdr:to>
    <xdr:sp macro="" textlink="">
      <xdr:nvSpPr>
        <xdr:cNvPr id="2" name="TextBox 1"/>
        <xdr:cNvSpPr txBox="1"/>
      </xdr:nvSpPr>
      <xdr:spPr>
        <a:xfrm rot="19167337">
          <a:off x="2603500" y="2717800"/>
          <a:ext cx="4826000" cy="1371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0">
              <a:solidFill>
                <a:srgbClr val="FF0000"/>
              </a:solidFill>
            </a:rPr>
            <a:t>NO</a:t>
          </a:r>
          <a:r>
            <a:rPr lang="en-US" sz="8000" baseline="0">
              <a:solidFill>
                <a:srgbClr val="FF0000"/>
              </a:solidFill>
            </a:rPr>
            <a:t> WORK</a:t>
          </a:r>
          <a:endParaRPr lang="en-US" sz="8000">
            <a:solidFill>
              <a:srgbClr val="FF0000"/>
            </a:solidFill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190500</xdr:colOff>
      <xdr:row>15</xdr:row>
      <xdr:rowOff>165100</xdr:rowOff>
    </xdr:from>
    <xdr:to>
      <xdr:col>15</xdr:col>
      <xdr:colOff>609600</xdr:colOff>
      <xdr:row>23</xdr:row>
      <xdr:rowOff>101600</xdr:rowOff>
    </xdr:to>
    <xdr:sp macro="" textlink="">
      <xdr:nvSpPr>
        <xdr:cNvPr id="2" name="TextBox 1"/>
        <xdr:cNvSpPr txBox="1"/>
      </xdr:nvSpPr>
      <xdr:spPr>
        <a:xfrm rot="19167337">
          <a:off x="2603500" y="2717800"/>
          <a:ext cx="4826000" cy="1371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0">
              <a:solidFill>
                <a:srgbClr val="FF0000"/>
              </a:solidFill>
            </a:rPr>
            <a:t>NO</a:t>
          </a:r>
          <a:r>
            <a:rPr lang="en-US" sz="8000" baseline="0">
              <a:solidFill>
                <a:srgbClr val="FF0000"/>
              </a:solidFill>
            </a:rPr>
            <a:t> WORK</a:t>
          </a:r>
          <a:endParaRPr lang="en-US" sz="8000">
            <a:solidFill>
              <a:srgbClr val="FF0000"/>
            </a:solidFill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190500</xdr:colOff>
      <xdr:row>15</xdr:row>
      <xdr:rowOff>165100</xdr:rowOff>
    </xdr:from>
    <xdr:to>
      <xdr:col>15</xdr:col>
      <xdr:colOff>609600</xdr:colOff>
      <xdr:row>23</xdr:row>
      <xdr:rowOff>101600</xdr:rowOff>
    </xdr:to>
    <xdr:sp macro="" textlink="">
      <xdr:nvSpPr>
        <xdr:cNvPr id="2" name="TextBox 1"/>
        <xdr:cNvSpPr txBox="1"/>
      </xdr:nvSpPr>
      <xdr:spPr>
        <a:xfrm rot="19167337">
          <a:off x="2603500" y="2717800"/>
          <a:ext cx="4826000" cy="1371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0">
              <a:solidFill>
                <a:srgbClr val="FF0000"/>
              </a:solidFill>
            </a:rPr>
            <a:t>NO</a:t>
          </a:r>
          <a:r>
            <a:rPr lang="en-US" sz="8000" baseline="0">
              <a:solidFill>
                <a:srgbClr val="FF0000"/>
              </a:solidFill>
            </a:rPr>
            <a:t> WORK</a:t>
          </a:r>
          <a:endParaRPr lang="en-US" sz="8000">
            <a:solidFill>
              <a:srgbClr val="FF0000"/>
            </a:solidFill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190500</xdr:colOff>
      <xdr:row>15</xdr:row>
      <xdr:rowOff>165100</xdr:rowOff>
    </xdr:from>
    <xdr:to>
      <xdr:col>15</xdr:col>
      <xdr:colOff>609600</xdr:colOff>
      <xdr:row>23</xdr:row>
      <xdr:rowOff>101600</xdr:rowOff>
    </xdr:to>
    <xdr:sp macro="" textlink="">
      <xdr:nvSpPr>
        <xdr:cNvPr id="2" name="TextBox 1"/>
        <xdr:cNvSpPr txBox="1"/>
      </xdr:nvSpPr>
      <xdr:spPr>
        <a:xfrm rot="19167337">
          <a:off x="2603500" y="2717800"/>
          <a:ext cx="4826000" cy="1371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0">
              <a:solidFill>
                <a:srgbClr val="FF0000"/>
              </a:solidFill>
            </a:rPr>
            <a:t>NO</a:t>
          </a:r>
          <a:r>
            <a:rPr lang="en-US" sz="8000" baseline="0">
              <a:solidFill>
                <a:srgbClr val="FF0000"/>
              </a:solidFill>
            </a:rPr>
            <a:t> WORK</a:t>
          </a:r>
          <a:endParaRPr lang="en-US" sz="8000">
            <a:solidFill>
              <a:srgbClr val="FF0000"/>
            </a:solidFill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190500</xdr:colOff>
      <xdr:row>15</xdr:row>
      <xdr:rowOff>165100</xdr:rowOff>
    </xdr:from>
    <xdr:to>
      <xdr:col>15</xdr:col>
      <xdr:colOff>609600</xdr:colOff>
      <xdr:row>23</xdr:row>
      <xdr:rowOff>101600</xdr:rowOff>
    </xdr:to>
    <xdr:sp macro="" textlink="">
      <xdr:nvSpPr>
        <xdr:cNvPr id="2" name="TextBox 1"/>
        <xdr:cNvSpPr txBox="1"/>
      </xdr:nvSpPr>
      <xdr:spPr>
        <a:xfrm rot="19167337">
          <a:off x="2603500" y="2717800"/>
          <a:ext cx="4826000" cy="1371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0">
              <a:solidFill>
                <a:srgbClr val="FF0000"/>
              </a:solidFill>
            </a:rPr>
            <a:t>NO</a:t>
          </a:r>
          <a:r>
            <a:rPr lang="en-US" sz="8000" baseline="0">
              <a:solidFill>
                <a:srgbClr val="FF0000"/>
              </a:solidFill>
            </a:rPr>
            <a:t> WORK</a:t>
          </a:r>
          <a:endParaRPr lang="en-US" sz="8000">
            <a:solidFill>
              <a:srgbClr val="FF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77"/>
  <sheetViews>
    <sheetView view="pageLayout" workbookViewId="0">
      <selection activeCell="R17" sqref="R17:R20"/>
    </sheetView>
  </sheetViews>
  <sheetFormatPr baseColWidth="10" defaultColWidth="8.83203125" defaultRowHeight="14" x14ac:dyDescent="0"/>
  <cols>
    <col min="1" max="1" width="10.33203125" customWidth="1"/>
    <col min="2" max="2" width="11.1640625" customWidth="1"/>
    <col min="3" max="3" width="5" customWidth="1"/>
    <col min="4" max="4" width="5.1640625" customWidth="1"/>
    <col min="5" max="5" width="4.6640625" customWidth="1"/>
    <col min="6" max="6" width="4.83203125" customWidth="1"/>
    <col min="7" max="7" width="3.6640625" customWidth="1"/>
    <col min="8" max="8" width="5" customWidth="1"/>
    <col min="9" max="9" width="4.6640625" customWidth="1"/>
    <col min="10" max="11" width="5.33203125" customWidth="1"/>
    <col min="12" max="12" width="4.83203125" customWidth="1"/>
    <col min="13" max="13" width="5.5" customWidth="1"/>
    <col min="14" max="14" width="5.1640625" customWidth="1"/>
    <col min="16" max="17" width="9.83203125" bestFit="1" customWidth="1"/>
    <col min="18" max="18" width="9.6640625" customWidth="1"/>
    <col min="19" max="19" width="9.5" customWidth="1"/>
    <col min="20" max="20" width="6" hidden="1" customWidth="1"/>
    <col min="21" max="21" width="4.33203125" hidden="1" customWidth="1"/>
    <col min="22" max="22" width="7.6640625" hidden="1" customWidth="1"/>
    <col min="23" max="23" width="9.33203125" customWidth="1"/>
    <col min="24" max="24" width="12.6640625" customWidth="1"/>
  </cols>
  <sheetData>
    <row r="1" spans="1:24" ht="15" customHeight="1">
      <c r="A1" s="149" t="s">
        <v>22</v>
      </c>
      <c r="B1" s="149"/>
      <c r="C1" s="149"/>
      <c r="D1" s="149"/>
      <c r="E1" s="112"/>
      <c r="F1" s="151" t="s">
        <v>55</v>
      </c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9"/>
      <c r="W1" s="9"/>
      <c r="X1" s="9"/>
    </row>
    <row r="2" spans="1:24">
      <c r="A2" s="149"/>
      <c r="B2" s="149"/>
      <c r="C2" s="149"/>
      <c r="D2" s="149"/>
      <c r="E2" s="112"/>
      <c r="F2" s="151"/>
      <c r="G2" s="151"/>
      <c r="H2" s="151"/>
      <c r="I2" s="151"/>
      <c r="J2" s="151"/>
      <c r="K2" s="151"/>
      <c r="L2" s="151"/>
      <c r="M2" s="151"/>
      <c r="N2" s="151"/>
      <c r="O2" s="151"/>
      <c r="P2" s="151"/>
      <c r="Q2" s="151"/>
      <c r="R2" s="151"/>
      <c r="S2" s="151"/>
      <c r="T2" s="151"/>
      <c r="U2" s="151"/>
      <c r="V2" s="9"/>
      <c r="W2" s="9"/>
      <c r="X2" s="9"/>
    </row>
    <row r="3" spans="1:24" ht="15" customHeight="1" thickBot="1">
      <c r="A3" s="150"/>
      <c r="B3" s="150"/>
      <c r="C3" s="150"/>
      <c r="D3" s="150"/>
      <c r="E3" s="113"/>
      <c r="F3" s="152"/>
      <c r="G3" s="152"/>
      <c r="H3" s="152"/>
      <c r="I3" s="152"/>
      <c r="J3" s="152"/>
      <c r="K3" s="152"/>
      <c r="L3" s="152"/>
      <c r="M3" s="152"/>
      <c r="N3" s="152"/>
      <c r="O3" s="152"/>
      <c r="P3" s="152"/>
      <c r="Q3" s="152"/>
      <c r="R3" s="152"/>
      <c r="S3" s="152"/>
      <c r="T3" s="152"/>
      <c r="U3" s="152"/>
      <c r="V3" s="10"/>
      <c r="W3" s="10"/>
      <c r="X3" s="10"/>
    </row>
    <row r="4" spans="1:24" s="11" customFormat="1">
      <c r="A4" s="153" t="s">
        <v>56</v>
      </c>
      <c r="B4" s="154"/>
      <c r="C4" s="154"/>
      <c r="D4" s="154" t="s">
        <v>52</v>
      </c>
      <c r="E4" s="154"/>
      <c r="F4" s="154"/>
      <c r="G4" s="154"/>
      <c r="H4" s="155"/>
      <c r="I4" s="155"/>
      <c r="J4" s="155"/>
      <c r="K4" s="155"/>
      <c r="L4" s="155"/>
      <c r="M4" s="155"/>
      <c r="N4" s="156"/>
      <c r="O4" s="157" t="s">
        <v>126</v>
      </c>
      <c r="P4" s="158"/>
      <c r="Q4" s="158"/>
      <c r="R4" s="158"/>
      <c r="S4" s="158"/>
      <c r="T4" s="158"/>
      <c r="U4" s="158"/>
      <c r="V4" s="158"/>
      <c r="W4" s="159"/>
      <c r="X4" s="160"/>
    </row>
    <row r="5" spans="1:24" s="1" customFormat="1" ht="12" customHeight="1">
      <c r="A5" s="163" t="s">
        <v>125</v>
      </c>
      <c r="B5" s="164"/>
      <c r="C5" s="164"/>
      <c r="D5" s="164"/>
      <c r="E5" s="164"/>
      <c r="F5" s="164"/>
      <c r="G5" s="164"/>
      <c r="H5" s="164"/>
      <c r="I5" s="164"/>
      <c r="J5" s="164"/>
      <c r="K5" s="164"/>
      <c r="L5" s="164"/>
      <c r="M5" s="164"/>
      <c r="N5" s="165"/>
      <c r="O5" s="166" t="s">
        <v>108</v>
      </c>
      <c r="P5" s="167"/>
      <c r="Q5" s="167"/>
      <c r="R5" s="167"/>
      <c r="S5" s="167"/>
      <c r="T5" s="167"/>
      <c r="U5" s="167"/>
      <c r="V5" s="167"/>
      <c r="W5" s="161"/>
      <c r="X5" s="162"/>
    </row>
    <row r="6" spans="1:24" s="13" customFormat="1" ht="11">
      <c r="A6" s="168" t="s">
        <v>18</v>
      </c>
      <c r="B6" s="169"/>
      <c r="C6" s="169"/>
      <c r="D6" s="170"/>
      <c r="E6" s="115"/>
      <c r="F6" s="168" t="s">
        <v>19</v>
      </c>
      <c r="G6" s="169"/>
      <c r="H6" s="169"/>
      <c r="I6" s="169"/>
      <c r="J6" s="169"/>
      <c r="K6" s="169"/>
      <c r="L6" s="169"/>
      <c r="M6" s="169"/>
      <c r="N6" s="170"/>
      <c r="O6" s="102" t="s">
        <v>20</v>
      </c>
      <c r="P6" s="15"/>
      <c r="Q6" s="15"/>
      <c r="R6" s="15"/>
      <c r="S6" s="102" t="s">
        <v>91</v>
      </c>
      <c r="T6" s="15" t="s">
        <v>21</v>
      </c>
      <c r="U6" s="15"/>
      <c r="V6" s="15"/>
      <c r="X6" s="16"/>
    </row>
    <row r="7" spans="1:24" s="1" customFormat="1" ht="16.5" customHeight="1">
      <c r="A7" s="171">
        <v>1</v>
      </c>
      <c r="B7" s="172"/>
      <c r="C7" s="172"/>
      <c r="D7" s="173"/>
      <c r="E7" s="114"/>
      <c r="F7" s="174">
        <v>42386</v>
      </c>
      <c r="G7" s="175"/>
      <c r="H7" s="175"/>
      <c r="I7" s="175"/>
      <c r="J7" s="175"/>
      <c r="K7" s="175"/>
      <c r="L7" s="175"/>
      <c r="M7" s="175"/>
      <c r="N7" s="176"/>
      <c r="O7" s="166" t="s">
        <v>107</v>
      </c>
      <c r="P7" s="167"/>
      <c r="Q7" s="167"/>
      <c r="R7" s="167"/>
      <c r="S7" s="167"/>
      <c r="T7" s="167" t="s">
        <v>109</v>
      </c>
      <c r="U7" s="167"/>
      <c r="V7" s="167"/>
      <c r="W7" s="167"/>
      <c r="X7" s="177"/>
    </row>
    <row r="8" spans="1:24" s="2" customFormat="1" ht="11.25" customHeight="1">
      <c r="A8" s="178" t="s">
        <v>23</v>
      </c>
      <c r="B8" s="179"/>
      <c r="C8" s="7" t="s">
        <v>24</v>
      </c>
      <c r="D8" s="178" t="s">
        <v>25</v>
      </c>
      <c r="E8" s="180"/>
      <c r="F8" s="179"/>
      <c r="G8" s="181" t="s">
        <v>29</v>
      </c>
      <c r="H8" s="184" t="s">
        <v>54</v>
      </c>
      <c r="I8" s="185"/>
      <c r="J8" s="185"/>
      <c r="K8" s="185"/>
      <c r="L8" s="185"/>
      <c r="M8" s="185"/>
      <c r="N8" s="186"/>
      <c r="O8" s="7" t="s">
        <v>30</v>
      </c>
      <c r="P8" s="7" t="s">
        <v>31</v>
      </c>
      <c r="Q8" s="7" t="s">
        <v>32</v>
      </c>
      <c r="R8" s="187" t="s">
        <v>33</v>
      </c>
      <c r="S8" s="187"/>
      <c r="T8" s="187"/>
      <c r="U8" s="187"/>
      <c r="V8" s="187"/>
      <c r="W8" s="187"/>
      <c r="X8" s="187" t="s">
        <v>53</v>
      </c>
    </row>
    <row r="9" spans="1:24" ht="17.25" customHeight="1">
      <c r="A9" s="188" t="s">
        <v>26</v>
      </c>
      <c r="B9" s="189"/>
      <c r="C9" s="192" t="s">
        <v>27</v>
      </c>
      <c r="D9" s="194" t="s">
        <v>28</v>
      </c>
      <c r="E9" s="195"/>
      <c r="F9" s="196"/>
      <c r="G9" s="182"/>
      <c r="H9" s="4" t="s">
        <v>36</v>
      </c>
      <c r="I9" s="4" t="s">
        <v>37</v>
      </c>
      <c r="J9" s="4" t="s">
        <v>38</v>
      </c>
      <c r="K9" s="4" t="s">
        <v>111</v>
      </c>
      <c r="L9" s="4" t="s">
        <v>39</v>
      </c>
      <c r="M9" s="4" t="s">
        <v>41</v>
      </c>
      <c r="N9" s="4" t="s">
        <v>42</v>
      </c>
      <c r="O9" s="6"/>
      <c r="P9" s="8"/>
      <c r="Q9" s="8"/>
      <c r="R9" s="187"/>
      <c r="S9" s="187"/>
      <c r="T9" s="187"/>
      <c r="U9" s="187"/>
      <c r="V9" s="187"/>
      <c r="W9" s="187"/>
      <c r="X9" s="187"/>
    </row>
    <row r="10" spans="1:24" ht="19.5" customHeight="1">
      <c r="A10" s="188"/>
      <c r="B10" s="189"/>
      <c r="C10" s="192"/>
      <c r="D10" s="194"/>
      <c r="E10" s="195"/>
      <c r="F10" s="196"/>
      <c r="G10" s="182"/>
      <c r="H10" s="100">
        <f t="shared" ref="H10:L10" si="0">I10-1</f>
        <v>42380</v>
      </c>
      <c r="I10" s="100">
        <f t="shared" si="0"/>
        <v>42381</v>
      </c>
      <c r="J10" s="100">
        <f t="shared" si="0"/>
        <v>42382</v>
      </c>
      <c r="K10" s="100">
        <f t="shared" si="0"/>
        <v>42383</v>
      </c>
      <c r="L10" s="100">
        <f t="shared" si="0"/>
        <v>42384</v>
      </c>
      <c r="M10" s="100">
        <f>N10-1</f>
        <v>42385</v>
      </c>
      <c r="N10" s="100">
        <f>F7</f>
        <v>42386</v>
      </c>
      <c r="O10" s="200" t="s">
        <v>46</v>
      </c>
      <c r="P10" s="200" t="s">
        <v>47</v>
      </c>
      <c r="Q10" s="200" t="s">
        <v>48</v>
      </c>
      <c r="R10" s="206" t="s">
        <v>44</v>
      </c>
      <c r="S10" s="206" t="s">
        <v>45</v>
      </c>
      <c r="T10" s="207"/>
      <c r="U10" s="207"/>
      <c r="V10" s="202" t="s">
        <v>35</v>
      </c>
      <c r="W10" s="203" t="s">
        <v>34</v>
      </c>
      <c r="X10" s="187"/>
    </row>
    <row r="11" spans="1:24" ht="18.75" hidden="1" customHeight="1">
      <c r="A11" s="188"/>
      <c r="B11" s="189"/>
      <c r="C11" s="192"/>
      <c r="D11" s="194"/>
      <c r="E11" s="195"/>
      <c r="F11" s="196"/>
      <c r="G11" s="182"/>
      <c r="H11" s="5"/>
      <c r="I11" s="4"/>
      <c r="J11" s="4"/>
      <c r="K11" s="4"/>
      <c r="L11" s="4"/>
      <c r="M11" s="4"/>
      <c r="N11" s="4"/>
      <c r="O11" s="200"/>
      <c r="P11" s="200"/>
      <c r="Q11" s="200"/>
      <c r="R11" s="206"/>
      <c r="S11" s="206"/>
      <c r="T11" s="207"/>
      <c r="U11" s="207"/>
      <c r="V11" s="202"/>
      <c r="W11" s="203"/>
      <c r="X11" s="187"/>
    </row>
    <row r="12" spans="1:24">
      <c r="A12" s="190"/>
      <c r="B12" s="191"/>
      <c r="C12" s="193"/>
      <c r="D12" s="197"/>
      <c r="E12" s="198"/>
      <c r="F12" s="199"/>
      <c r="G12" s="183"/>
      <c r="H12" s="204" t="s">
        <v>43</v>
      </c>
      <c r="I12" s="204"/>
      <c r="J12" s="204"/>
      <c r="K12" s="204"/>
      <c r="L12" s="204"/>
      <c r="M12" s="204"/>
      <c r="N12" s="205"/>
      <c r="O12" s="201"/>
      <c r="P12" s="201"/>
      <c r="Q12" s="201"/>
      <c r="R12" s="206"/>
      <c r="S12" s="206"/>
      <c r="T12" s="207"/>
      <c r="U12" s="207"/>
      <c r="V12" s="202"/>
      <c r="W12" s="203"/>
      <c r="X12" s="187"/>
    </row>
    <row r="13" spans="1:24" ht="15" customHeight="1">
      <c r="A13" s="208" t="s">
        <v>98</v>
      </c>
      <c r="B13" s="209"/>
      <c r="C13" s="210">
        <v>2</v>
      </c>
      <c r="D13" s="211" t="s">
        <v>123</v>
      </c>
      <c r="E13" s="212"/>
      <c r="F13" s="213"/>
      <c r="G13" s="220" t="s">
        <v>49</v>
      </c>
      <c r="H13" s="220"/>
      <c r="I13" s="220"/>
      <c r="J13" s="220"/>
      <c r="K13" s="220"/>
      <c r="L13" s="220"/>
      <c r="M13" s="220"/>
      <c r="N13" s="220"/>
      <c r="O13" s="232">
        <f>SUM(H13:M14)</f>
        <v>0</v>
      </c>
      <c r="P13" s="105" t="s">
        <v>110</v>
      </c>
      <c r="Q13" s="238">
        <f>P14*O13</f>
        <v>0</v>
      </c>
      <c r="R13" s="226"/>
      <c r="S13" s="226"/>
      <c r="T13" s="226"/>
      <c r="U13" s="226"/>
      <c r="V13" s="226"/>
      <c r="W13" s="226"/>
      <c r="X13" s="229"/>
    </row>
    <row r="14" spans="1:24">
      <c r="A14" s="221" t="s">
        <v>103</v>
      </c>
      <c r="B14" s="222"/>
      <c r="C14" s="210"/>
      <c r="D14" s="214"/>
      <c r="E14" s="215"/>
      <c r="F14" s="216"/>
      <c r="G14" s="220"/>
      <c r="H14" s="220"/>
      <c r="I14" s="220"/>
      <c r="J14" s="220"/>
      <c r="K14" s="220"/>
      <c r="L14" s="220"/>
      <c r="M14" s="220"/>
      <c r="N14" s="220"/>
      <c r="O14" s="233"/>
      <c r="P14" s="103">
        <f>P16/2+P16</f>
        <v>22.5</v>
      </c>
      <c r="Q14" s="239"/>
      <c r="R14" s="227"/>
      <c r="S14" s="227"/>
      <c r="T14" s="227"/>
      <c r="U14" s="227"/>
      <c r="V14" s="227"/>
      <c r="W14" s="227"/>
      <c r="X14" s="230"/>
    </row>
    <row r="15" spans="1:24">
      <c r="A15" s="221"/>
      <c r="B15" s="222"/>
      <c r="C15" s="210"/>
      <c r="D15" s="214"/>
      <c r="E15" s="215"/>
      <c r="F15" s="216"/>
      <c r="G15" s="223" t="s">
        <v>40</v>
      </c>
      <c r="H15" s="223">
        <v>0</v>
      </c>
      <c r="I15" s="223">
        <v>0</v>
      </c>
      <c r="J15" s="223">
        <v>0</v>
      </c>
      <c r="K15" s="223">
        <v>0</v>
      </c>
      <c r="L15" s="223">
        <v>0</v>
      </c>
      <c r="M15" s="223">
        <v>0</v>
      </c>
      <c r="N15" s="223">
        <v>0</v>
      </c>
      <c r="O15" s="234">
        <f>SUM(H15:N16)</f>
        <v>0</v>
      </c>
      <c r="P15" s="106" t="s">
        <v>110</v>
      </c>
      <c r="Q15" s="236">
        <f>P16*O15</f>
        <v>0</v>
      </c>
      <c r="R15" s="227"/>
      <c r="S15" s="227"/>
      <c r="T15" s="227"/>
      <c r="U15" s="227"/>
      <c r="V15" s="227"/>
      <c r="W15" s="227"/>
      <c r="X15" s="230"/>
    </row>
    <row r="16" spans="1:24">
      <c r="A16" s="224"/>
      <c r="B16" s="225"/>
      <c r="C16" s="210"/>
      <c r="D16" s="217"/>
      <c r="E16" s="218"/>
      <c r="F16" s="219"/>
      <c r="G16" s="223"/>
      <c r="H16" s="223"/>
      <c r="I16" s="223"/>
      <c r="J16" s="223"/>
      <c r="K16" s="223"/>
      <c r="L16" s="223"/>
      <c r="M16" s="223"/>
      <c r="N16" s="223"/>
      <c r="O16" s="235"/>
      <c r="P16" s="104">
        <v>15</v>
      </c>
      <c r="Q16" s="237"/>
      <c r="R16" s="228"/>
      <c r="S16" s="228"/>
      <c r="T16" s="228"/>
      <c r="U16" s="228"/>
      <c r="V16" s="228"/>
      <c r="W16" s="228"/>
      <c r="X16" s="231"/>
    </row>
    <row r="17" spans="1:24" ht="15" customHeight="1">
      <c r="A17" s="208" t="s">
        <v>99</v>
      </c>
      <c r="B17" s="209"/>
      <c r="C17" s="210">
        <v>2</v>
      </c>
      <c r="D17" s="211" t="s">
        <v>123</v>
      </c>
      <c r="E17" s="212"/>
      <c r="F17" s="213"/>
      <c r="G17" s="220" t="s">
        <v>49</v>
      </c>
      <c r="H17" s="220"/>
      <c r="I17" s="220"/>
      <c r="J17" s="220"/>
      <c r="K17" s="220"/>
      <c r="L17" s="220"/>
      <c r="M17" s="220"/>
      <c r="N17" s="220"/>
      <c r="O17" s="232">
        <f>SUM(H17:M18)</f>
        <v>0</v>
      </c>
      <c r="P17" s="105" t="s">
        <v>110</v>
      </c>
      <c r="Q17" s="238">
        <f>P18*O17</f>
        <v>0</v>
      </c>
      <c r="R17" s="226">
        <v>50.1</v>
      </c>
      <c r="S17" s="226">
        <f>36.74+8.59</f>
        <v>45.33</v>
      </c>
      <c r="T17" s="226"/>
      <c r="U17" s="226"/>
      <c r="V17" s="226"/>
      <c r="W17" s="226">
        <v>110.57</v>
      </c>
      <c r="X17" s="229">
        <v>481.93</v>
      </c>
    </row>
    <row r="18" spans="1:24">
      <c r="A18" s="221" t="s">
        <v>102</v>
      </c>
      <c r="B18" s="222"/>
      <c r="C18" s="210"/>
      <c r="D18" s="214"/>
      <c r="E18" s="215"/>
      <c r="F18" s="216"/>
      <c r="G18" s="220"/>
      <c r="H18" s="220"/>
      <c r="I18" s="220"/>
      <c r="J18" s="220"/>
      <c r="K18" s="220"/>
      <c r="L18" s="220"/>
      <c r="M18" s="220"/>
      <c r="N18" s="220"/>
      <c r="O18" s="233"/>
      <c r="P18" s="103">
        <f>P20/2+P20</f>
        <v>22.5</v>
      </c>
      <c r="Q18" s="239"/>
      <c r="R18" s="227"/>
      <c r="S18" s="227"/>
      <c r="T18" s="227"/>
      <c r="U18" s="227"/>
      <c r="V18" s="227"/>
      <c r="W18" s="227"/>
      <c r="X18" s="230"/>
    </row>
    <row r="19" spans="1:24">
      <c r="A19" s="221"/>
      <c r="B19" s="222"/>
      <c r="C19" s="210"/>
      <c r="D19" s="214"/>
      <c r="E19" s="215"/>
      <c r="F19" s="216"/>
      <c r="G19" s="223" t="s">
        <v>40</v>
      </c>
      <c r="H19" s="223">
        <v>0</v>
      </c>
      <c r="I19" s="223">
        <v>9</v>
      </c>
      <c r="J19" s="223">
        <v>9</v>
      </c>
      <c r="K19" s="223">
        <v>9</v>
      </c>
      <c r="L19" s="223">
        <v>9</v>
      </c>
      <c r="M19" s="223">
        <v>3.5</v>
      </c>
      <c r="N19" s="223"/>
      <c r="O19" s="223">
        <f>SUM(H19:N20)</f>
        <v>39.5</v>
      </c>
      <c r="P19" s="106" t="s">
        <v>110</v>
      </c>
      <c r="Q19" s="236">
        <f>P20*O19</f>
        <v>592.5</v>
      </c>
      <c r="R19" s="227"/>
      <c r="S19" s="227"/>
      <c r="T19" s="227"/>
      <c r="U19" s="227"/>
      <c r="V19" s="227"/>
      <c r="W19" s="227"/>
      <c r="X19" s="230"/>
    </row>
    <row r="20" spans="1:24">
      <c r="A20" s="224"/>
      <c r="B20" s="225"/>
      <c r="C20" s="210"/>
      <c r="D20" s="217"/>
      <c r="E20" s="218"/>
      <c r="F20" s="219"/>
      <c r="G20" s="223"/>
      <c r="H20" s="223"/>
      <c r="I20" s="223"/>
      <c r="J20" s="223"/>
      <c r="K20" s="223"/>
      <c r="L20" s="223"/>
      <c r="M20" s="223"/>
      <c r="N20" s="223"/>
      <c r="O20" s="223"/>
      <c r="P20" s="104">
        <v>15</v>
      </c>
      <c r="Q20" s="237"/>
      <c r="R20" s="228"/>
      <c r="S20" s="228"/>
      <c r="T20" s="228"/>
      <c r="U20" s="228"/>
      <c r="V20" s="228"/>
      <c r="W20" s="228"/>
      <c r="X20" s="231"/>
    </row>
    <row r="21" spans="1:24" ht="14" customHeight="1">
      <c r="A21" s="208" t="s">
        <v>100</v>
      </c>
      <c r="B21" s="209"/>
      <c r="C21" s="210">
        <v>3</v>
      </c>
      <c r="D21" s="211" t="s">
        <v>123</v>
      </c>
      <c r="E21" s="212"/>
      <c r="F21" s="213"/>
      <c r="G21" s="220" t="s">
        <v>49</v>
      </c>
      <c r="H21" s="220"/>
      <c r="I21" s="220"/>
      <c r="J21" s="220"/>
      <c r="K21" s="220"/>
      <c r="L21" s="220"/>
      <c r="M21" s="220"/>
      <c r="N21" s="220"/>
      <c r="O21" s="232">
        <f>SUM(H21:M22)</f>
        <v>0</v>
      </c>
      <c r="P21" s="105" t="s">
        <v>110</v>
      </c>
      <c r="Q21" s="238">
        <f>P22*O21</f>
        <v>0</v>
      </c>
      <c r="R21" s="226">
        <v>38.42</v>
      </c>
      <c r="S21" s="226">
        <f>36.74+8.59</f>
        <v>45.33</v>
      </c>
      <c r="T21" s="226"/>
      <c r="U21" s="226"/>
      <c r="V21" s="226"/>
      <c r="W21" s="226">
        <v>96.9</v>
      </c>
      <c r="X21" s="229">
        <v>495.6</v>
      </c>
    </row>
    <row r="22" spans="1:24">
      <c r="A22" s="221" t="s">
        <v>104</v>
      </c>
      <c r="B22" s="222"/>
      <c r="C22" s="210"/>
      <c r="D22" s="214"/>
      <c r="E22" s="215"/>
      <c r="F22" s="216"/>
      <c r="G22" s="220"/>
      <c r="H22" s="220"/>
      <c r="I22" s="220"/>
      <c r="J22" s="220"/>
      <c r="K22" s="220"/>
      <c r="L22" s="220"/>
      <c r="M22" s="220"/>
      <c r="N22" s="220"/>
      <c r="O22" s="233"/>
      <c r="P22" s="103">
        <f>P24/2+P24</f>
        <v>22.5</v>
      </c>
      <c r="Q22" s="239"/>
      <c r="R22" s="227"/>
      <c r="S22" s="227"/>
      <c r="T22" s="227"/>
      <c r="U22" s="227"/>
      <c r="V22" s="227"/>
      <c r="W22" s="227"/>
      <c r="X22" s="230"/>
    </row>
    <row r="23" spans="1:24">
      <c r="A23" s="221"/>
      <c r="B23" s="222"/>
      <c r="C23" s="210"/>
      <c r="D23" s="214"/>
      <c r="E23" s="215"/>
      <c r="F23" s="216"/>
      <c r="G23" s="223" t="s">
        <v>40</v>
      </c>
      <c r="H23" s="223">
        <v>0</v>
      </c>
      <c r="I23" s="223">
        <v>9</v>
      </c>
      <c r="J23" s="223">
        <v>9</v>
      </c>
      <c r="K23" s="223">
        <v>9</v>
      </c>
      <c r="L23" s="223">
        <v>9</v>
      </c>
      <c r="M23" s="223">
        <v>3.5</v>
      </c>
      <c r="N23" s="223"/>
      <c r="O23" s="223">
        <f>SUM(H23:N24)</f>
        <v>39.5</v>
      </c>
      <c r="P23" s="106" t="s">
        <v>110</v>
      </c>
      <c r="Q23" s="236">
        <f>P24*O23</f>
        <v>592.5</v>
      </c>
      <c r="R23" s="227"/>
      <c r="S23" s="227"/>
      <c r="T23" s="227"/>
      <c r="U23" s="227"/>
      <c r="V23" s="227"/>
      <c r="W23" s="227"/>
      <c r="X23" s="230"/>
    </row>
    <row r="24" spans="1:24">
      <c r="A24" s="224"/>
      <c r="B24" s="225"/>
      <c r="C24" s="210"/>
      <c r="D24" s="217"/>
      <c r="E24" s="218"/>
      <c r="F24" s="219"/>
      <c r="G24" s="223"/>
      <c r="H24" s="223"/>
      <c r="I24" s="223"/>
      <c r="J24" s="223"/>
      <c r="K24" s="223"/>
      <c r="L24" s="223"/>
      <c r="M24" s="223"/>
      <c r="N24" s="223"/>
      <c r="O24" s="223"/>
      <c r="P24" s="104">
        <v>15</v>
      </c>
      <c r="Q24" s="237"/>
      <c r="R24" s="228"/>
      <c r="S24" s="228"/>
      <c r="T24" s="228"/>
      <c r="U24" s="228"/>
      <c r="V24" s="228"/>
      <c r="W24" s="228"/>
      <c r="X24" s="231"/>
    </row>
    <row r="25" spans="1:24" ht="14" customHeight="1">
      <c r="A25" s="208" t="s">
        <v>84</v>
      </c>
      <c r="B25" s="209"/>
      <c r="C25" s="210">
        <v>1</v>
      </c>
      <c r="D25" s="211" t="s">
        <v>123</v>
      </c>
      <c r="E25" s="212"/>
      <c r="F25" s="213"/>
      <c r="G25" s="220" t="s">
        <v>49</v>
      </c>
      <c r="H25" s="220"/>
      <c r="I25" s="220"/>
      <c r="J25" s="220"/>
      <c r="K25" s="220"/>
      <c r="L25" s="220"/>
      <c r="M25" s="220"/>
      <c r="N25" s="220"/>
      <c r="O25" s="232">
        <f>SUM(H25:M26)</f>
        <v>0</v>
      </c>
      <c r="P25" s="105" t="s">
        <v>110</v>
      </c>
      <c r="Q25" s="238">
        <f>P26*O25</f>
        <v>0</v>
      </c>
      <c r="R25" s="226">
        <v>609.98</v>
      </c>
      <c r="S25" s="226">
        <f>167.4+39.15+116.07</f>
        <v>322.62</v>
      </c>
      <c r="T25" s="226"/>
      <c r="U25" s="226"/>
      <c r="V25" s="226"/>
      <c r="W25" s="226">
        <f>R25+S25</f>
        <v>932.6</v>
      </c>
      <c r="X25" s="229">
        <f>Q27-W25</f>
        <v>1767.4</v>
      </c>
    </row>
    <row r="26" spans="1:24">
      <c r="A26" s="221" t="s">
        <v>85</v>
      </c>
      <c r="B26" s="222"/>
      <c r="C26" s="210"/>
      <c r="D26" s="214"/>
      <c r="E26" s="215"/>
      <c r="F26" s="216"/>
      <c r="G26" s="220"/>
      <c r="H26" s="220"/>
      <c r="I26" s="220"/>
      <c r="J26" s="220"/>
      <c r="K26" s="220"/>
      <c r="L26" s="220"/>
      <c r="M26" s="220"/>
      <c r="N26" s="220"/>
      <c r="O26" s="233"/>
      <c r="P26" s="103">
        <v>0</v>
      </c>
      <c r="Q26" s="239"/>
      <c r="R26" s="227"/>
      <c r="S26" s="227"/>
      <c r="T26" s="227"/>
      <c r="U26" s="227"/>
      <c r="V26" s="227"/>
      <c r="W26" s="227"/>
      <c r="X26" s="230"/>
    </row>
    <row r="27" spans="1:24">
      <c r="A27" s="221"/>
      <c r="B27" s="222"/>
      <c r="C27" s="210"/>
      <c r="D27" s="214"/>
      <c r="E27" s="215"/>
      <c r="F27" s="216"/>
      <c r="G27" s="223" t="s">
        <v>40</v>
      </c>
      <c r="H27" s="223">
        <v>0</v>
      </c>
      <c r="I27" s="223">
        <v>9</v>
      </c>
      <c r="J27" s="223">
        <v>9</v>
      </c>
      <c r="K27" s="223">
        <v>9</v>
      </c>
      <c r="L27" s="223">
        <v>9</v>
      </c>
      <c r="M27" s="223">
        <v>9</v>
      </c>
      <c r="N27" s="223">
        <v>9</v>
      </c>
      <c r="O27" s="223">
        <f>SUM(H27:N28)</f>
        <v>54</v>
      </c>
      <c r="P27" s="106" t="s">
        <v>110</v>
      </c>
      <c r="Q27" s="236">
        <f>P28*O27</f>
        <v>2700</v>
      </c>
      <c r="R27" s="227"/>
      <c r="S27" s="227"/>
      <c r="T27" s="227"/>
      <c r="U27" s="227"/>
      <c r="V27" s="227"/>
      <c r="W27" s="227"/>
      <c r="X27" s="230"/>
    </row>
    <row r="28" spans="1:24">
      <c r="A28" s="224"/>
      <c r="B28" s="225"/>
      <c r="C28" s="210"/>
      <c r="D28" s="217"/>
      <c r="E28" s="218"/>
      <c r="F28" s="219"/>
      <c r="G28" s="223"/>
      <c r="H28" s="223"/>
      <c r="I28" s="223"/>
      <c r="J28" s="223"/>
      <c r="K28" s="223"/>
      <c r="L28" s="223"/>
      <c r="M28" s="223"/>
      <c r="N28" s="223"/>
      <c r="O28" s="223"/>
      <c r="P28" s="104">
        <v>50</v>
      </c>
      <c r="Q28" s="237"/>
      <c r="R28" s="228"/>
      <c r="S28" s="228"/>
      <c r="T28" s="228"/>
      <c r="U28" s="228"/>
      <c r="V28" s="228"/>
      <c r="W28" s="228"/>
      <c r="X28" s="231"/>
    </row>
    <row r="29" spans="1:24" ht="14" customHeight="1">
      <c r="A29" s="208" t="s">
        <v>101</v>
      </c>
      <c r="B29" s="209"/>
      <c r="C29" s="210">
        <v>2</v>
      </c>
      <c r="D29" s="211" t="s">
        <v>123</v>
      </c>
      <c r="E29" s="212"/>
      <c r="F29" s="213"/>
      <c r="G29" s="220" t="s">
        <v>49</v>
      </c>
      <c r="H29" s="220"/>
      <c r="I29" s="220"/>
      <c r="J29" s="220"/>
      <c r="K29" s="220"/>
      <c r="L29" s="220"/>
      <c r="M29" s="220"/>
      <c r="N29" s="220"/>
      <c r="O29" s="232">
        <f>SUM(H29:M30)</f>
        <v>0</v>
      </c>
      <c r="P29" s="105" t="s">
        <v>110</v>
      </c>
      <c r="Q29" s="238">
        <f>P30*O29</f>
        <v>0</v>
      </c>
      <c r="R29" s="226">
        <v>206.42</v>
      </c>
      <c r="S29" s="226">
        <f>83.7+19.58+49.98</f>
        <v>153.26</v>
      </c>
      <c r="T29" s="226"/>
      <c r="U29" s="226"/>
      <c r="V29" s="226"/>
      <c r="W29" s="226">
        <f>R29+S29</f>
        <v>359.67999999999995</v>
      </c>
      <c r="X29" s="229">
        <f>Q31-W29</f>
        <v>990.32</v>
      </c>
    </row>
    <row r="30" spans="1:24">
      <c r="A30" s="221" t="s">
        <v>106</v>
      </c>
      <c r="B30" s="222"/>
      <c r="C30" s="210"/>
      <c r="D30" s="214"/>
      <c r="E30" s="215"/>
      <c r="F30" s="216"/>
      <c r="G30" s="220"/>
      <c r="H30" s="220"/>
      <c r="I30" s="220"/>
      <c r="J30" s="220"/>
      <c r="K30" s="220"/>
      <c r="L30" s="220"/>
      <c r="M30" s="220"/>
      <c r="N30" s="220"/>
      <c r="O30" s="233"/>
      <c r="P30" s="103">
        <v>0</v>
      </c>
      <c r="Q30" s="239"/>
      <c r="R30" s="227"/>
      <c r="S30" s="227"/>
      <c r="T30" s="227"/>
      <c r="U30" s="227"/>
      <c r="V30" s="227"/>
      <c r="W30" s="227"/>
      <c r="X30" s="230"/>
    </row>
    <row r="31" spans="1:24">
      <c r="A31" s="221"/>
      <c r="B31" s="222"/>
      <c r="C31" s="210"/>
      <c r="D31" s="214"/>
      <c r="E31" s="215"/>
      <c r="F31" s="216"/>
      <c r="G31" s="223" t="s">
        <v>40</v>
      </c>
      <c r="H31" s="223">
        <v>0</v>
      </c>
      <c r="I31" s="234">
        <v>9</v>
      </c>
      <c r="J31" s="234">
        <v>9</v>
      </c>
      <c r="K31" s="234">
        <v>9</v>
      </c>
      <c r="L31" s="234">
        <v>9</v>
      </c>
      <c r="M31" s="234">
        <v>9</v>
      </c>
      <c r="N31" s="234">
        <v>9</v>
      </c>
      <c r="O31" s="223">
        <f>SUM(H31:N32)</f>
        <v>54</v>
      </c>
      <c r="P31" s="106" t="s">
        <v>110</v>
      </c>
      <c r="Q31" s="236">
        <f>P32*O31</f>
        <v>1350</v>
      </c>
      <c r="R31" s="227"/>
      <c r="S31" s="227"/>
      <c r="T31" s="227"/>
      <c r="U31" s="227"/>
      <c r="V31" s="227"/>
      <c r="W31" s="227"/>
      <c r="X31" s="230"/>
    </row>
    <row r="32" spans="1:24">
      <c r="A32" s="224"/>
      <c r="B32" s="225"/>
      <c r="C32" s="210"/>
      <c r="D32" s="217"/>
      <c r="E32" s="218"/>
      <c r="F32" s="219"/>
      <c r="G32" s="223"/>
      <c r="H32" s="223"/>
      <c r="I32" s="235"/>
      <c r="J32" s="235"/>
      <c r="K32" s="235"/>
      <c r="L32" s="235"/>
      <c r="M32" s="235"/>
      <c r="N32" s="235"/>
      <c r="O32" s="223"/>
      <c r="P32" s="104">
        <v>25</v>
      </c>
      <c r="Q32" s="237"/>
      <c r="R32" s="228"/>
      <c r="S32" s="228"/>
      <c r="T32" s="228"/>
      <c r="U32" s="228"/>
      <c r="V32" s="228"/>
      <c r="W32" s="228"/>
      <c r="X32" s="231"/>
    </row>
    <row r="33" spans="1:24" ht="14" customHeight="1">
      <c r="A33" s="208"/>
      <c r="B33" s="209"/>
      <c r="C33" s="210"/>
      <c r="D33" s="211"/>
      <c r="E33" s="212"/>
      <c r="F33" s="213"/>
      <c r="G33" s="220"/>
      <c r="H33" s="220"/>
      <c r="I33" s="220"/>
      <c r="J33" s="220"/>
      <c r="K33" s="220"/>
      <c r="L33" s="220"/>
      <c r="M33" s="220"/>
      <c r="N33" s="220"/>
      <c r="O33" s="232">
        <f>SUM(H33:M34)</f>
        <v>0</v>
      </c>
      <c r="P33" s="105"/>
      <c r="Q33" s="220"/>
      <c r="R33" s="226"/>
      <c r="S33" s="226"/>
      <c r="T33" s="226"/>
      <c r="U33" s="226"/>
      <c r="V33" s="226"/>
      <c r="W33" s="226"/>
      <c r="X33" s="229"/>
    </row>
    <row r="34" spans="1:24">
      <c r="A34" s="221"/>
      <c r="B34" s="222"/>
      <c r="C34" s="210"/>
      <c r="D34" s="214"/>
      <c r="E34" s="215"/>
      <c r="F34" s="216"/>
      <c r="G34" s="220"/>
      <c r="H34" s="220"/>
      <c r="I34" s="220"/>
      <c r="J34" s="220"/>
      <c r="K34" s="220"/>
      <c r="L34" s="220"/>
      <c r="M34" s="220"/>
      <c r="N34" s="220"/>
      <c r="O34" s="233"/>
      <c r="P34" s="103"/>
      <c r="Q34" s="220"/>
      <c r="R34" s="227"/>
      <c r="S34" s="227"/>
      <c r="T34" s="227"/>
      <c r="U34" s="227"/>
      <c r="V34" s="227"/>
      <c r="W34" s="227"/>
      <c r="X34" s="230"/>
    </row>
    <row r="35" spans="1:24">
      <c r="A35" s="221"/>
      <c r="B35" s="222"/>
      <c r="C35" s="210"/>
      <c r="D35" s="214"/>
      <c r="E35" s="215"/>
      <c r="F35" s="216"/>
      <c r="G35" s="223"/>
      <c r="H35" s="223"/>
      <c r="I35" s="223"/>
      <c r="J35" s="223"/>
      <c r="K35" s="223"/>
      <c r="L35" s="223"/>
      <c r="M35" s="223"/>
      <c r="N35" s="223"/>
      <c r="O35" s="223">
        <f>SUM(H35:N36)</f>
        <v>0</v>
      </c>
      <c r="P35" s="106"/>
      <c r="Q35" s="237"/>
      <c r="R35" s="227"/>
      <c r="S35" s="227"/>
      <c r="T35" s="227"/>
      <c r="U35" s="227"/>
      <c r="V35" s="227"/>
      <c r="W35" s="227"/>
      <c r="X35" s="230"/>
    </row>
    <row r="36" spans="1:24">
      <c r="A36" s="224"/>
      <c r="B36" s="225"/>
      <c r="C36" s="210"/>
      <c r="D36" s="217"/>
      <c r="E36" s="218"/>
      <c r="F36" s="219"/>
      <c r="G36" s="223"/>
      <c r="H36" s="223"/>
      <c r="I36" s="223"/>
      <c r="J36" s="223"/>
      <c r="K36" s="223"/>
      <c r="L36" s="223"/>
      <c r="M36" s="223"/>
      <c r="N36" s="223"/>
      <c r="O36" s="223"/>
      <c r="P36" s="104"/>
      <c r="Q36" s="237"/>
      <c r="R36" s="228"/>
      <c r="S36" s="228"/>
      <c r="T36" s="228"/>
      <c r="U36" s="228"/>
      <c r="V36" s="228"/>
      <c r="W36" s="228"/>
      <c r="X36" s="231"/>
    </row>
    <row r="37" spans="1:24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</row>
    <row r="38" spans="1:24" ht="15.75" customHeight="1">
      <c r="A38" s="18" t="s">
        <v>58</v>
      </c>
      <c r="B38" s="101">
        <f>N10</f>
        <v>42386</v>
      </c>
      <c r="C38" s="20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 t="s">
        <v>82</v>
      </c>
      <c r="R38" s="18"/>
      <c r="S38" s="18"/>
      <c r="T38" s="18"/>
      <c r="U38" s="3"/>
      <c r="V38" s="3"/>
      <c r="W38" s="3"/>
    </row>
    <row r="39" spans="1:24" ht="18.75" customHeight="1">
      <c r="A39" s="29" t="s">
        <v>59</v>
      </c>
      <c r="B39" s="35" t="s">
        <v>83</v>
      </c>
      <c r="C39" s="31"/>
      <c r="D39" s="31"/>
      <c r="E39" s="31"/>
      <c r="F39" s="31"/>
      <c r="G39" s="31"/>
      <c r="H39" s="96" t="s">
        <v>75</v>
      </c>
      <c r="I39" s="96"/>
      <c r="J39" s="96"/>
      <c r="K39" s="27"/>
      <c r="L39" s="27"/>
      <c r="M39" s="25"/>
      <c r="N39" s="25"/>
      <c r="O39" s="25"/>
      <c r="P39" s="18"/>
      <c r="Q39" s="13" t="s">
        <v>90</v>
      </c>
      <c r="S39" s="18"/>
      <c r="T39" s="18"/>
      <c r="U39" s="3"/>
      <c r="V39" s="3"/>
      <c r="W39" s="3"/>
    </row>
    <row r="40" spans="1:24" ht="14.25" customHeight="1">
      <c r="A40" s="29"/>
      <c r="B40" s="21" t="s">
        <v>62</v>
      </c>
      <c r="C40" s="21"/>
      <c r="D40" s="21"/>
      <c r="E40" s="21"/>
      <c r="F40" s="31"/>
      <c r="G40" s="58"/>
      <c r="H40" s="21" t="s">
        <v>63</v>
      </c>
      <c r="I40" s="58"/>
      <c r="J40" s="21"/>
      <c r="K40" s="21"/>
      <c r="L40" s="24"/>
      <c r="M40" s="24"/>
      <c r="N40" s="24"/>
      <c r="O40" s="25"/>
      <c r="P40" s="17" t="s">
        <v>10</v>
      </c>
      <c r="R40" s="18"/>
      <c r="S40" s="18"/>
      <c r="T40" s="3"/>
      <c r="U40" s="3"/>
      <c r="V40" s="3"/>
    </row>
    <row r="41" spans="1:24" ht="12" customHeight="1">
      <c r="A41" s="17"/>
      <c r="F41" s="23"/>
      <c r="L41" s="95"/>
      <c r="M41" s="18"/>
      <c r="N41" s="18"/>
      <c r="O41" s="18"/>
      <c r="P41" s="18" t="s">
        <v>11</v>
      </c>
      <c r="R41" s="18"/>
      <c r="S41" s="18"/>
      <c r="T41" s="3"/>
      <c r="U41" s="3"/>
      <c r="V41" s="3"/>
    </row>
    <row r="42" spans="1:24" ht="12" customHeight="1">
      <c r="A42" s="17" t="s">
        <v>60</v>
      </c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 t="s">
        <v>12</v>
      </c>
      <c r="R42" s="18"/>
      <c r="S42" s="18"/>
      <c r="T42" s="3"/>
      <c r="U42" s="3"/>
      <c r="V42" s="3"/>
    </row>
    <row r="43" spans="1:24" ht="12" customHeight="1">
      <c r="A43" s="18"/>
      <c r="B43" s="18" t="s">
        <v>61</v>
      </c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25" t="s">
        <v>13</v>
      </c>
      <c r="R43" s="25"/>
      <c r="S43" s="25"/>
      <c r="T43" s="34"/>
      <c r="U43" s="34"/>
      <c r="V43" s="34"/>
    </row>
    <row r="44" spans="1:24" s="19" customFormat="1" ht="16.5" customHeight="1">
      <c r="A44" s="29"/>
      <c r="B44" s="25"/>
      <c r="C44" s="31" t="str">
        <f>C50</f>
        <v>Evankoff LLC</v>
      </c>
      <c r="D44" s="36"/>
      <c r="E44" s="36"/>
      <c r="F44" s="25"/>
      <c r="G44" s="25"/>
      <c r="H44" s="25"/>
      <c r="I44" s="25"/>
      <c r="J44" s="25"/>
      <c r="K44" s="25"/>
      <c r="L44" s="25"/>
      <c r="M44" s="25"/>
      <c r="N44" s="25"/>
      <c r="O44" s="25" t="s">
        <v>64</v>
      </c>
      <c r="P44" s="25"/>
    </row>
    <row r="45" spans="1:24">
      <c r="A45" s="24"/>
      <c r="B45" s="24"/>
      <c r="C45" s="24" t="s">
        <v>65</v>
      </c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5"/>
      <c r="P45" s="25"/>
      <c r="Q45" s="36" t="s">
        <v>16</v>
      </c>
      <c r="S45" s="19"/>
      <c r="T45" s="19"/>
      <c r="U45" s="19"/>
    </row>
    <row r="46" spans="1:24" s="19" customFormat="1" ht="15" thickBot="1">
      <c r="A46" s="31" t="s">
        <v>105</v>
      </c>
      <c r="B46" s="31"/>
      <c r="C46" s="31"/>
      <c r="D46" s="31"/>
      <c r="E46" s="31"/>
      <c r="F46" s="31"/>
      <c r="G46" s="25" t="s">
        <v>67</v>
      </c>
      <c r="H46" s="25"/>
      <c r="I46" s="25"/>
      <c r="J46" s="25"/>
      <c r="K46" s="25"/>
      <c r="L46" s="25"/>
      <c r="M46" s="25"/>
      <c r="N46" s="25"/>
      <c r="O46" s="25"/>
      <c r="P46" s="25"/>
      <c r="Q46" s="25"/>
    </row>
    <row r="47" spans="1:24">
      <c r="A47" s="24"/>
      <c r="B47" s="24" t="s">
        <v>66</v>
      </c>
      <c r="C47" s="24"/>
      <c r="D47" s="24"/>
      <c r="E47" s="24"/>
      <c r="F47" s="24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94"/>
      <c r="R47" s="70" t="s">
        <v>14</v>
      </c>
      <c r="S47" s="71"/>
      <c r="T47" s="72"/>
      <c r="U47" s="37"/>
      <c r="V47" s="73" t="s">
        <v>15</v>
      </c>
      <c r="W47" s="74" t="s">
        <v>93</v>
      </c>
      <c r="X47" s="75"/>
    </row>
    <row r="48" spans="1:24">
      <c r="A48" s="99">
        <f>H10</f>
        <v>42380</v>
      </c>
      <c r="B48" s="26" t="s">
        <v>68</v>
      </c>
      <c r="C48" s="244">
        <f>F7</f>
        <v>42386</v>
      </c>
      <c r="D48" s="244"/>
      <c r="E48" s="98"/>
      <c r="F48" s="33" t="s">
        <v>73</v>
      </c>
      <c r="J48" s="32"/>
      <c r="L48" s="25"/>
      <c r="M48" s="25"/>
      <c r="N48" s="25"/>
      <c r="O48" s="25"/>
      <c r="P48" s="25"/>
      <c r="Q48" s="76"/>
      <c r="R48" s="77"/>
      <c r="S48" s="77"/>
      <c r="T48" s="78"/>
      <c r="U48" s="79"/>
      <c r="V48" s="80"/>
      <c r="W48" s="80"/>
      <c r="X48" s="81"/>
    </row>
    <row r="49" spans="1:24" ht="14.25" customHeight="1" thickBot="1">
      <c r="A49" s="24" t="s">
        <v>74</v>
      </c>
      <c r="B49" s="25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5"/>
      <c r="Q49" s="82"/>
      <c r="R49" s="83"/>
      <c r="S49" s="83"/>
      <c r="T49" s="84"/>
      <c r="U49" s="85"/>
      <c r="V49" s="86"/>
      <c r="W49" s="86"/>
      <c r="X49" s="87"/>
    </row>
    <row r="50" spans="1:24" ht="18.75" customHeight="1">
      <c r="A50" s="25"/>
      <c r="B50" s="25"/>
      <c r="C50" s="31" t="str">
        <f>A5</f>
        <v>Evankoff LLC</v>
      </c>
      <c r="D50" s="25"/>
      <c r="E50" s="25"/>
      <c r="F50" s="25"/>
      <c r="G50" s="25"/>
      <c r="H50" s="25"/>
      <c r="I50" s="25"/>
      <c r="J50" s="25"/>
      <c r="K50" s="25"/>
      <c r="L50" s="25"/>
      <c r="M50" s="25" t="s">
        <v>69</v>
      </c>
      <c r="N50" s="25"/>
      <c r="O50" s="25"/>
      <c r="P50" s="25"/>
      <c r="Q50" s="107"/>
      <c r="R50" s="108"/>
      <c r="S50" s="240" t="s">
        <v>97</v>
      </c>
      <c r="T50" s="240"/>
      <c r="U50" s="240"/>
      <c r="V50" s="240"/>
      <c r="W50" s="240"/>
      <c r="X50" s="241"/>
    </row>
    <row r="51" spans="1:24">
      <c r="A51" s="24"/>
      <c r="B51" s="24"/>
      <c r="C51" s="24" t="s">
        <v>65</v>
      </c>
      <c r="D51" s="24"/>
      <c r="E51" s="24"/>
      <c r="F51" s="24"/>
      <c r="G51" s="24"/>
      <c r="H51" s="24"/>
      <c r="I51" s="24"/>
      <c r="J51" s="24"/>
      <c r="K51" s="24"/>
      <c r="L51" s="24"/>
      <c r="M51" s="25"/>
      <c r="N51" s="25"/>
      <c r="O51" s="25"/>
      <c r="P51" s="25"/>
      <c r="Q51" s="109"/>
      <c r="R51" s="110"/>
      <c r="S51" s="242"/>
      <c r="T51" s="242"/>
      <c r="U51" s="242"/>
      <c r="V51" s="242"/>
      <c r="W51" s="242"/>
      <c r="X51" s="243"/>
    </row>
    <row r="52" spans="1:24" ht="12.75" customHeight="1" thickBot="1">
      <c r="A52" s="25" t="s">
        <v>70</v>
      </c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39"/>
      <c r="R52" s="88"/>
      <c r="S52" s="88"/>
      <c r="T52" s="89"/>
      <c r="U52" s="41"/>
      <c r="V52" s="40"/>
      <c r="W52" s="40"/>
      <c r="X52" s="42"/>
    </row>
    <row r="53" spans="1:24" ht="12.75" customHeight="1">
      <c r="A53" s="25" t="s">
        <v>71</v>
      </c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107"/>
      <c r="R53" s="108"/>
      <c r="S53" s="240" t="s">
        <v>95</v>
      </c>
      <c r="T53" s="240"/>
      <c r="U53" s="240"/>
      <c r="V53" s="240"/>
      <c r="W53" s="240"/>
      <c r="X53" s="241"/>
    </row>
    <row r="54" spans="1:24" ht="12.75" customHeight="1">
      <c r="A54" s="25" t="s">
        <v>72</v>
      </c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109"/>
      <c r="R54" s="110"/>
      <c r="S54" s="242"/>
      <c r="T54" s="242"/>
      <c r="U54" s="242"/>
      <c r="V54" s="242"/>
      <c r="W54" s="242"/>
      <c r="X54" s="243"/>
    </row>
    <row r="55" spans="1:24" ht="12.75" customHeight="1" thickBot="1">
      <c r="A55" s="25" t="s">
        <v>0</v>
      </c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43"/>
      <c r="R55" s="44"/>
      <c r="S55" s="44"/>
      <c r="T55" s="44"/>
      <c r="U55" s="45"/>
      <c r="V55" s="46"/>
      <c r="W55" s="46"/>
      <c r="X55" s="47"/>
    </row>
    <row r="56" spans="1:24" ht="18" customHeight="1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48"/>
      <c r="R56" s="49"/>
      <c r="S56" s="49"/>
      <c r="T56" s="49"/>
      <c r="U56" s="50"/>
      <c r="V56" s="51"/>
      <c r="W56" s="51"/>
      <c r="X56" s="52"/>
    </row>
    <row r="57" spans="1:24" ht="18" customHeight="1" thickBot="1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5"/>
      <c r="Q57" s="53"/>
      <c r="R57" s="54"/>
      <c r="S57" s="54"/>
      <c r="T57" s="54"/>
      <c r="U57" s="55"/>
      <c r="V57" s="10"/>
      <c r="W57" s="10"/>
      <c r="X57" s="56"/>
    </row>
    <row r="58" spans="1:24" ht="18" customHeight="1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5"/>
      <c r="Q58" s="48"/>
      <c r="R58" s="49"/>
      <c r="S58" s="49"/>
      <c r="T58" s="49"/>
      <c r="U58" s="50"/>
      <c r="V58" s="51"/>
      <c r="W58" s="51"/>
      <c r="X58" s="52"/>
    </row>
    <row r="59" spans="1:24" ht="21" customHeight="1" thickBot="1">
      <c r="A59" s="24"/>
      <c r="B59" s="28" t="s">
        <v>2</v>
      </c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5"/>
      <c r="Q59" s="53"/>
      <c r="R59" s="54"/>
      <c r="S59" s="54"/>
      <c r="T59" s="54"/>
      <c r="U59" s="55"/>
      <c r="V59" s="10"/>
      <c r="W59" s="10"/>
      <c r="X59" s="56"/>
    </row>
    <row r="60" spans="1:24" ht="12" customHeight="1">
      <c r="A60" s="30" t="s">
        <v>3</v>
      </c>
      <c r="B60" s="30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5"/>
      <c r="Q60" s="48" t="s">
        <v>17</v>
      </c>
      <c r="R60" s="49"/>
      <c r="S60" s="49"/>
      <c r="T60" s="49"/>
      <c r="U60" s="49"/>
      <c r="V60" s="51"/>
      <c r="W60" s="51"/>
      <c r="X60" s="52"/>
    </row>
    <row r="61" spans="1:24" ht="12" customHeight="1">
      <c r="A61" s="27" t="s">
        <v>4</v>
      </c>
      <c r="B61" s="30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5"/>
      <c r="Q61" s="111" t="s">
        <v>96</v>
      </c>
      <c r="R61" s="44"/>
      <c r="S61" s="44"/>
      <c r="T61" s="44"/>
      <c r="U61" s="44"/>
      <c r="V61" s="46"/>
      <c r="W61" s="46"/>
      <c r="X61" s="47"/>
    </row>
    <row r="62" spans="1:24" ht="12" customHeight="1">
      <c r="A62" s="27" t="s">
        <v>5</v>
      </c>
      <c r="B62" s="30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5"/>
      <c r="Q62" s="121"/>
      <c r="R62" s="122"/>
      <c r="S62" s="44"/>
      <c r="T62" s="44"/>
      <c r="U62" s="44"/>
      <c r="V62" s="46"/>
      <c r="W62" s="46"/>
      <c r="X62" s="47"/>
    </row>
    <row r="63" spans="1:24" ht="12" customHeight="1">
      <c r="A63" s="27"/>
      <c r="B63" s="30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5"/>
      <c r="Q63" s="121"/>
      <c r="R63" s="122"/>
      <c r="S63" s="44"/>
      <c r="T63" s="44"/>
      <c r="U63" s="44"/>
      <c r="V63" s="46"/>
      <c r="W63" s="46"/>
      <c r="X63" s="47"/>
    </row>
    <row r="64" spans="1:24" ht="12" customHeight="1">
      <c r="A64" s="29" t="s">
        <v>7</v>
      </c>
      <c r="B64" s="29" t="s">
        <v>6</v>
      </c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121"/>
      <c r="R64" s="122"/>
      <c r="S64" s="44"/>
      <c r="T64" s="44"/>
      <c r="U64" s="44"/>
      <c r="V64" s="46"/>
      <c r="W64" s="46"/>
      <c r="X64" s="47"/>
    </row>
    <row r="65" spans="1:24" ht="12" customHeight="1">
      <c r="A65" s="25" t="s">
        <v>8</v>
      </c>
      <c r="B65" s="29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43"/>
      <c r="R65" s="44"/>
      <c r="S65" s="44"/>
      <c r="T65" s="44"/>
      <c r="U65" s="44"/>
      <c r="V65" s="46"/>
      <c r="W65" s="46"/>
      <c r="X65" s="47"/>
    </row>
    <row r="66" spans="1:24" ht="12" customHeight="1">
      <c r="A66" s="25" t="s">
        <v>9</v>
      </c>
      <c r="B66" s="29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43"/>
      <c r="R66" s="44"/>
      <c r="S66" s="44"/>
      <c r="T66" s="44"/>
      <c r="U66" s="44"/>
      <c r="V66" s="46"/>
      <c r="W66" s="46"/>
      <c r="X66" s="47"/>
    </row>
    <row r="67" spans="1:24" ht="12" customHeight="1" thickBot="1">
      <c r="A67" s="25"/>
      <c r="B67" s="29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53"/>
      <c r="R67" s="54"/>
      <c r="S67" s="54"/>
      <c r="T67" s="54"/>
      <c r="U67" s="54"/>
      <c r="V67" s="10"/>
      <c r="W67" s="10"/>
      <c r="X67" s="56"/>
    </row>
    <row r="68" spans="1:24" ht="12" customHeight="1">
      <c r="A68" s="25"/>
      <c r="B68" s="25" t="s">
        <v>57</v>
      </c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</row>
    <row r="69" spans="1:24" ht="12" customHeight="1">
      <c r="A69" s="25"/>
      <c r="B69" s="25" t="s">
        <v>1</v>
      </c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12" t="s">
        <v>50</v>
      </c>
      <c r="R69" s="22"/>
      <c r="S69" s="22"/>
      <c r="T69" s="67"/>
      <c r="U69" s="57" t="s">
        <v>51</v>
      </c>
      <c r="V69" s="58"/>
      <c r="W69" s="58"/>
      <c r="X69" s="59"/>
    </row>
    <row r="70" spans="1:24" ht="11.25" customHeight="1">
      <c r="A70" s="25"/>
      <c r="B70" s="25" t="s">
        <v>81</v>
      </c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63"/>
      <c r="T70" s="68"/>
      <c r="U70" s="61"/>
      <c r="V70" s="38"/>
      <c r="W70" s="38"/>
      <c r="X70" s="60"/>
    </row>
    <row r="71" spans="1:24" ht="13.5" customHeight="1">
      <c r="A71" s="25"/>
      <c r="B71" s="97" t="s">
        <v>80</v>
      </c>
      <c r="C71" s="29" t="s">
        <v>76</v>
      </c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93" t="str">
        <f>B39</f>
        <v>Eric Coffie</v>
      </c>
      <c r="R71" s="90"/>
      <c r="S71" s="90" t="str">
        <f>H39</f>
        <v>President</v>
      </c>
      <c r="T71" s="68"/>
      <c r="U71" s="61"/>
      <c r="V71" s="38"/>
      <c r="W71" s="38"/>
      <c r="X71" s="60"/>
    </row>
    <row r="72" spans="1:24" ht="10.5" customHeight="1">
      <c r="A72" s="19"/>
      <c r="B72" s="25"/>
      <c r="C72" s="25" t="s">
        <v>77</v>
      </c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19"/>
      <c r="Q72" s="91"/>
      <c r="R72" s="92"/>
      <c r="S72" s="92"/>
      <c r="T72" s="69"/>
      <c r="U72" s="62"/>
      <c r="V72" s="116"/>
      <c r="W72" s="116"/>
      <c r="X72" s="117"/>
    </row>
    <row r="73" spans="1:24" ht="10.5" customHeight="1">
      <c r="A73" s="19"/>
      <c r="B73" s="19"/>
      <c r="C73" s="25" t="s">
        <v>78</v>
      </c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</row>
    <row r="74" spans="1:24" ht="10.5" customHeight="1">
      <c r="B74" s="19"/>
      <c r="C74" s="25" t="s">
        <v>79</v>
      </c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Q74" s="64" t="s">
        <v>86</v>
      </c>
      <c r="R74" s="58"/>
      <c r="S74" s="58"/>
      <c r="T74" s="58"/>
      <c r="U74" s="58"/>
      <c r="V74" s="58"/>
      <c r="W74" s="58"/>
      <c r="X74" s="59"/>
    </row>
    <row r="75" spans="1:24" ht="10.5" customHeight="1">
      <c r="Q75" s="66" t="s">
        <v>87</v>
      </c>
      <c r="R75" s="38"/>
      <c r="S75" s="38"/>
      <c r="T75" s="38"/>
      <c r="U75" s="38"/>
      <c r="V75" s="38"/>
      <c r="W75" s="38"/>
      <c r="X75" s="60"/>
    </row>
    <row r="76" spans="1:24" ht="10.5" customHeight="1">
      <c r="Q76" s="66" t="s">
        <v>88</v>
      </c>
      <c r="R76" s="38"/>
      <c r="S76" s="38"/>
      <c r="T76" s="38"/>
      <c r="U76" s="38"/>
      <c r="V76" s="38"/>
      <c r="W76" s="38"/>
      <c r="X76" s="60"/>
    </row>
    <row r="77" spans="1:24" ht="10.5" customHeight="1">
      <c r="Q77" s="65" t="s">
        <v>89</v>
      </c>
      <c r="R77" s="116"/>
      <c r="S77" s="116"/>
      <c r="T77" s="116"/>
      <c r="U77" s="116"/>
      <c r="V77" s="116"/>
      <c r="W77" s="116"/>
      <c r="X77" s="117"/>
    </row>
  </sheetData>
  <mergeCells count="235">
    <mergeCell ref="S50:X51"/>
    <mergeCell ref="S53:X54"/>
    <mergeCell ref="Q13:Q14"/>
    <mergeCell ref="Q17:Q18"/>
    <mergeCell ref="M35:M36"/>
    <mergeCell ref="N35:N36"/>
    <mergeCell ref="O35:O36"/>
    <mergeCell ref="Q35:Q36"/>
    <mergeCell ref="A36:B36"/>
    <mergeCell ref="C48:D48"/>
    <mergeCell ref="W33:W36"/>
    <mergeCell ref="X33:X36"/>
    <mergeCell ref="A34:B34"/>
    <mergeCell ref="A35:B35"/>
    <mergeCell ref="G35:G36"/>
    <mergeCell ref="H35:H36"/>
    <mergeCell ref="I35:I36"/>
    <mergeCell ref="J35:J36"/>
    <mergeCell ref="K35:K36"/>
    <mergeCell ref="L35:L36"/>
    <mergeCell ref="Q33:Q34"/>
    <mergeCell ref="R33:R36"/>
    <mergeCell ref="S33:S36"/>
    <mergeCell ref="T33:T36"/>
    <mergeCell ref="U33:U36"/>
    <mergeCell ref="V33:V36"/>
    <mergeCell ref="J33:J34"/>
    <mergeCell ref="K33:K34"/>
    <mergeCell ref="L33:L34"/>
    <mergeCell ref="M33:M34"/>
    <mergeCell ref="N33:N34"/>
    <mergeCell ref="O33:O34"/>
    <mergeCell ref="A33:B33"/>
    <mergeCell ref="C33:C36"/>
    <mergeCell ref="D33:F36"/>
    <mergeCell ref="G33:G34"/>
    <mergeCell ref="H33:H34"/>
    <mergeCell ref="I33:I34"/>
    <mergeCell ref="V29:V32"/>
    <mergeCell ref="W29:W32"/>
    <mergeCell ref="X29:X32"/>
    <mergeCell ref="A30:B30"/>
    <mergeCell ref="A31:B31"/>
    <mergeCell ref="G31:G32"/>
    <mergeCell ref="H31:H32"/>
    <mergeCell ref="I31:I32"/>
    <mergeCell ref="J31:J32"/>
    <mergeCell ref="K31:K32"/>
    <mergeCell ref="O29:O30"/>
    <mergeCell ref="Q29:Q30"/>
    <mergeCell ref="R29:R32"/>
    <mergeCell ref="S29:S32"/>
    <mergeCell ref="T29:T32"/>
    <mergeCell ref="U29:U32"/>
    <mergeCell ref="I29:I30"/>
    <mergeCell ref="J29:J30"/>
    <mergeCell ref="Q27:Q28"/>
    <mergeCell ref="A28:B28"/>
    <mergeCell ref="A29:B29"/>
    <mergeCell ref="C29:C32"/>
    <mergeCell ref="D29:F32"/>
    <mergeCell ref="G29:G30"/>
    <mergeCell ref="H29:H30"/>
    <mergeCell ref="L31:L32"/>
    <mergeCell ref="M31:M32"/>
    <mergeCell ref="N31:N32"/>
    <mergeCell ref="O31:O32"/>
    <mergeCell ref="Q31:Q32"/>
    <mergeCell ref="A32:B32"/>
    <mergeCell ref="L25:L26"/>
    <mergeCell ref="M25:M26"/>
    <mergeCell ref="N25:N26"/>
    <mergeCell ref="O25:O26"/>
    <mergeCell ref="K29:K30"/>
    <mergeCell ref="L29:L30"/>
    <mergeCell ref="M29:M30"/>
    <mergeCell ref="N29:N30"/>
    <mergeCell ref="M27:M28"/>
    <mergeCell ref="N27:N28"/>
    <mergeCell ref="O27:O28"/>
    <mergeCell ref="A25:B25"/>
    <mergeCell ref="C25:C28"/>
    <mergeCell ref="D25:F28"/>
    <mergeCell ref="G25:G26"/>
    <mergeCell ref="H25:H26"/>
    <mergeCell ref="I25:I26"/>
    <mergeCell ref="W25:W28"/>
    <mergeCell ref="X25:X28"/>
    <mergeCell ref="A26:B26"/>
    <mergeCell ref="A27:B27"/>
    <mergeCell ref="G27:G28"/>
    <mergeCell ref="H27:H28"/>
    <mergeCell ref="I27:I28"/>
    <mergeCell ref="J27:J28"/>
    <mergeCell ref="K27:K28"/>
    <mergeCell ref="L27:L28"/>
    <mergeCell ref="Q25:Q26"/>
    <mergeCell ref="R25:R28"/>
    <mergeCell ref="S25:S28"/>
    <mergeCell ref="T25:T28"/>
    <mergeCell ref="U25:U28"/>
    <mergeCell ref="V25:V28"/>
    <mergeCell ref="J25:J26"/>
    <mergeCell ref="K25:K26"/>
    <mergeCell ref="Q23:Q24"/>
    <mergeCell ref="A24:B24"/>
    <mergeCell ref="A21:B21"/>
    <mergeCell ref="C21:C24"/>
    <mergeCell ref="D21:F24"/>
    <mergeCell ref="G21:G22"/>
    <mergeCell ref="H21:H22"/>
    <mergeCell ref="I21:I22"/>
    <mergeCell ref="J21:J22"/>
    <mergeCell ref="X21:X24"/>
    <mergeCell ref="A22:B22"/>
    <mergeCell ref="A23:B23"/>
    <mergeCell ref="G23:G24"/>
    <mergeCell ref="H23:H24"/>
    <mergeCell ref="I23:I24"/>
    <mergeCell ref="J23:J24"/>
    <mergeCell ref="K23:K24"/>
    <mergeCell ref="L23:L24"/>
    <mergeCell ref="M23:M24"/>
    <mergeCell ref="R21:R24"/>
    <mergeCell ref="S21:S24"/>
    <mergeCell ref="T21:T24"/>
    <mergeCell ref="U21:U24"/>
    <mergeCell ref="V21:V24"/>
    <mergeCell ref="W21:W24"/>
    <mergeCell ref="K21:K22"/>
    <mergeCell ref="L21:L22"/>
    <mergeCell ref="M21:M22"/>
    <mergeCell ref="N21:N22"/>
    <mergeCell ref="O21:O22"/>
    <mergeCell ref="Q21:Q22"/>
    <mergeCell ref="N23:N24"/>
    <mergeCell ref="O23:O24"/>
    <mergeCell ref="X17:X20"/>
    <mergeCell ref="K17:K18"/>
    <mergeCell ref="L17:L18"/>
    <mergeCell ref="M17:M18"/>
    <mergeCell ref="N17:N18"/>
    <mergeCell ref="O17:O18"/>
    <mergeCell ref="R17:R20"/>
    <mergeCell ref="K19:K20"/>
    <mergeCell ref="L19:L20"/>
    <mergeCell ref="M19:M20"/>
    <mergeCell ref="N19:N20"/>
    <mergeCell ref="S17:S20"/>
    <mergeCell ref="T17:T20"/>
    <mergeCell ref="U17:U20"/>
    <mergeCell ref="O19:O20"/>
    <mergeCell ref="Q19:Q20"/>
    <mergeCell ref="A17:B17"/>
    <mergeCell ref="C17:C20"/>
    <mergeCell ref="D17:F20"/>
    <mergeCell ref="G17:G18"/>
    <mergeCell ref="H17:H18"/>
    <mergeCell ref="I17:I18"/>
    <mergeCell ref="J17:J18"/>
    <mergeCell ref="V17:V20"/>
    <mergeCell ref="W17:W20"/>
    <mergeCell ref="A18:B18"/>
    <mergeCell ref="A19:B19"/>
    <mergeCell ref="G19:G20"/>
    <mergeCell ref="H19:H20"/>
    <mergeCell ref="I19:I20"/>
    <mergeCell ref="J19:J20"/>
    <mergeCell ref="A20:B20"/>
    <mergeCell ref="V13:V16"/>
    <mergeCell ref="W13:W16"/>
    <mergeCell ref="X13:X16"/>
    <mergeCell ref="K13:K14"/>
    <mergeCell ref="L13:L14"/>
    <mergeCell ref="M13:M14"/>
    <mergeCell ref="N13:N14"/>
    <mergeCell ref="O13:O14"/>
    <mergeCell ref="R13:R16"/>
    <mergeCell ref="K15:K16"/>
    <mergeCell ref="L15:L16"/>
    <mergeCell ref="M15:M16"/>
    <mergeCell ref="N15:N16"/>
    <mergeCell ref="S13:S16"/>
    <mergeCell ref="T13:T16"/>
    <mergeCell ref="U13:U16"/>
    <mergeCell ref="O15:O16"/>
    <mergeCell ref="Q15:Q16"/>
    <mergeCell ref="A13:B13"/>
    <mergeCell ref="C13:C16"/>
    <mergeCell ref="D13:F16"/>
    <mergeCell ref="G13:G14"/>
    <mergeCell ref="H13:H14"/>
    <mergeCell ref="I13:I14"/>
    <mergeCell ref="J13:J14"/>
    <mergeCell ref="P10:P12"/>
    <mergeCell ref="Q10:Q12"/>
    <mergeCell ref="A14:B14"/>
    <mergeCell ref="A15:B15"/>
    <mergeCell ref="G15:G16"/>
    <mergeCell ref="H15:H16"/>
    <mergeCell ref="I15:I16"/>
    <mergeCell ref="J15:J16"/>
    <mergeCell ref="A16:B16"/>
    <mergeCell ref="A6:D6"/>
    <mergeCell ref="F6:N6"/>
    <mergeCell ref="A7:D7"/>
    <mergeCell ref="F7:N7"/>
    <mergeCell ref="O7:S7"/>
    <mergeCell ref="T7:X7"/>
    <mergeCell ref="A8:B8"/>
    <mergeCell ref="D8:F8"/>
    <mergeCell ref="G8:G12"/>
    <mergeCell ref="H8:N8"/>
    <mergeCell ref="R8:W9"/>
    <mergeCell ref="X8:X12"/>
    <mergeCell ref="A9:B12"/>
    <mergeCell ref="C9:C12"/>
    <mergeCell ref="D9:F12"/>
    <mergeCell ref="O10:O12"/>
    <mergeCell ref="V10:V12"/>
    <mergeCell ref="W10:W12"/>
    <mergeCell ref="H12:N12"/>
    <mergeCell ref="R10:R12"/>
    <mergeCell ref="S10:S12"/>
    <mergeCell ref="T10:T12"/>
    <mergeCell ref="U10:U12"/>
    <mergeCell ref="A1:D3"/>
    <mergeCell ref="F1:U3"/>
    <mergeCell ref="A4:C4"/>
    <mergeCell ref="D4:G4"/>
    <mergeCell ref="H4:N4"/>
    <mergeCell ref="O4:V4"/>
    <mergeCell ref="W4:X5"/>
    <mergeCell ref="A5:N5"/>
    <mergeCell ref="O5:V5"/>
  </mergeCells>
  <phoneticPr fontId="11" type="noConversion"/>
  <pageMargins left="0.7" right="0.7" top="0.75" bottom="0.75" header="0.3" footer="0.3"/>
  <pageSetup scale="76" orientation="landscape" horizontalDpi="4294967292" verticalDpi="4294967292"/>
  <rowBreaks count="1" manualBreakCount="1">
    <brk id="36" max="16383" man="1"/>
  </rowBreaks>
  <colBreaks count="1" manualBreakCount="1">
    <brk id="24" max="1048575" man="1"/>
  </colBreaks>
  <extLst>
    <ext xmlns:mx="http://schemas.microsoft.com/office/mac/excel/2008/main" uri="{64002731-A6B0-56B0-2670-7721B7C09600}">
      <mx:PLV Mode="1" OnePage="0" WScale="77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77"/>
  <sheetViews>
    <sheetView view="pageLayout" topLeftCell="A2" workbookViewId="0">
      <selection activeCell="D33" sqref="D33:F36"/>
    </sheetView>
  </sheetViews>
  <sheetFormatPr baseColWidth="10" defaultColWidth="8.83203125" defaultRowHeight="14" x14ac:dyDescent="0"/>
  <cols>
    <col min="1" max="1" width="10.33203125" customWidth="1"/>
    <col min="2" max="2" width="11.1640625" customWidth="1"/>
    <col min="3" max="3" width="5" customWidth="1"/>
    <col min="4" max="4" width="5.1640625" customWidth="1"/>
    <col min="5" max="5" width="4.6640625" customWidth="1"/>
    <col min="6" max="6" width="4.83203125" customWidth="1"/>
    <col min="7" max="7" width="3.6640625" customWidth="1"/>
    <col min="8" max="8" width="5" customWidth="1"/>
    <col min="9" max="9" width="4.6640625" customWidth="1"/>
    <col min="10" max="11" width="5.33203125" customWidth="1"/>
    <col min="12" max="12" width="4.83203125" customWidth="1"/>
    <col min="13" max="13" width="5.5" customWidth="1"/>
    <col min="14" max="14" width="5.1640625" customWidth="1"/>
    <col min="16" max="17" width="9.83203125" bestFit="1" customWidth="1"/>
    <col min="18" max="18" width="9.1640625" customWidth="1"/>
    <col min="19" max="19" width="9.5" customWidth="1"/>
    <col min="20" max="20" width="6" hidden="1" customWidth="1"/>
    <col min="21" max="21" width="4.33203125" hidden="1" customWidth="1"/>
    <col min="22" max="22" width="7.6640625" hidden="1" customWidth="1"/>
    <col min="23" max="23" width="9.33203125" customWidth="1"/>
    <col min="24" max="24" width="12.6640625" customWidth="1"/>
  </cols>
  <sheetData>
    <row r="1" spans="1:24" ht="15" customHeight="1">
      <c r="A1" s="149" t="s">
        <v>22</v>
      </c>
      <c r="B1" s="149"/>
      <c r="C1" s="149"/>
      <c r="D1" s="149"/>
      <c r="E1" s="112"/>
      <c r="F1" s="151" t="s">
        <v>55</v>
      </c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9"/>
      <c r="W1" s="9"/>
      <c r="X1" s="9"/>
    </row>
    <row r="2" spans="1:24">
      <c r="A2" s="149"/>
      <c r="B2" s="149"/>
      <c r="C2" s="149"/>
      <c r="D2" s="149"/>
      <c r="E2" s="112"/>
      <c r="F2" s="151"/>
      <c r="G2" s="151"/>
      <c r="H2" s="151"/>
      <c r="I2" s="151"/>
      <c r="J2" s="151"/>
      <c r="K2" s="151"/>
      <c r="L2" s="151"/>
      <c r="M2" s="151"/>
      <c r="N2" s="151"/>
      <c r="O2" s="151"/>
      <c r="P2" s="151"/>
      <c r="Q2" s="151"/>
      <c r="R2" s="151"/>
      <c r="S2" s="151"/>
      <c r="T2" s="151"/>
      <c r="U2" s="151"/>
      <c r="V2" s="9"/>
      <c r="W2" s="9"/>
      <c r="X2" s="9"/>
    </row>
    <row r="3" spans="1:24" ht="15" customHeight="1" thickBot="1">
      <c r="A3" s="150"/>
      <c r="B3" s="150"/>
      <c r="C3" s="150"/>
      <c r="D3" s="150"/>
      <c r="E3" s="113"/>
      <c r="F3" s="152"/>
      <c r="G3" s="152"/>
      <c r="H3" s="152"/>
      <c r="I3" s="152"/>
      <c r="J3" s="152"/>
      <c r="K3" s="152"/>
      <c r="L3" s="152"/>
      <c r="M3" s="152"/>
      <c r="N3" s="152"/>
      <c r="O3" s="152"/>
      <c r="P3" s="152"/>
      <c r="Q3" s="152"/>
      <c r="R3" s="152"/>
      <c r="S3" s="152"/>
      <c r="T3" s="152"/>
      <c r="U3" s="152"/>
      <c r="V3" s="10"/>
      <c r="W3" s="10"/>
      <c r="X3" s="10"/>
    </row>
    <row r="4" spans="1:24" s="11" customFormat="1">
      <c r="A4" s="153" t="s">
        <v>56</v>
      </c>
      <c r="B4" s="154"/>
      <c r="C4" s="154"/>
      <c r="D4" s="154" t="s">
        <v>52</v>
      </c>
      <c r="E4" s="154"/>
      <c r="F4" s="154"/>
      <c r="G4" s="154"/>
      <c r="H4" s="155"/>
      <c r="I4" s="155"/>
      <c r="J4" s="155"/>
      <c r="K4" s="155"/>
      <c r="L4" s="155"/>
      <c r="M4" s="155"/>
      <c r="N4" s="156"/>
      <c r="O4" s="157" t="s">
        <v>126</v>
      </c>
      <c r="P4" s="158"/>
      <c r="Q4" s="158"/>
      <c r="R4" s="158"/>
      <c r="S4" s="158"/>
      <c r="T4" s="158"/>
      <c r="U4" s="158"/>
      <c r="V4" s="158"/>
      <c r="W4" s="159"/>
      <c r="X4" s="160"/>
    </row>
    <row r="5" spans="1:24" s="1" customFormat="1" ht="12">
      <c r="A5" s="163" t="s">
        <v>125</v>
      </c>
      <c r="B5" s="164"/>
      <c r="C5" s="164"/>
      <c r="D5" s="164"/>
      <c r="E5" s="164"/>
      <c r="F5" s="164"/>
      <c r="G5" s="164"/>
      <c r="H5" s="164"/>
      <c r="I5" s="164"/>
      <c r="J5" s="164"/>
      <c r="K5" s="164"/>
      <c r="L5" s="164"/>
      <c r="M5" s="164"/>
      <c r="N5" s="165"/>
      <c r="O5" s="166" t="s">
        <v>108</v>
      </c>
      <c r="P5" s="167"/>
      <c r="Q5" s="167"/>
      <c r="R5" s="167"/>
      <c r="S5" s="167"/>
      <c r="T5" s="167"/>
      <c r="U5" s="167"/>
      <c r="V5" s="167"/>
      <c r="W5" s="161"/>
      <c r="X5" s="162"/>
    </row>
    <row r="6" spans="1:24" s="13" customFormat="1" ht="11">
      <c r="A6" s="168" t="s">
        <v>18</v>
      </c>
      <c r="B6" s="169"/>
      <c r="C6" s="169"/>
      <c r="D6" s="170"/>
      <c r="E6" s="115"/>
      <c r="F6" s="168" t="s">
        <v>19</v>
      </c>
      <c r="G6" s="169"/>
      <c r="H6" s="169"/>
      <c r="I6" s="169"/>
      <c r="J6" s="169"/>
      <c r="K6" s="169"/>
      <c r="L6" s="169"/>
      <c r="M6" s="169"/>
      <c r="N6" s="170"/>
      <c r="O6" s="102" t="s">
        <v>20</v>
      </c>
      <c r="P6" s="15"/>
      <c r="Q6" s="15"/>
      <c r="R6" s="15"/>
      <c r="S6" s="102" t="s">
        <v>91</v>
      </c>
      <c r="T6" s="15" t="s">
        <v>21</v>
      </c>
      <c r="U6" s="15"/>
      <c r="V6" s="15"/>
      <c r="X6" s="16"/>
    </row>
    <row r="7" spans="1:24" s="1" customFormat="1" ht="16.5" customHeight="1">
      <c r="A7" s="171">
        <v>2</v>
      </c>
      <c r="B7" s="172"/>
      <c r="C7" s="172"/>
      <c r="D7" s="173"/>
      <c r="E7" s="114"/>
      <c r="F7" s="174">
        <v>42393</v>
      </c>
      <c r="G7" s="175"/>
      <c r="H7" s="175"/>
      <c r="I7" s="175"/>
      <c r="J7" s="175"/>
      <c r="K7" s="175"/>
      <c r="L7" s="175"/>
      <c r="M7" s="175"/>
      <c r="N7" s="176"/>
      <c r="O7" s="166" t="s">
        <v>107</v>
      </c>
      <c r="P7" s="167"/>
      <c r="Q7" s="167"/>
      <c r="R7" s="167"/>
      <c r="S7" s="167"/>
      <c r="T7" s="167" t="s">
        <v>109</v>
      </c>
      <c r="U7" s="167"/>
      <c r="V7" s="167"/>
      <c r="W7" s="167"/>
      <c r="X7" s="177"/>
    </row>
    <row r="8" spans="1:24" s="2" customFormat="1" ht="11.25" customHeight="1">
      <c r="A8" s="178" t="s">
        <v>23</v>
      </c>
      <c r="B8" s="179"/>
      <c r="C8" s="7" t="s">
        <v>24</v>
      </c>
      <c r="D8" s="178" t="s">
        <v>25</v>
      </c>
      <c r="E8" s="180"/>
      <c r="F8" s="179"/>
      <c r="G8" s="181" t="s">
        <v>29</v>
      </c>
      <c r="H8" s="184" t="s">
        <v>54</v>
      </c>
      <c r="I8" s="185"/>
      <c r="J8" s="185"/>
      <c r="K8" s="185"/>
      <c r="L8" s="185"/>
      <c r="M8" s="185"/>
      <c r="N8" s="186"/>
      <c r="O8" s="7" t="s">
        <v>30</v>
      </c>
      <c r="P8" s="7" t="s">
        <v>31</v>
      </c>
      <c r="Q8" s="7" t="s">
        <v>32</v>
      </c>
      <c r="R8" s="187" t="s">
        <v>33</v>
      </c>
      <c r="S8" s="187"/>
      <c r="T8" s="187"/>
      <c r="U8" s="187"/>
      <c r="V8" s="187"/>
      <c r="W8" s="187"/>
      <c r="X8" s="187" t="s">
        <v>53</v>
      </c>
    </row>
    <row r="9" spans="1:24" ht="17.25" customHeight="1">
      <c r="A9" s="188" t="s">
        <v>26</v>
      </c>
      <c r="B9" s="189"/>
      <c r="C9" s="192" t="s">
        <v>27</v>
      </c>
      <c r="D9" s="194" t="s">
        <v>28</v>
      </c>
      <c r="E9" s="195"/>
      <c r="F9" s="196"/>
      <c r="G9" s="182"/>
      <c r="H9" s="132" t="s">
        <v>36</v>
      </c>
      <c r="I9" s="133" t="s">
        <v>37</v>
      </c>
      <c r="J9" s="133" t="s">
        <v>38</v>
      </c>
      <c r="K9" s="133" t="s">
        <v>111</v>
      </c>
      <c r="L9" s="133" t="s">
        <v>39</v>
      </c>
      <c r="M9" s="133" t="s">
        <v>41</v>
      </c>
      <c r="N9" s="133" t="s">
        <v>42</v>
      </c>
      <c r="O9" s="6"/>
      <c r="P9" s="8"/>
      <c r="Q9" s="8"/>
      <c r="R9" s="187"/>
      <c r="S9" s="187"/>
      <c r="T9" s="187"/>
      <c r="U9" s="187"/>
      <c r="V9" s="187"/>
      <c r="W9" s="187"/>
      <c r="X9" s="187"/>
    </row>
    <row r="10" spans="1:24" ht="19.5" customHeight="1">
      <c r="A10" s="188"/>
      <c r="B10" s="189"/>
      <c r="C10" s="192"/>
      <c r="D10" s="194"/>
      <c r="E10" s="195"/>
      <c r="F10" s="196"/>
      <c r="G10" s="182"/>
      <c r="H10" s="100">
        <f t="shared" ref="H10:L10" si="0">I10-1</f>
        <v>42387</v>
      </c>
      <c r="I10" s="100">
        <f t="shared" si="0"/>
        <v>42388</v>
      </c>
      <c r="J10" s="100">
        <f t="shared" si="0"/>
        <v>42389</v>
      </c>
      <c r="K10" s="100">
        <f t="shared" si="0"/>
        <v>42390</v>
      </c>
      <c r="L10" s="100">
        <f t="shared" si="0"/>
        <v>42391</v>
      </c>
      <c r="M10" s="100">
        <f>N10-1</f>
        <v>42392</v>
      </c>
      <c r="N10" s="100">
        <f>F7</f>
        <v>42393</v>
      </c>
      <c r="O10" s="200" t="s">
        <v>46</v>
      </c>
      <c r="P10" s="200" t="s">
        <v>47</v>
      </c>
      <c r="Q10" s="200" t="s">
        <v>48</v>
      </c>
      <c r="R10" s="206" t="s">
        <v>44</v>
      </c>
      <c r="S10" s="206" t="s">
        <v>45</v>
      </c>
      <c r="T10" s="207"/>
      <c r="U10" s="207"/>
      <c r="V10" s="202" t="s">
        <v>35</v>
      </c>
      <c r="W10" s="203" t="s">
        <v>34</v>
      </c>
      <c r="X10" s="187"/>
    </row>
    <row r="11" spans="1:24" ht="18.75" hidden="1" customHeight="1">
      <c r="A11" s="188"/>
      <c r="B11" s="189"/>
      <c r="C11" s="192"/>
      <c r="D11" s="194"/>
      <c r="E11" s="195"/>
      <c r="F11" s="196"/>
      <c r="G11" s="182"/>
      <c r="H11" s="5"/>
      <c r="I11" s="4"/>
      <c r="J11" s="4"/>
      <c r="K11" s="4"/>
      <c r="L11" s="4"/>
      <c r="M11" s="4"/>
      <c r="N11" s="4"/>
      <c r="O11" s="200"/>
      <c r="P11" s="200"/>
      <c r="Q11" s="200"/>
      <c r="R11" s="206"/>
      <c r="S11" s="206"/>
      <c r="T11" s="207"/>
      <c r="U11" s="207"/>
      <c r="V11" s="202"/>
      <c r="W11" s="203"/>
      <c r="X11" s="187"/>
    </row>
    <row r="12" spans="1:24">
      <c r="A12" s="190"/>
      <c r="B12" s="191"/>
      <c r="C12" s="193"/>
      <c r="D12" s="197"/>
      <c r="E12" s="198"/>
      <c r="F12" s="199"/>
      <c r="G12" s="183"/>
      <c r="H12" s="204" t="s">
        <v>43</v>
      </c>
      <c r="I12" s="204"/>
      <c r="J12" s="204"/>
      <c r="K12" s="204"/>
      <c r="L12" s="204"/>
      <c r="M12" s="204"/>
      <c r="N12" s="205"/>
      <c r="O12" s="201"/>
      <c r="P12" s="201"/>
      <c r="Q12" s="201"/>
      <c r="R12" s="206"/>
      <c r="S12" s="206"/>
      <c r="T12" s="207"/>
      <c r="U12" s="207"/>
      <c r="V12" s="202"/>
      <c r="W12" s="203"/>
      <c r="X12" s="187"/>
    </row>
    <row r="13" spans="1:24" ht="15" customHeight="1">
      <c r="A13" s="208" t="s">
        <v>98</v>
      </c>
      <c r="B13" s="209"/>
      <c r="C13" s="210">
        <v>2</v>
      </c>
      <c r="D13" s="211" t="s">
        <v>123</v>
      </c>
      <c r="E13" s="212"/>
      <c r="F13" s="213"/>
      <c r="G13" s="220" t="s">
        <v>49</v>
      </c>
      <c r="H13" s="220"/>
      <c r="I13" s="220"/>
      <c r="J13" s="220"/>
      <c r="K13" s="220"/>
      <c r="L13" s="220"/>
      <c r="M13" s="220"/>
      <c r="N13" s="220"/>
      <c r="O13" s="232">
        <f>SUM(H13:M14)</f>
        <v>0</v>
      </c>
      <c r="P13" s="105" t="s">
        <v>110</v>
      </c>
      <c r="Q13" s="238">
        <f>P14*O13</f>
        <v>0</v>
      </c>
      <c r="R13" s="226">
        <v>6.35</v>
      </c>
      <c r="S13" s="226">
        <f>16.28+3.81</f>
        <v>20.09</v>
      </c>
      <c r="T13" s="226"/>
      <c r="U13" s="226"/>
      <c r="V13" s="226"/>
      <c r="W13" s="226">
        <v>29.63</v>
      </c>
      <c r="X13" s="229">
        <v>232.87</v>
      </c>
    </row>
    <row r="14" spans="1:24">
      <c r="A14" s="221" t="s">
        <v>103</v>
      </c>
      <c r="B14" s="222"/>
      <c r="C14" s="210"/>
      <c r="D14" s="214"/>
      <c r="E14" s="215"/>
      <c r="F14" s="216"/>
      <c r="G14" s="220"/>
      <c r="H14" s="220"/>
      <c r="I14" s="220"/>
      <c r="J14" s="220"/>
      <c r="K14" s="220"/>
      <c r="L14" s="220"/>
      <c r="M14" s="220"/>
      <c r="N14" s="220"/>
      <c r="O14" s="233"/>
      <c r="P14" s="103">
        <f>P16/2+P16</f>
        <v>22.5</v>
      </c>
      <c r="Q14" s="239"/>
      <c r="R14" s="227"/>
      <c r="S14" s="227"/>
      <c r="T14" s="227"/>
      <c r="U14" s="227"/>
      <c r="V14" s="227"/>
      <c r="W14" s="227"/>
      <c r="X14" s="230"/>
    </row>
    <row r="15" spans="1:24">
      <c r="A15" s="221"/>
      <c r="B15" s="222"/>
      <c r="C15" s="210"/>
      <c r="D15" s="214"/>
      <c r="E15" s="215"/>
      <c r="F15" s="216"/>
      <c r="G15" s="223" t="s">
        <v>40</v>
      </c>
      <c r="H15" s="223">
        <v>0</v>
      </c>
      <c r="I15" s="223">
        <v>0</v>
      </c>
      <c r="J15" s="223">
        <v>0</v>
      </c>
      <c r="K15" s="223">
        <v>0</v>
      </c>
      <c r="L15" s="223">
        <v>9</v>
      </c>
      <c r="M15" s="223">
        <v>8.5</v>
      </c>
      <c r="N15" s="223">
        <v>0</v>
      </c>
      <c r="O15" s="234">
        <f>SUM(H15:N16)</f>
        <v>17.5</v>
      </c>
      <c r="P15" s="106" t="s">
        <v>110</v>
      </c>
      <c r="Q15" s="236">
        <f>P16*O15</f>
        <v>262.5</v>
      </c>
      <c r="R15" s="227"/>
      <c r="S15" s="227"/>
      <c r="T15" s="227"/>
      <c r="U15" s="227"/>
      <c r="V15" s="227"/>
      <c r="W15" s="227"/>
      <c r="X15" s="230"/>
    </row>
    <row r="16" spans="1:24">
      <c r="A16" s="224"/>
      <c r="B16" s="225"/>
      <c r="C16" s="210"/>
      <c r="D16" s="217"/>
      <c r="E16" s="218"/>
      <c r="F16" s="219"/>
      <c r="G16" s="223"/>
      <c r="H16" s="223"/>
      <c r="I16" s="223"/>
      <c r="J16" s="223"/>
      <c r="K16" s="223"/>
      <c r="L16" s="223"/>
      <c r="M16" s="223"/>
      <c r="N16" s="223"/>
      <c r="O16" s="235"/>
      <c r="P16" s="104">
        <v>15</v>
      </c>
      <c r="Q16" s="237"/>
      <c r="R16" s="228"/>
      <c r="S16" s="228"/>
      <c r="T16" s="228"/>
      <c r="U16" s="228"/>
      <c r="V16" s="228"/>
      <c r="W16" s="228"/>
      <c r="X16" s="231"/>
    </row>
    <row r="17" spans="1:24" ht="15" customHeight="1">
      <c r="A17" s="208" t="s">
        <v>99</v>
      </c>
      <c r="B17" s="209"/>
      <c r="C17" s="210">
        <v>2</v>
      </c>
      <c r="D17" s="211" t="s">
        <v>123</v>
      </c>
      <c r="E17" s="212"/>
      <c r="F17" s="213"/>
      <c r="G17" s="220" t="s">
        <v>49</v>
      </c>
      <c r="H17" s="220"/>
      <c r="I17" s="220"/>
      <c r="J17" s="220"/>
      <c r="K17" s="220"/>
      <c r="L17" s="220"/>
      <c r="M17" s="220"/>
      <c r="N17" s="220"/>
      <c r="O17" s="232">
        <f>SUM(H17:N18)</f>
        <v>0</v>
      </c>
      <c r="P17" s="105" t="s">
        <v>110</v>
      </c>
      <c r="Q17" s="238">
        <f>P18*O17</f>
        <v>0</v>
      </c>
      <c r="R17" s="226">
        <f>29.85</f>
        <v>29.85</v>
      </c>
      <c r="S17" s="226">
        <f>28.36+6.64+4.65+1.08</f>
        <v>40.729999999999997</v>
      </c>
      <c r="T17" s="226"/>
      <c r="U17" s="226"/>
      <c r="V17" s="226"/>
      <c r="W17" s="226">
        <f>73.78+5.73</f>
        <v>79.510000000000005</v>
      </c>
      <c r="X17" s="229">
        <f>383.72+69.27</f>
        <v>452.99</v>
      </c>
    </row>
    <row r="18" spans="1:24">
      <c r="A18" s="221" t="s">
        <v>102</v>
      </c>
      <c r="B18" s="222"/>
      <c r="C18" s="210"/>
      <c r="D18" s="214"/>
      <c r="E18" s="215"/>
      <c r="F18" s="216"/>
      <c r="G18" s="220"/>
      <c r="H18" s="220"/>
      <c r="I18" s="220"/>
      <c r="J18" s="220"/>
      <c r="K18" s="220"/>
      <c r="L18" s="220"/>
      <c r="M18" s="220"/>
      <c r="N18" s="220"/>
      <c r="O18" s="233"/>
      <c r="P18" s="103">
        <f>P20/2+P20</f>
        <v>22.5</v>
      </c>
      <c r="Q18" s="239"/>
      <c r="R18" s="227"/>
      <c r="S18" s="227"/>
      <c r="T18" s="227"/>
      <c r="U18" s="227"/>
      <c r="V18" s="227"/>
      <c r="W18" s="227"/>
      <c r="X18" s="230"/>
    </row>
    <row r="19" spans="1:24">
      <c r="A19" s="221"/>
      <c r="B19" s="222"/>
      <c r="C19" s="210"/>
      <c r="D19" s="214"/>
      <c r="E19" s="215"/>
      <c r="F19" s="216"/>
      <c r="G19" s="223" t="s">
        <v>40</v>
      </c>
      <c r="H19" s="223">
        <v>0</v>
      </c>
      <c r="I19" s="223">
        <v>9</v>
      </c>
      <c r="J19" s="223">
        <v>8</v>
      </c>
      <c r="K19" s="223">
        <v>7</v>
      </c>
      <c r="L19" s="223">
        <v>6.5</v>
      </c>
      <c r="M19" s="223">
        <v>5</v>
      </c>
      <c r="N19" s="223"/>
      <c r="O19" s="223">
        <f>SUM(H19:N20)</f>
        <v>35.5</v>
      </c>
      <c r="P19" s="106" t="s">
        <v>110</v>
      </c>
      <c r="Q19" s="236">
        <f>P20*O19</f>
        <v>532.5</v>
      </c>
      <c r="R19" s="227"/>
      <c r="S19" s="227"/>
      <c r="T19" s="227"/>
      <c r="U19" s="227"/>
      <c r="V19" s="227"/>
      <c r="W19" s="227"/>
      <c r="X19" s="230"/>
    </row>
    <row r="20" spans="1:24">
      <c r="A20" s="224"/>
      <c r="B20" s="225"/>
      <c r="C20" s="210"/>
      <c r="D20" s="217"/>
      <c r="E20" s="218"/>
      <c r="F20" s="219"/>
      <c r="G20" s="223"/>
      <c r="H20" s="223"/>
      <c r="I20" s="223"/>
      <c r="J20" s="223"/>
      <c r="K20" s="223"/>
      <c r="L20" s="223"/>
      <c r="M20" s="223"/>
      <c r="N20" s="223"/>
      <c r="O20" s="223"/>
      <c r="P20" s="104">
        <v>15</v>
      </c>
      <c r="Q20" s="237"/>
      <c r="R20" s="228"/>
      <c r="S20" s="228"/>
      <c r="T20" s="228"/>
      <c r="U20" s="228"/>
      <c r="V20" s="228"/>
      <c r="W20" s="228"/>
      <c r="X20" s="231"/>
    </row>
    <row r="21" spans="1:24" ht="14" customHeight="1">
      <c r="A21" s="208" t="s">
        <v>100</v>
      </c>
      <c r="B21" s="209"/>
      <c r="C21" s="210">
        <v>3</v>
      </c>
      <c r="D21" s="211" t="s">
        <v>123</v>
      </c>
      <c r="E21" s="212"/>
      <c r="F21" s="213"/>
      <c r="G21" s="220" t="s">
        <v>49</v>
      </c>
      <c r="H21" s="220"/>
      <c r="I21" s="220"/>
      <c r="J21" s="220"/>
      <c r="K21" s="220"/>
      <c r="L21" s="220"/>
      <c r="M21" s="220"/>
      <c r="N21" s="220"/>
      <c r="O21" s="232">
        <f>SUM(H21:N22)</f>
        <v>0</v>
      </c>
      <c r="P21" s="105" t="s">
        <v>110</v>
      </c>
      <c r="Q21" s="238">
        <f>P22*O21</f>
        <v>0</v>
      </c>
      <c r="R21" s="226">
        <f>18.17</f>
        <v>18.170000000000002</v>
      </c>
      <c r="S21" s="226">
        <f>4.65+28.36+1.08+6.64</f>
        <v>40.729999999999997</v>
      </c>
      <c r="T21" s="226"/>
      <c r="U21" s="226"/>
      <c r="V21" s="226"/>
      <c r="W21" s="226">
        <f>60.46+5.73</f>
        <v>66.19</v>
      </c>
      <c r="X21" s="229">
        <f>69.27+397.04</f>
        <v>466.31</v>
      </c>
    </row>
    <row r="22" spans="1:24">
      <c r="A22" s="221" t="s">
        <v>104</v>
      </c>
      <c r="B22" s="222"/>
      <c r="C22" s="210"/>
      <c r="D22" s="214"/>
      <c r="E22" s="215"/>
      <c r="F22" s="216"/>
      <c r="G22" s="220"/>
      <c r="H22" s="220"/>
      <c r="I22" s="220"/>
      <c r="J22" s="220"/>
      <c r="K22" s="220"/>
      <c r="L22" s="220"/>
      <c r="M22" s="220"/>
      <c r="N22" s="220"/>
      <c r="O22" s="233"/>
      <c r="P22" s="103">
        <f>P24/2+P24</f>
        <v>22.5</v>
      </c>
      <c r="Q22" s="239"/>
      <c r="R22" s="227"/>
      <c r="S22" s="227"/>
      <c r="T22" s="227"/>
      <c r="U22" s="227"/>
      <c r="V22" s="227"/>
      <c r="W22" s="227"/>
      <c r="X22" s="230"/>
    </row>
    <row r="23" spans="1:24">
      <c r="A23" s="221"/>
      <c r="B23" s="222"/>
      <c r="C23" s="210"/>
      <c r="D23" s="214"/>
      <c r="E23" s="215"/>
      <c r="F23" s="216"/>
      <c r="G23" s="223" t="s">
        <v>40</v>
      </c>
      <c r="H23" s="223">
        <v>0</v>
      </c>
      <c r="I23" s="223">
        <v>9</v>
      </c>
      <c r="J23" s="223">
        <v>8</v>
      </c>
      <c r="K23" s="223">
        <v>7</v>
      </c>
      <c r="L23" s="223">
        <v>6.5</v>
      </c>
      <c r="M23" s="223">
        <v>5</v>
      </c>
      <c r="N23" s="223"/>
      <c r="O23" s="223">
        <f>SUM(H23:N24)</f>
        <v>35.5</v>
      </c>
      <c r="P23" s="106" t="s">
        <v>110</v>
      </c>
      <c r="Q23" s="236">
        <f>P24*O23</f>
        <v>532.5</v>
      </c>
      <c r="R23" s="227"/>
      <c r="S23" s="227"/>
      <c r="T23" s="227"/>
      <c r="U23" s="227"/>
      <c r="V23" s="227"/>
      <c r="W23" s="227"/>
      <c r="X23" s="230"/>
    </row>
    <row r="24" spans="1:24">
      <c r="A24" s="224"/>
      <c r="B24" s="225"/>
      <c r="C24" s="210"/>
      <c r="D24" s="217"/>
      <c r="E24" s="218"/>
      <c r="F24" s="219"/>
      <c r="G24" s="223"/>
      <c r="H24" s="223"/>
      <c r="I24" s="223"/>
      <c r="J24" s="223"/>
      <c r="K24" s="223"/>
      <c r="L24" s="223"/>
      <c r="M24" s="223"/>
      <c r="N24" s="223"/>
      <c r="O24" s="223"/>
      <c r="P24" s="104">
        <v>15</v>
      </c>
      <c r="Q24" s="237"/>
      <c r="R24" s="228"/>
      <c r="S24" s="228"/>
      <c r="T24" s="228"/>
      <c r="U24" s="228"/>
      <c r="V24" s="228"/>
      <c r="W24" s="228"/>
      <c r="X24" s="231"/>
    </row>
    <row r="25" spans="1:24" ht="14" customHeight="1">
      <c r="A25" s="208" t="s">
        <v>84</v>
      </c>
      <c r="B25" s="209"/>
      <c r="C25" s="210">
        <v>1</v>
      </c>
      <c r="D25" s="211" t="s">
        <v>123</v>
      </c>
      <c r="E25" s="212"/>
      <c r="F25" s="213"/>
      <c r="G25" s="220" t="s">
        <v>49</v>
      </c>
      <c r="H25" s="220"/>
      <c r="I25" s="220"/>
      <c r="J25" s="220"/>
      <c r="K25" s="220"/>
      <c r="L25" s="220"/>
      <c r="M25" s="220"/>
      <c r="N25" s="220"/>
      <c r="O25" s="232">
        <f>SUM(H25:N26)</f>
        <v>0</v>
      </c>
      <c r="P25" s="105" t="s">
        <v>110</v>
      </c>
      <c r="Q25" s="238">
        <f>P26*O25</f>
        <v>0</v>
      </c>
      <c r="R25" s="226">
        <v>623.98</v>
      </c>
      <c r="S25" s="226">
        <f>170.5+39.88+118.37</f>
        <v>328.75</v>
      </c>
      <c r="T25" s="226"/>
      <c r="U25" s="226"/>
      <c r="V25" s="226"/>
      <c r="W25" s="226">
        <f>R25+S25</f>
        <v>952.73</v>
      </c>
      <c r="X25" s="229">
        <f>Q27-W25</f>
        <v>1797.27</v>
      </c>
    </row>
    <row r="26" spans="1:24">
      <c r="A26" s="221" t="s">
        <v>85</v>
      </c>
      <c r="B26" s="222"/>
      <c r="C26" s="210"/>
      <c r="D26" s="214"/>
      <c r="E26" s="215"/>
      <c r="F26" s="216"/>
      <c r="G26" s="220"/>
      <c r="H26" s="220"/>
      <c r="I26" s="220"/>
      <c r="J26" s="220"/>
      <c r="K26" s="220"/>
      <c r="L26" s="220"/>
      <c r="M26" s="220"/>
      <c r="N26" s="220"/>
      <c r="O26" s="233"/>
      <c r="P26" s="103">
        <v>0</v>
      </c>
      <c r="Q26" s="239"/>
      <c r="R26" s="227"/>
      <c r="S26" s="227"/>
      <c r="T26" s="227"/>
      <c r="U26" s="227"/>
      <c r="V26" s="227"/>
      <c r="W26" s="227"/>
      <c r="X26" s="230"/>
    </row>
    <row r="27" spans="1:24">
      <c r="A27" s="221"/>
      <c r="B27" s="222"/>
      <c r="C27" s="210"/>
      <c r="D27" s="214"/>
      <c r="E27" s="215"/>
      <c r="F27" s="216"/>
      <c r="G27" s="223" t="s">
        <v>40</v>
      </c>
      <c r="H27" s="223">
        <v>0</v>
      </c>
      <c r="I27" s="223">
        <v>9</v>
      </c>
      <c r="J27" s="223">
        <v>10</v>
      </c>
      <c r="K27" s="223">
        <v>9</v>
      </c>
      <c r="L27" s="223">
        <v>9</v>
      </c>
      <c r="M27" s="223">
        <v>9</v>
      </c>
      <c r="N27" s="223">
        <v>9</v>
      </c>
      <c r="O27" s="223">
        <f>SUM(H27:N28)</f>
        <v>55</v>
      </c>
      <c r="P27" s="106" t="s">
        <v>110</v>
      </c>
      <c r="Q27" s="236">
        <f>P28*O27</f>
        <v>2750</v>
      </c>
      <c r="R27" s="227"/>
      <c r="S27" s="227"/>
      <c r="T27" s="227"/>
      <c r="U27" s="227"/>
      <c r="V27" s="227"/>
      <c r="W27" s="227"/>
      <c r="X27" s="230"/>
    </row>
    <row r="28" spans="1:24">
      <c r="A28" s="224"/>
      <c r="B28" s="225"/>
      <c r="C28" s="210"/>
      <c r="D28" s="217"/>
      <c r="E28" s="218"/>
      <c r="F28" s="219"/>
      <c r="G28" s="223"/>
      <c r="H28" s="223"/>
      <c r="I28" s="223"/>
      <c r="J28" s="223"/>
      <c r="K28" s="223"/>
      <c r="L28" s="223"/>
      <c r="M28" s="223"/>
      <c r="N28" s="223"/>
      <c r="O28" s="223"/>
      <c r="P28" s="104">
        <v>50</v>
      </c>
      <c r="Q28" s="237"/>
      <c r="R28" s="228"/>
      <c r="S28" s="228"/>
      <c r="T28" s="228"/>
      <c r="U28" s="228"/>
      <c r="V28" s="228"/>
      <c r="W28" s="228"/>
      <c r="X28" s="231"/>
    </row>
    <row r="29" spans="1:24" ht="14" customHeight="1">
      <c r="A29" s="208" t="s">
        <v>101</v>
      </c>
      <c r="B29" s="209"/>
      <c r="C29" s="210">
        <v>2</v>
      </c>
      <c r="D29" s="211" t="s">
        <v>123</v>
      </c>
      <c r="E29" s="212"/>
      <c r="F29" s="213"/>
      <c r="G29" s="220" t="s">
        <v>49</v>
      </c>
      <c r="H29" s="220"/>
      <c r="I29" s="220"/>
      <c r="J29" s="220"/>
      <c r="K29" s="220"/>
      <c r="L29" s="220"/>
      <c r="M29" s="220"/>
      <c r="N29" s="220"/>
      <c r="O29" s="232">
        <f>SUM(H29:N30)</f>
        <v>0</v>
      </c>
      <c r="P29" s="105" t="s">
        <v>110</v>
      </c>
      <c r="Q29" s="238">
        <f>P30*O29</f>
        <v>0</v>
      </c>
      <c r="R29" s="226">
        <v>212.67</v>
      </c>
      <c r="S29" s="226">
        <f>85.25+19.94+51.13</f>
        <v>156.32</v>
      </c>
      <c r="T29" s="226"/>
      <c r="U29" s="226"/>
      <c r="V29" s="226"/>
      <c r="W29" s="226">
        <f>R29+S29</f>
        <v>368.99</v>
      </c>
      <c r="X29" s="229">
        <f>Q31-W29</f>
        <v>1006.01</v>
      </c>
    </row>
    <row r="30" spans="1:24">
      <c r="A30" s="221" t="s">
        <v>106</v>
      </c>
      <c r="B30" s="222"/>
      <c r="C30" s="210"/>
      <c r="D30" s="214"/>
      <c r="E30" s="215"/>
      <c r="F30" s="216"/>
      <c r="G30" s="220"/>
      <c r="H30" s="220"/>
      <c r="I30" s="220"/>
      <c r="J30" s="220"/>
      <c r="K30" s="220"/>
      <c r="L30" s="220"/>
      <c r="M30" s="220"/>
      <c r="N30" s="220"/>
      <c r="O30" s="233"/>
      <c r="P30" s="103">
        <v>0</v>
      </c>
      <c r="Q30" s="239"/>
      <c r="R30" s="227"/>
      <c r="S30" s="227"/>
      <c r="T30" s="227"/>
      <c r="U30" s="227"/>
      <c r="V30" s="227"/>
      <c r="W30" s="227"/>
      <c r="X30" s="230"/>
    </row>
    <row r="31" spans="1:24">
      <c r="A31" s="221"/>
      <c r="B31" s="222"/>
      <c r="C31" s="210"/>
      <c r="D31" s="214"/>
      <c r="E31" s="215"/>
      <c r="F31" s="216"/>
      <c r="G31" s="223" t="s">
        <v>40</v>
      </c>
      <c r="H31" s="223">
        <v>0</v>
      </c>
      <c r="I31" s="234">
        <v>9</v>
      </c>
      <c r="J31" s="234">
        <v>10</v>
      </c>
      <c r="K31" s="234">
        <v>9</v>
      </c>
      <c r="L31" s="234">
        <v>9</v>
      </c>
      <c r="M31" s="234">
        <v>9</v>
      </c>
      <c r="N31" s="234">
        <v>9</v>
      </c>
      <c r="O31" s="223">
        <f>SUM(H31:N32)</f>
        <v>55</v>
      </c>
      <c r="P31" s="106" t="s">
        <v>110</v>
      </c>
      <c r="Q31" s="236">
        <f>P32*O31</f>
        <v>1375</v>
      </c>
      <c r="R31" s="227"/>
      <c r="S31" s="227"/>
      <c r="T31" s="227"/>
      <c r="U31" s="227"/>
      <c r="V31" s="227"/>
      <c r="W31" s="227"/>
      <c r="X31" s="230"/>
    </row>
    <row r="32" spans="1:24">
      <c r="A32" s="224"/>
      <c r="B32" s="225"/>
      <c r="C32" s="210"/>
      <c r="D32" s="217"/>
      <c r="E32" s="218"/>
      <c r="F32" s="219"/>
      <c r="G32" s="223"/>
      <c r="H32" s="223"/>
      <c r="I32" s="235"/>
      <c r="J32" s="235"/>
      <c r="K32" s="235"/>
      <c r="L32" s="235"/>
      <c r="M32" s="235"/>
      <c r="N32" s="235"/>
      <c r="O32" s="223"/>
      <c r="P32" s="104">
        <v>25</v>
      </c>
      <c r="Q32" s="237"/>
      <c r="R32" s="228"/>
      <c r="S32" s="228"/>
      <c r="T32" s="228"/>
      <c r="U32" s="228"/>
      <c r="V32" s="228"/>
      <c r="W32" s="228"/>
      <c r="X32" s="231"/>
    </row>
    <row r="33" spans="1:24" ht="14" customHeight="1">
      <c r="A33" s="208"/>
      <c r="B33" s="209"/>
      <c r="C33" s="210"/>
      <c r="D33" s="211"/>
      <c r="E33" s="212"/>
      <c r="F33" s="213"/>
      <c r="G33" s="220"/>
      <c r="H33" s="220"/>
      <c r="I33" s="220"/>
      <c r="J33" s="220"/>
      <c r="K33" s="220"/>
      <c r="L33" s="220"/>
      <c r="M33" s="220"/>
      <c r="N33" s="220"/>
      <c r="O33" s="232">
        <f>SUM(H33:M34)</f>
        <v>0</v>
      </c>
      <c r="P33" s="105"/>
      <c r="Q33" s="220"/>
      <c r="R33" s="226"/>
      <c r="S33" s="226"/>
      <c r="T33" s="226"/>
      <c r="U33" s="226"/>
      <c r="V33" s="226"/>
      <c r="W33" s="226"/>
      <c r="X33" s="229"/>
    </row>
    <row r="34" spans="1:24">
      <c r="A34" s="221"/>
      <c r="B34" s="222"/>
      <c r="C34" s="210"/>
      <c r="D34" s="214"/>
      <c r="E34" s="215"/>
      <c r="F34" s="216"/>
      <c r="G34" s="220"/>
      <c r="H34" s="220"/>
      <c r="I34" s="220"/>
      <c r="J34" s="220"/>
      <c r="K34" s="220"/>
      <c r="L34" s="220"/>
      <c r="M34" s="220"/>
      <c r="N34" s="220"/>
      <c r="O34" s="233"/>
      <c r="P34" s="103"/>
      <c r="Q34" s="220"/>
      <c r="R34" s="227"/>
      <c r="S34" s="227"/>
      <c r="T34" s="227"/>
      <c r="U34" s="227"/>
      <c r="V34" s="227"/>
      <c r="W34" s="227"/>
      <c r="X34" s="230"/>
    </row>
    <row r="35" spans="1:24">
      <c r="A35" s="221"/>
      <c r="B35" s="222"/>
      <c r="C35" s="210"/>
      <c r="D35" s="214"/>
      <c r="E35" s="215"/>
      <c r="F35" s="216"/>
      <c r="G35" s="223"/>
      <c r="H35" s="223"/>
      <c r="I35" s="223"/>
      <c r="J35" s="223"/>
      <c r="K35" s="223"/>
      <c r="L35" s="223"/>
      <c r="M35" s="223"/>
      <c r="N35" s="223"/>
      <c r="O35" s="223">
        <f>SUM(H35:N36)</f>
        <v>0</v>
      </c>
      <c r="P35" s="106"/>
      <c r="Q35" s="237"/>
      <c r="R35" s="227"/>
      <c r="S35" s="227"/>
      <c r="T35" s="227"/>
      <c r="U35" s="227"/>
      <c r="V35" s="227"/>
      <c r="W35" s="227"/>
      <c r="X35" s="230"/>
    </row>
    <row r="36" spans="1:24">
      <c r="A36" s="224"/>
      <c r="B36" s="225"/>
      <c r="C36" s="210"/>
      <c r="D36" s="217"/>
      <c r="E36" s="218"/>
      <c r="F36" s="219"/>
      <c r="G36" s="223"/>
      <c r="H36" s="223"/>
      <c r="I36" s="223"/>
      <c r="J36" s="223"/>
      <c r="K36" s="223"/>
      <c r="L36" s="223"/>
      <c r="M36" s="223"/>
      <c r="N36" s="223"/>
      <c r="O36" s="223"/>
      <c r="P36" s="104"/>
      <c r="Q36" s="237"/>
      <c r="R36" s="228"/>
      <c r="S36" s="228"/>
      <c r="T36" s="228"/>
      <c r="U36" s="228"/>
      <c r="V36" s="228"/>
      <c r="W36" s="228"/>
      <c r="X36" s="231"/>
    </row>
    <row r="37" spans="1:24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</row>
    <row r="38" spans="1:24" ht="15.75" customHeight="1">
      <c r="A38" s="18" t="s">
        <v>58</v>
      </c>
      <c r="B38" s="101">
        <f>N10</f>
        <v>42393</v>
      </c>
      <c r="C38" s="20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 t="s">
        <v>82</v>
      </c>
      <c r="R38" s="18"/>
      <c r="S38" s="18"/>
      <c r="T38" s="18"/>
      <c r="U38" s="3"/>
      <c r="V38" s="3"/>
      <c r="W38" s="3"/>
    </row>
    <row r="39" spans="1:24" ht="18.75" customHeight="1">
      <c r="A39" s="29" t="s">
        <v>59</v>
      </c>
      <c r="B39" s="35" t="s">
        <v>83</v>
      </c>
      <c r="C39" s="31"/>
      <c r="D39" s="31"/>
      <c r="E39" s="31"/>
      <c r="F39" s="31"/>
      <c r="G39" s="31"/>
      <c r="H39" s="96" t="s">
        <v>75</v>
      </c>
      <c r="I39" s="96"/>
      <c r="J39" s="96"/>
      <c r="K39" s="27"/>
      <c r="L39" s="27"/>
      <c r="M39" s="25"/>
      <c r="N39" s="25"/>
      <c r="O39" s="25"/>
      <c r="P39" s="18"/>
      <c r="Q39" s="13" t="s">
        <v>90</v>
      </c>
      <c r="S39" s="18"/>
      <c r="T39" s="18"/>
      <c r="U39" s="3"/>
      <c r="V39" s="3"/>
      <c r="W39" s="3"/>
    </row>
    <row r="40" spans="1:24" ht="14.25" customHeight="1">
      <c r="A40" s="29"/>
      <c r="B40" s="21" t="s">
        <v>62</v>
      </c>
      <c r="C40" s="21"/>
      <c r="D40" s="21"/>
      <c r="E40" s="21"/>
      <c r="F40" s="31"/>
      <c r="G40" s="58"/>
      <c r="H40" s="21" t="s">
        <v>63</v>
      </c>
      <c r="I40" s="58"/>
      <c r="J40" s="21"/>
      <c r="K40" s="21"/>
      <c r="L40" s="24"/>
      <c r="M40" s="24"/>
      <c r="N40" s="24"/>
      <c r="O40" s="25"/>
      <c r="P40" s="17" t="s">
        <v>10</v>
      </c>
      <c r="R40" s="18"/>
      <c r="S40" s="18"/>
      <c r="T40" s="3"/>
      <c r="U40" s="3"/>
      <c r="V40" s="3"/>
    </row>
    <row r="41" spans="1:24" ht="12" customHeight="1">
      <c r="A41" s="17"/>
      <c r="F41" s="23"/>
      <c r="L41" s="95"/>
      <c r="M41" s="18"/>
      <c r="N41" s="18"/>
      <c r="O41" s="18"/>
      <c r="P41" s="18" t="s">
        <v>11</v>
      </c>
      <c r="R41" s="18"/>
      <c r="S41" s="18"/>
      <c r="T41" s="3"/>
      <c r="U41" s="3"/>
      <c r="V41" s="3"/>
    </row>
    <row r="42" spans="1:24" ht="12" customHeight="1">
      <c r="A42" s="17" t="s">
        <v>60</v>
      </c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 t="s">
        <v>12</v>
      </c>
      <c r="R42" s="18"/>
      <c r="S42" s="18"/>
      <c r="T42" s="3"/>
      <c r="U42" s="3"/>
      <c r="V42" s="3"/>
    </row>
    <row r="43" spans="1:24" ht="12" customHeight="1">
      <c r="A43" s="18"/>
      <c r="B43" s="18" t="s">
        <v>61</v>
      </c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25" t="s">
        <v>13</v>
      </c>
      <c r="R43" s="25"/>
      <c r="S43" s="25"/>
      <c r="T43" s="34"/>
      <c r="U43" s="34"/>
      <c r="V43" s="34"/>
    </row>
    <row r="44" spans="1:24" s="19" customFormat="1" ht="16.5" customHeight="1">
      <c r="A44" s="29"/>
      <c r="B44" s="25"/>
      <c r="C44" s="31" t="str">
        <f>C50</f>
        <v>Evankoff LLC</v>
      </c>
      <c r="D44" s="36"/>
      <c r="E44" s="36"/>
      <c r="F44" s="25"/>
      <c r="G44" s="25"/>
      <c r="H44" s="25"/>
      <c r="I44" s="25"/>
      <c r="J44" s="25"/>
      <c r="K44" s="25"/>
      <c r="L44" s="25"/>
      <c r="M44" s="25"/>
      <c r="N44" s="25"/>
      <c r="O44" s="25" t="s">
        <v>64</v>
      </c>
      <c r="P44" s="25"/>
    </row>
    <row r="45" spans="1:24">
      <c r="A45" s="24"/>
      <c r="B45" s="24"/>
      <c r="C45" s="24" t="s">
        <v>65</v>
      </c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5"/>
      <c r="P45" s="25"/>
      <c r="Q45" s="36" t="s">
        <v>16</v>
      </c>
      <c r="S45" s="19"/>
      <c r="T45" s="19"/>
      <c r="U45" s="19"/>
    </row>
    <row r="46" spans="1:24" s="19" customFormat="1" ht="15" thickBot="1">
      <c r="A46" s="31" t="s">
        <v>105</v>
      </c>
      <c r="B46" s="31"/>
      <c r="C46" s="31"/>
      <c r="D46" s="31"/>
      <c r="E46" s="31"/>
      <c r="F46" s="31"/>
      <c r="G46" s="25" t="s">
        <v>67</v>
      </c>
      <c r="H46" s="25"/>
      <c r="I46" s="25"/>
      <c r="J46" s="25"/>
      <c r="K46" s="25"/>
      <c r="L46" s="25"/>
      <c r="M46" s="25"/>
      <c r="N46" s="25"/>
      <c r="O46" s="25"/>
      <c r="P46" s="25"/>
      <c r="Q46" s="25"/>
    </row>
    <row r="47" spans="1:24">
      <c r="A47" s="24"/>
      <c r="B47" s="24" t="s">
        <v>66</v>
      </c>
      <c r="C47" s="24"/>
      <c r="D47" s="24"/>
      <c r="E47" s="24"/>
      <c r="F47" s="24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94"/>
      <c r="R47" s="70" t="s">
        <v>14</v>
      </c>
      <c r="S47" s="71"/>
      <c r="T47" s="72"/>
      <c r="U47" s="37"/>
      <c r="V47" s="73" t="s">
        <v>15</v>
      </c>
      <c r="W47" s="74" t="s">
        <v>93</v>
      </c>
      <c r="X47" s="75"/>
    </row>
    <row r="48" spans="1:24">
      <c r="A48" s="99">
        <f>H10</f>
        <v>42387</v>
      </c>
      <c r="B48" s="26" t="s">
        <v>68</v>
      </c>
      <c r="C48" s="244">
        <f>F7</f>
        <v>42393</v>
      </c>
      <c r="D48" s="244"/>
      <c r="E48" s="98"/>
      <c r="F48" s="33" t="s">
        <v>73</v>
      </c>
      <c r="J48" s="32"/>
      <c r="L48" s="25"/>
      <c r="M48" s="25"/>
      <c r="N48" s="25"/>
      <c r="O48" s="25"/>
      <c r="P48" s="25"/>
      <c r="Q48" s="76"/>
      <c r="R48" s="77"/>
      <c r="S48" s="77"/>
      <c r="T48" s="78"/>
      <c r="U48" s="79"/>
      <c r="V48" s="80"/>
      <c r="W48" s="80"/>
      <c r="X48" s="81"/>
    </row>
    <row r="49" spans="1:24" ht="14.25" customHeight="1" thickBot="1">
      <c r="A49" s="24" t="s">
        <v>74</v>
      </c>
      <c r="B49" s="25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5"/>
      <c r="Q49" s="82"/>
      <c r="R49" s="83"/>
      <c r="S49" s="83"/>
      <c r="T49" s="84"/>
      <c r="U49" s="85"/>
      <c r="V49" s="86"/>
      <c r="W49" s="86"/>
      <c r="X49" s="87"/>
    </row>
    <row r="50" spans="1:24" ht="18.75" customHeight="1">
      <c r="A50" s="25"/>
      <c r="B50" s="25"/>
      <c r="C50" s="31" t="str">
        <f>A5</f>
        <v>Evankoff LLC</v>
      </c>
      <c r="D50" s="25"/>
      <c r="E50" s="25"/>
      <c r="F50" s="25"/>
      <c r="G50" s="25"/>
      <c r="H50" s="25"/>
      <c r="I50" s="25"/>
      <c r="J50" s="25"/>
      <c r="K50" s="25"/>
      <c r="L50" s="25"/>
      <c r="M50" s="25" t="s">
        <v>69</v>
      </c>
      <c r="N50" s="25"/>
      <c r="O50" s="25"/>
      <c r="P50" s="25"/>
      <c r="Q50" s="107" t="s">
        <v>94</v>
      </c>
      <c r="R50" s="108"/>
      <c r="S50" s="240" t="s">
        <v>97</v>
      </c>
      <c r="T50" s="240"/>
      <c r="U50" s="240"/>
      <c r="V50" s="240"/>
      <c r="W50" s="240"/>
      <c r="X50" s="241"/>
    </row>
    <row r="51" spans="1:24">
      <c r="A51" s="24"/>
      <c r="B51" s="24"/>
      <c r="C51" s="24" t="s">
        <v>65</v>
      </c>
      <c r="D51" s="24"/>
      <c r="E51" s="24"/>
      <c r="F51" s="24"/>
      <c r="G51" s="24"/>
      <c r="H51" s="24"/>
      <c r="I51" s="24"/>
      <c r="J51" s="24"/>
      <c r="K51" s="24"/>
      <c r="L51" s="24"/>
      <c r="M51" s="25"/>
      <c r="N51" s="25"/>
      <c r="O51" s="25"/>
      <c r="P51" s="25"/>
      <c r="Q51" s="109"/>
      <c r="R51" s="110"/>
      <c r="S51" s="242"/>
      <c r="T51" s="242"/>
      <c r="U51" s="242"/>
      <c r="V51" s="242"/>
      <c r="W51" s="242"/>
      <c r="X51" s="243"/>
    </row>
    <row r="52" spans="1:24" ht="12.75" customHeight="1" thickBot="1">
      <c r="A52" s="25" t="s">
        <v>70</v>
      </c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39"/>
      <c r="R52" s="88"/>
      <c r="S52" s="88"/>
      <c r="T52" s="89"/>
      <c r="U52" s="41"/>
      <c r="V52" s="40"/>
      <c r="W52" s="40"/>
      <c r="X52" s="42"/>
    </row>
    <row r="53" spans="1:24" ht="12.75" customHeight="1">
      <c r="A53" s="25" t="s">
        <v>71</v>
      </c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107" t="s">
        <v>94</v>
      </c>
      <c r="R53" s="108"/>
      <c r="S53" s="240" t="s">
        <v>95</v>
      </c>
      <c r="T53" s="240"/>
      <c r="U53" s="240"/>
      <c r="V53" s="240"/>
      <c r="W53" s="240"/>
      <c r="X53" s="241"/>
    </row>
    <row r="54" spans="1:24" ht="12.75" customHeight="1">
      <c r="A54" s="25" t="s">
        <v>72</v>
      </c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109"/>
      <c r="R54" s="110"/>
      <c r="S54" s="242"/>
      <c r="T54" s="242"/>
      <c r="U54" s="242"/>
      <c r="V54" s="242"/>
      <c r="W54" s="242"/>
      <c r="X54" s="243"/>
    </row>
    <row r="55" spans="1:24" ht="12.75" customHeight="1" thickBot="1">
      <c r="A55" s="25" t="s">
        <v>0</v>
      </c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43"/>
      <c r="R55" s="44"/>
      <c r="S55" s="44"/>
      <c r="T55" s="44"/>
      <c r="U55" s="45"/>
      <c r="V55" s="46"/>
      <c r="W55" s="46"/>
      <c r="X55" s="47"/>
    </row>
    <row r="56" spans="1:24" ht="18" customHeight="1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48"/>
      <c r="R56" s="49"/>
      <c r="S56" s="49"/>
      <c r="T56" s="49"/>
      <c r="U56" s="50"/>
      <c r="V56" s="51"/>
      <c r="W56" s="51"/>
      <c r="X56" s="52"/>
    </row>
    <row r="57" spans="1:24" ht="18" customHeight="1" thickBot="1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5"/>
      <c r="Q57" s="53"/>
      <c r="R57" s="54"/>
      <c r="S57" s="54"/>
      <c r="T57" s="54"/>
      <c r="U57" s="55"/>
      <c r="V57" s="10"/>
      <c r="W57" s="10"/>
      <c r="X57" s="56"/>
    </row>
    <row r="58" spans="1:24" ht="18" customHeight="1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5"/>
      <c r="Q58" s="48"/>
      <c r="R58" s="49"/>
      <c r="S58" s="49"/>
      <c r="T58" s="49"/>
      <c r="U58" s="50"/>
      <c r="V58" s="51"/>
      <c r="W58" s="51"/>
      <c r="X58" s="52"/>
    </row>
    <row r="59" spans="1:24" ht="21" customHeight="1" thickBot="1">
      <c r="A59" s="24"/>
      <c r="B59" s="28" t="s">
        <v>2</v>
      </c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5"/>
      <c r="Q59" s="53"/>
      <c r="R59" s="54"/>
      <c r="S59" s="54"/>
      <c r="T59" s="54"/>
      <c r="U59" s="55"/>
      <c r="V59" s="10"/>
      <c r="W59" s="10"/>
      <c r="X59" s="56"/>
    </row>
    <row r="60" spans="1:24" ht="12" customHeight="1">
      <c r="A60" s="30" t="s">
        <v>3</v>
      </c>
      <c r="B60" s="30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5"/>
      <c r="Q60" s="48" t="s">
        <v>17</v>
      </c>
      <c r="R60" s="49"/>
      <c r="S60" s="49"/>
      <c r="T60" s="49"/>
      <c r="U60" s="49"/>
      <c r="V60" s="51"/>
      <c r="W60" s="51"/>
      <c r="X60" s="52"/>
    </row>
    <row r="61" spans="1:24" ht="12" customHeight="1">
      <c r="A61" s="27" t="s">
        <v>4</v>
      </c>
      <c r="B61" s="30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5"/>
      <c r="Q61" s="111" t="s">
        <v>96</v>
      </c>
      <c r="R61" s="44"/>
      <c r="S61" s="44"/>
      <c r="T61" s="44"/>
      <c r="U61" s="44"/>
      <c r="V61" s="46"/>
      <c r="W61" s="46"/>
      <c r="X61" s="47"/>
    </row>
    <row r="62" spans="1:24" ht="12" customHeight="1">
      <c r="A62" s="27" t="s">
        <v>5</v>
      </c>
      <c r="B62" s="30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5"/>
      <c r="Q62" s="121"/>
      <c r="R62" s="122"/>
      <c r="S62" s="44"/>
      <c r="T62" s="44"/>
      <c r="U62" s="44"/>
      <c r="V62" s="46"/>
      <c r="W62" s="46"/>
      <c r="X62" s="47"/>
    </row>
    <row r="63" spans="1:24" ht="12" customHeight="1">
      <c r="A63" s="27"/>
      <c r="B63" s="30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5"/>
      <c r="Q63" s="121"/>
      <c r="R63" s="122"/>
      <c r="S63" s="44"/>
      <c r="T63" s="44"/>
      <c r="U63" s="44"/>
      <c r="V63" s="46"/>
      <c r="W63" s="46"/>
      <c r="X63" s="47"/>
    </row>
    <row r="64" spans="1:24" ht="12" customHeight="1">
      <c r="A64" s="29" t="s">
        <v>7</v>
      </c>
      <c r="B64" s="29" t="s">
        <v>6</v>
      </c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121"/>
      <c r="R64" s="122"/>
      <c r="S64" s="44"/>
      <c r="T64" s="44"/>
      <c r="U64" s="44"/>
      <c r="V64" s="46"/>
      <c r="W64" s="46"/>
      <c r="X64" s="47"/>
    </row>
    <row r="65" spans="1:24" ht="12" customHeight="1">
      <c r="A65" s="25" t="s">
        <v>8</v>
      </c>
      <c r="B65" s="29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43"/>
      <c r="R65" s="44"/>
      <c r="S65" s="44"/>
      <c r="T65" s="44"/>
      <c r="U65" s="44"/>
      <c r="V65" s="46"/>
      <c r="W65" s="46"/>
      <c r="X65" s="47"/>
    </row>
    <row r="66" spans="1:24" ht="12" customHeight="1">
      <c r="A66" s="25" t="s">
        <v>9</v>
      </c>
      <c r="B66" s="29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43"/>
      <c r="R66" s="44"/>
      <c r="S66" s="44"/>
      <c r="T66" s="44"/>
      <c r="U66" s="44"/>
      <c r="V66" s="46"/>
      <c r="W66" s="46"/>
      <c r="X66" s="47"/>
    </row>
    <row r="67" spans="1:24" ht="12" customHeight="1" thickBot="1">
      <c r="A67" s="25"/>
      <c r="B67" s="29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53"/>
      <c r="R67" s="54"/>
      <c r="S67" s="54"/>
      <c r="T67" s="54"/>
      <c r="U67" s="54"/>
      <c r="V67" s="10"/>
      <c r="W67" s="10"/>
      <c r="X67" s="56"/>
    </row>
    <row r="68" spans="1:24" ht="12" customHeight="1">
      <c r="A68" s="25"/>
      <c r="B68" s="25" t="s">
        <v>57</v>
      </c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</row>
    <row r="69" spans="1:24" ht="12" customHeight="1">
      <c r="A69" s="25"/>
      <c r="B69" s="25" t="s">
        <v>1</v>
      </c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12" t="s">
        <v>50</v>
      </c>
      <c r="R69" s="22"/>
      <c r="S69" s="22"/>
      <c r="T69" s="67"/>
      <c r="U69" s="57" t="s">
        <v>51</v>
      </c>
      <c r="V69" s="58"/>
      <c r="W69" s="58"/>
      <c r="X69" s="59"/>
    </row>
    <row r="70" spans="1:24" ht="11.25" customHeight="1">
      <c r="A70" s="25"/>
      <c r="B70" s="25" t="s">
        <v>81</v>
      </c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63"/>
      <c r="T70" s="68"/>
      <c r="U70" s="61"/>
      <c r="V70" s="38"/>
      <c r="W70" s="38"/>
      <c r="X70" s="60"/>
    </row>
    <row r="71" spans="1:24" ht="13.5" customHeight="1">
      <c r="A71" s="25"/>
      <c r="B71" s="97" t="s">
        <v>80</v>
      </c>
      <c r="C71" s="29" t="s">
        <v>76</v>
      </c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93" t="str">
        <f>B39</f>
        <v>Eric Coffie</v>
      </c>
      <c r="R71" s="90"/>
      <c r="S71" s="90" t="str">
        <f>H39</f>
        <v>President</v>
      </c>
      <c r="T71" s="68"/>
      <c r="U71" s="61"/>
      <c r="V71" s="38"/>
      <c r="W71" s="38"/>
      <c r="X71" s="60"/>
    </row>
    <row r="72" spans="1:24" ht="10.5" customHeight="1">
      <c r="A72" s="19"/>
      <c r="B72" s="25"/>
      <c r="C72" s="25" t="s">
        <v>77</v>
      </c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19"/>
      <c r="Q72" s="91"/>
      <c r="R72" s="92"/>
      <c r="S72" s="92"/>
      <c r="T72" s="69"/>
      <c r="U72" s="62"/>
      <c r="V72" s="116"/>
      <c r="W72" s="116"/>
      <c r="X72" s="117"/>
    </row>
    <row r="73" spans="1:24" ht="10.5" customHeight="1">
      <c r="A73" s="19"/>
      <c r="B73" s="19"/>
      <c r="C73" s="25" t="s">
        <v>78</v>
      </c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</row>
    <row r="74" spans="1:24" ht="10.5" customHeight="1">
      <c r="B74" s="19"/>
      <c r="C74" s="25" t="s">
        <v>79</v>
      </c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Q74" s="64" t="s">
        <v>86</v>
      </c>
      <c r="R74" s="58"/>
      <c r="S74" s="58"/>
      <c r="T74" s="58"/>
      <c r="U74" s="58"/>
      <c r="V74" s="58"/>
      <c r="W74" s="58"/>
      <c r="X74" s="59"/>
    </row>
    <row r="75" spans="1:24" ht="10.5" customHeight="1">
      <c r="Q75" s="66" t="s">
        <v>87</v>
      </c>
      <c r="R75" s="38"/>
      <c r="S75" s="38"/>
      <c r="T75" s="38"/>
      <c r="U75" s="38"/>
      <c r="V75" s="38"/>
      <c r="W75" s="38"/>
      <c r="X75" s="60"/>
    </row>
    <row r="76" spans="1:24" ht="10.5" customHeight="1">
      <c r="Q76" s="66" t="s">
        <v>88</v>
      </c>
      <c r="R76" s="38"/>
      <c r="S76" s="38"/>
      <c r="T76" s="38"/>
      <c r="U76" s="38"/>
      <c r="V76" s="38"/>
      <c r="W76" s="38"/>
      <c r="X76" s="60"/>
    </row>
    <row r="77" spans="1:24" ht="10.5" customHeight="1">
      <c r="Q77" s="65" t="s">
        <v>89</v>
      </c>
      <c r="R77" s="116"/>
      <c r="S77" s="116"/>
      <c r="T77" s="116"/>
      <c r="U77" s="116"/>
      <c r="V77" s="116"/>
      <c r="W77" s="116"/>
      <c r="X77" s="117"/>
    </row>
  </sheetData>
  <mergeCells count="235">
    <mergeCell ref="S50:X51"/>
    <mergeCell ref="S53:X54"/>
    <mergeCell ref="M35:M36"/>
    <mergeCell ref="N35:N36"/>
    <mergeCell ref="O35:O36"/>
    <mergeCell ref="Q35:Q36"/>
    <mergeCell ref="A36:B36"/>
    <mergeCell ref="C48:D48"/>
    <mergeCell ref="W33:W36"/>
    <mergeCell ref="X33:X36"/>
    <mergeCell ref="A34:B34"/>
    <mergeCell ref="A35:B35"/>
    <mergeCell ref="G35:G36"/>
    <mergeCell ref="H35:H36"/>
    <mergeCell ref="I35:I36"/>
    <mergeCell ref="J35:J36"/>
    <mergeCell ref="K35:K36"/>
    <mergeCell ref="L35:L36"/>
    <mergeCell ref="Q33:Q34"/>
    <mergeCell ref="R33:R36"/>
    <mergeCell ref="S33:S36"/>
    <mergeCell ref="T33:T36"/>
    <mergeCell ref="U33:U36"/>
    <mergeCell ref="V33:V36"/>
    <mergeCell ref="J33:J34"/>
    <mergeCell ref="K33:K34"/>
    <mergeCell ref="L33:L34"/>
    <mergeCell ref="M33:M34"/>
    <mergeCell ref="N33:N34"/>
    <mergeCell ref="O33:O34"/>
    <mergeCell ref="A33:B33"/>
    <mergeCell ref="C33:C36"/>
    <mergeCell ref="D33:F36"/>
    <mergeCell ref="G33:G34"/>
    <mergeCell ref="H33:H34"/>
    <mergeCell ref="I33:I34"/>
    <mergeCell ref="V29:V32"/>
    <mergeCell ref="W29:W32"/>
    <mergeCell ref="X29:X32"/>
    <mergeCell ref="A30:B30"/>
    <mergeCell ref="A31:B31"/>
    <mergeCell ref="G31:G32"/>
    <mergeCell ref="H31:H32"/>
    <mergeCell ref="I31:I32"/>
    <mergeCell ref="J31:J32"/>
    <mergeCell ref="K31:K32"/>
    <mergeCell ref="O29:O30"/>
    <mergeCell ref="Q29:Q30"/>
    <mergeCell ref="R29:R32"/>
    <mergeCell ref="S29:S32"/>
    <mergeCell ref="T29:T32"/>
    <mergeCell ref="U29:U32"/>
    <mergeCell ref="I29:I30"/>
    <mergeCell ref="J29:J30"/>
    <mergeCell ref="K29:K30"/>
    <mergeCell ref="L29:L30"/>
    <mergeCell ref="M29:M30"/>
    <mergeCell ref="N29:N30"/>
    <mergeCell ref="M27:M28"/>
    <mergeCell ref="N27:N28"/>
    <mergeCell ref="O27:O28"/>
    <mergeCell ref="Q27:Q28"/>
    <mergeCell ref="A28:B28"/>
    <mergeCell ref="A29:B29"/>
    <mergeCell ref="C29:C32"/>
    <mergeCell ref="D29:F32"/>
    <mergeCell ref="G29:G30"/>
    <mergeCell ref="H29:H30"/>
    <mergeCell ref="D25:F28"/>
    <mergeCell ref="G25:G26"/>
    <mergeCell ref="H25:H26"/>
    <mergeCell ref="I25:I26"/>
    <mergeCell ref="L31:L32"/>
    <mergeCell ref="M31:M32"/>
    <mergeCell ref="N31:N32"/>
    <mergeCell ref="O31:O32"/>
    <mergeCell ref="Q31:Q32"/>
    <mergeCell ref="A32:B32"/>
    <mergeCell ref="W25:W28"/>
    <mergeCell ref="X25:X28"/>
    <mergeCell ref="A26:B26"/>
    <mergeCell ref="A27:B27"/>
    <mergeCell ref="G27:G28"/>
    <mergeCell ref="H27:H28"/>
    <mergeCell ref="I27:I28"/>
    <mergeCell ref="J27:J28"/>
    <mergeCell ref="K27:K28"/>
    <mergeCell ref="L27:L28"/>
    <mergeCell ref="Q25:Q26"/>
    <mergeCell ref="R25:R28"/>
    <mergeCell ref="S25:S28"/>
    <mergeCell ref="T25:T28"/>
    <mergeCell ref="U25:U28"/>
    <mergeCell ref="V25:V28"/>
    <mergeCell ref="J25:J26"/>
    <mergeCell ref="K25:K26"/>
    <mergeCell ref="L25:L26"/>
    <mergeCell ref="M25:M26"/>
    <mergeCell ref="N25:N26"/>
    <mergeCell ref="O25:O26"/>
    <mergeCell ref="A25:B25"/>
    <mergeCell ref="C25:C28"/>
    <mergeCell ref="V21:V24"/>
    <mergeCell ref="W21:W24"/>
    <mergeCell ref="X21:X24"/>
    <mergeCell ref="A22:B22"/>
    <mergeCell ref="A23:B23"/>
    <mergeCell ref="G23:G24"/>
    <mergeCell ref="H23:H24"/>
    <mergeCell ref="I23:I24"/>
    <mergeCell ref="J23:J24"/>
    <mergeCell ref="K23:K24"/>
    <mergeCell ref="O21:O22"/>
    <mergeCell ref="Q21:Q22"/>
    <mergeCell ref="R21:R24"/>
    <mergeCell ref="S21:S24"/>
    <mergeCell ref="T21:T24"/>
    <mergeCell ref="U21:U24"/>
    <mergeCell ref="I21:I22"/>
    <mergeCell ref="J21:J22"/>
    <mergeCell ref="Q19:Q20"/>
    <mergeCell ref="A20:B20"/>
    <mergeCell ref="A21:B21"/>
    <mergeCell ref="C21:C24"/>
    <mergeCell ref="D21:F24"/>
    <mergeCell ref="G21:G22"/>
    <mergeCell ref="H21:H22"/>
    <mergeCell ref="L23:L24"/>
    <mergeCell ref="M23:M24"/>
    <mergeCell ref="N23:N24"/>
    <mergeCell ref="O23:O24"/>
    <mergeCell ref="Q23:Q24"/>
    <mergeCell ref="A24:B24"/>
    <mergeCell ref="L17:L18"/>
    <mergeCell ref="M17:M18"/>
    <mergeCell ref="N17:N18"/>
    <mergeCell ref="O17:O18"/>
    <mergeCell ref="K21:K22"/>
    <mergeCell ref="L21:L22"/>
    <mergeCell ref="M21:M22"/>
    <mergeCell ref="N21:N22"/>
    <mergeCell ref="M19:M20"/>
    <mergeCell ref="N19:N20"/>
    <mergeCell ref="O19:O20"/>
    <mergeCell ref="A17:B17"/>
    <mergeCell ref="C17:C20"/>
    <mergeCell ref="D17:F20"/>
    <mergeCell ref="G17:G18"/>
    <mergeCell ref="H17:H18"/>
    <mergeCell ref="I17:I18"/>
    <mergeCell ref="W17:W20"/>
    <mergeCell ref="X17:X20"/>
    <mergeCell ref="A18:B18"/>
    <mergeCell ref="A19:B19"/>
    <mergeCell ref="G19:G20"/>
    <mergeCell ref="H19:H20"/>
    <mergeCell ref="I19:I20"/>
    <mergeCell ref="J19:J20"/>
    <mergeCell ref="K19:K20"/>
    <mergeCell ref="L19:L20"/>
    <mergeCell ref="Q17:Q18"/>
    <mergeCell ref="R17:R20"/>
    <mergeCell ref="S17:S20"/>
    <mergeCell ref="T17:T20"/>
    <mergeCell ref="U17:U20"/>
    <mergeCell ref="V17:V20"/>
    <mergeCell ref="J17:J18"/>
    <mergeCell ref="K17:K18"/>
    <mergeCell ref="X13:X16"/>
    <mergeCell ref="A14:B14"/>
    <mergeCell ref="A15:B15"/>
    <mergeCell ref="G15:G16"/>
    <mergeCell ref="H15:H16"/>
    <mergeCell ref="I15:I16"/>
    <mergeCell ref="J15:J16"/>
    <mergeCell ref="K15:K16"/>
    <mergeCell ref="L15:L16"/>
    <mergeCell ref="M15:M16"/>
    <mergeCell ref="R13:R16"/>
    <mergeCell ref="S13:S16"/>
    <mergeCell ref="T13:T16"/>
    <mergeCell ref="U13:U16"/>
    <mergeCell ref="V13:V16"/>
    <mergeCell ref="W13:W16"/>
    <mergeCell ref="K13:K14"/>
    <mergeCell ref="L13:L14"/>
    <mergeCell ref="M13:M14"/>
    <mergeCell ref="N13:N14"/>
    <mergeCell ref="O13:O14"/>
    <mergeCell ref="Q13:Q14"/>
    <mergeCell ref="N15:N16"/>
    <mergeCell ref="O15:O16"/>
    <mergeCell ref="A13:B13"/>
    <mergeCell ref="C13:C16"/>
    <mergeCell ref="D13:F16"/>
    <mergeCell ref="G13:G14"/>
    <mergeCell ref="H13:H14"/>
    <mergeCell ref="I13:I14"/>
    <mergeCell ref="J13:J14"/>
    <mergeCell ref="P10:P12"/>
    <mergeCell ref="Q10:Q12"/>
    <mergeCell ref="Q15:Q16"/>
    <mergeCell ref="A16:B16"/>
    <mergeCell ref="A6:D6"/>
    <mergeCell ref="F6:N6"/>
    <mergeCell ref="A7:D7"/>
    <mergeCell ref="F7:N7"/>
    <mergeCell ref="O7:S7"/>
    <mergeCell ref="T7:X7"/>
    <mergeCell ref="A8:B8"/>
    <mergeCell ref="D8:F8"/>
    <mergeCell ref="G8:G12"/>
    <mergeCell ref="H8:N8"/>
    <mergeCell ref="R8:W9"/>
    <mergeCell ref="X8:X12"/>
    <mergeCell ref="A9:B12"/>
    <mergeCell ref="C9:C12"/>
    <mergeCell ref="D9:F12"/>
    <mergeCell ref="O10:O12"/>
    <mergeCell ref="V10:V12"/>
    <mergeCell ref="W10:W12"/>
    <mergeCell ref="H12:N12"/>
    <mergeCell ref="R10:R12"/>
    <mergeCell ref="S10:S12"/>
    <mergeCell ref="T10:T12"/>
    <mergeCell ref="U10:U12"/>
    <mergeCell ref="A1:D3"/>
    <mergeCell ref="F1:U3"/>
    <mergeCell ref="A4:C4"/>
    <mergeCell ref="D4:G4"/>
    <mergeCell ref="H4:N4"/>
    <mergeCell ref="O4:V4"/>
    <mergeCell ref="W4:X5"/>
    <mergeCell ref="A5:N5"/>
    <mergeCell ref="O5:V5"/>
  </mergeCells>
  <phoneticPr fontId="11" type="noConversion"/>
  <pageMargins left="0.7" right="0.7" top="0.75" bottom="0.75" header="0.3" footer="0.3"/>
  <pageSetup scale="76" orientation="landscape" horizontalDpi="4294967292" verticalDpi="4294967292"/>
  <rowBreaks count="1" manualBreakCount="1">
    <brk id="36" max="16383" man="1"/>
  </rowBreaks>
  <colBreaks count="1" manualBreakCount="1">
    <brk id="24" max="1048575" man="1"/>
  </colBreaks>
  <extLst>
    <ext xmlns:mx="http://schemas.microsoft.com/office/mac/excel/2008/main" uri="{64002731-A6B0-56B0-2670-7721B7C09600}">
      <mx:PLV Mode="1" OnePage="0" WScale="77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77"/>
  <sheetViews>
    <sheetView view="pageLayout" topLeftCell="A4" zoomScaleNormal="125" zoomScalePageLayoutView="125" workbookViewId="0">
      <selection activeCell="A33" sqref="A33:B33"/>
    </sheetView>
  </sheetViews>
  <sheetFormatPr baseColWidth="10" defaultColWidth="8.83203125" defaultRowHeight="14" x14ac:dyDescent="0"/>
  <cols>
    <col min="1" max="1" width="10.33203125" customWidth="1"/>
    <col min="2" max="2" width="11.1640625" customWidth="1"/>
    <col min="3" max="3" width="5" customWidth="1"/>
    <col min="4" max="4" width="5.1640625" customWidth="1"/>
    <col min="5" max="5" width="4.6640625" customWidth="1"/>
    <col min="6" max="6" width="4.83203125" customWidth="1"/>
    <col min="7" max="7" width="3.6640625" customWidth="1"/>
    <col min="8" max="8" width="5" customWidth="1"/>
    <col min="9" max="9" width="4.6640625" customWidth="1"/>
    <col min="10" max="11" width="5.33203125" customWidth="1"/>
    <col min="12" max="12" width="4.83203125" customWidth="1"/>
    <col min="13" max="13" width="5.5" customWidth="1"/>
    <col min="14" max="14" width="5.1640625" customWidth="1"/>
    <col min="16" max="17" width="9.83203125" bestFit="1" customWidth="1"/>
    <col min="18" max="18" width="8.5" customWidth="1"/>
    <col min="19" max="19" width="9.5" customWidth="1"/>
    <col min="20" max="20" width="6" hidden="1" customWidth="1"/>
    <col min="21" max="21" width="4.33203125" hidden="1" customWidth="1"/>
    <col min="22" max="22" width="7.6640625" hidden="1" customWidth="1"/>
    <col min="23" max="23" width="9.33203125" customWidth="1"/>
    <col min="24" max="24" width="12.6640625" customWidth="1"/>
  </cols>
  <sheetData>
    <row r="1" spans="1:24" ht="15" customHeight="1">
      <c r="A1" s="149" t="s">
        <v>22</v>
      </c>
      <c r="B1" s="149"/>
      <c r="C1" s="149"/>
      <c r="D1" s="149"/>
      <c r="E1" s="118"/>
      <c r="F1" s="151" t="s">
        <v>55</v>
      </c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9"/>
      <c r="W1" s="9"/>
      <c r="X1" s="9"/>
    </row>
    <row r="2" spans="1:24">
      <c r="A2" s="149"/>
      <c r="B2" s="149"/>
      <c r="C2" s="149"/>
      <c r="D2" s="149"/>
      <c r="E2" s="118"/>
      <c r="F2" s="151"/>
      <c r="G2" s="151"/>
      <c r="H2" s="151"/>
      <c r="I2" s="151"/>
      <c r="J2" s="151"/>
      <c r="K2" s="151"/>
      <c r="L2" s="151"/>
      <c r="M2" s="151"/>
      <c r="N2" s="151"/>
      <c r="O2" s="151"/>
      <c r="P2" s="151"/>
      <c r="Q2" s="151"/>
      <c r="R2" s="151"/>
      <c r="S2" s="151"/>
      <c r="T2" s="151"/>
      <c r="U2" s="151"/>
      <c r="V2" s="9"/>
      <c r="W2" s="9"/>
      <c r="X2" s="9"/>
    </row>
    <row r="3" spans="1:24" ht="15" customHeight="1" thickBot="1">
      <c r="A3" s="150"/>
      <c r="B3" s="150"/>
      <c r="C3" s="150"/>
      <c r="D3" s="150"/>
      <c r="E3" s="119"/>
      <c r="F3" s="152"/>
      <c r="G3" s="152"/>
      <c r="H3" s="152"/>
      <c r="I3" s="152"/>
      <c r="J3" s="152"/>
      <c r="K3" s="152"/>
      <c r="L3" s="152"/>
      <c r="M3" s="152"/>
      <c r="N3" s="152"/>
      <c r="O3" s="152"/>
      <c r="P3" s="152"/>
      <c r="Q3" s="152"/>
      <c r="R3" s="152"/>
      <c r="S3" s="152"/>
      <c r="T3" s="152"/>
      <c r="U3" s="152"/>
      <c r="V3" s="10"/>
      <c r="W3" s="10"/>
      <c r="X3" s="10"/>
    </row>
    <row r="4" spans="1:24" s="11" customFormat="1">
      <c r="A4" s="153" t="s">
        <v>56</v>
      </c>
      <c r="B4" s="154"/>
      <c r="C4" s="154"/>
      <c r="D4" s="154" t="s">
        <v>52</v>
      </c>
      <c r="E4" s="154"/>
      <c r="F4" s="154"/>
      <c r="G4" s="154"/>
      <c r="H4" s="155"/>
      <c r="I4" s="155"/>
      <c r="J4" s="155"/>
      <c r="K4" s="155"/>
      <c r="L4" s="155"/>
      <c r="M4" s="155"/>
      <c r="N4" s="156"/>
      <c r="O4" s="157" t="s">
        <v>126</v>
      </c>
      <c r="P4" s="158"/>
      <c r="Q4" s="158"/>
      <c r="R4" s="158"/>
      <c r="S4" s="158"/>
      <c r="T4" s="158"/>
      <c r="U4" s="158"/>
      <c r="V4" s="158"/>
      <c r="W4" s="159"/>
      <c r="X4" s="160"/>
    </row>
    <row r="5" spans="1:24" s="1" customFormat="1" ht="12">
      <c r="A5" s="163" t="s">
        <v>125</v>
      </c>
      <c r="B5" s="164"/>
      <c r="C5" s="164"/>
      <c r="D5" s="164"/>
      <c r="E5" s="164"/>
      <c r="F5" s="164"/>
      <c r="G5" s="164"/>
      <c r="H5" s="164"/>
      <c r="I5" s="164"/>
      <c r="J5" s="164"/>
      <c r="K5" s="164"/>
      <c r="L5" s="164"/>
      <c r="M5" s="164"/>
      <c r="N5" s="165"/>
      <c r="O5" s="166" t="s">
        <v>108</v>
      </c>
      <c r="P5" s="167"/>
      <c r="Q5" s="167"/>
      <c r="R5" s="167"/>
      <c r="S5" s="167"/>
      <c r="T5" s="167"/>
      <c r="U5" s="167"/>
      <c r="V5" s="167"/>
      <c r="W5" s="161"/>
      <c r="X5" s="162"/>
    </row>
    <row r="6" spans="1:24" s="13" customFormat="1" ht="11">
      <c r="A6" s="168" t="s">
        <v>18</v>
      </c>
      <c r="B6" s="169"/>
      <c r="C6" s="169"/>
      <c r="D6" s="170"/>
      <c r="E6" s="115"/>
      <c r="F6" s="168" t="s">
        <v>19</v>
      </c>
      <c r="G6" s="169"/>
      <c r="H6" s="169"/>
      <c r="I6" s="169"/>
      <c r="J6" s="169"/>
      <c r="K6" s="169"/>
      <c r="L6" s="169"/>
      <c r="M6" s="169"/>
      <c r="N6" s="170"/>
      <c r="O6" s="102" t="s">
        <v>20</v>
      </c>
      <c r="P6" s="15"/>
      <c r="Q6" s="15"/>
      <c r="R6" s="15"/>
      <c r="S6" s="102" t="s">
        <v>91</v>
      </c>
      <c r="T6" s="15" t="s">
        <v>21</v>
      </c>
      <c r="U6" s="15"/>
      <c r="V6" s="15"/>
      <c r="X6" s="16"/>
    </row>
    <row r="7" spans="1:24" s="1" customFormat="1" ht="16.5" customHeight="1">
      <c r="A7" s="171">
        <v>3</v>
      </c>
      <c r="B7" s="172"/>
      <c r="C7" s="172"/>
      <c r="D7" s="173"/>
      <c r="E7" s="120"/>
      <c r="F7" s="174">
        <v>42400</v>
      </c>
      <c r="G7" s="175"/>
      <c r="H7" s="175"/>
      <c r="I7" s="175"/>
      <c r="J7" s="175"/>
      <c r="K7" s="175"/>
      <c r="L7" s="175"/>
      <c r="M7" s="175"/>
      <c r="N7" s="176"/>
      <c r="O7" s="166" t="s">
        <v>107</v>
      </c>
      <c r="P7" s="167"/>
      <c r="Q7" s="167"/>
      <c r="R7" s="167"/>
      <c r="S7" s="167"/>
      <c r="T7" s="167" t="s">
        <v>109</v>
      </c>
      <c r="U7" s="167"/>
      <c r="V7" s="167"/>
      <c r="W7" s="167"/>
      <c r="X7" s="177"/>
    </row>
    <row r="8" spans="1:24" s="2" customFormat="1" ht="11.25" customHeight="1">
      <c r="A8" s="178" t="s">
        <v>23</v>
      </c>
      <c r="B8" s="179"/>
      <c r="C8" s="7" t="s">
        <v>24</v>
      </c>
      <c r="D8" s="178" t="s">
        <v>25</v>
      </c>
      <c r="E8" s="180"/>
      <c r="F8" s="179"/>
      <c r="G8" s="181" t="s">
        <v>29</v>
      </c>
      <c r="H8" s="184" t="s">
        <v>54</v>
      </c>
      <c r="I8" s="185"/>
      <c r="J8" s="185"/>
      <c r="K8" s="185"/>
      <c r="L8" s="185"/>
      <c r="M8" s="185"/>
      <c r="N8" s="186"/>
      <c r="O8" s="7" t="s">
        <v>30</v>
      </c>
      <c r="P8" s="7" t="s">
        <v>31</v>
      </c>
      <c r="Q8" s="7" t="s">
        <v>32</v>
      </c>
      <c r="R8" s="187" t="s">
        <v>33</v>
      </c>
      <c r="S8" s="187"/>
      <c r="T8" s="187"/>
      <c r="U8" s="187"/>
      <c r="V8" s="187"/>
      <c r="W8" s="187"/>
      <c r="X8" s="187" t="s">
        <v>53</v>
      </c>
    </row>
    <row r="9" spans="1:24" ht="17.25" customHeight="1">
      <c r="A9" s="188" t="s">
        <v>26</v>
      </c>
      <c r="B9" s="189"/>
      <c r="C9" s="192" t="s">
        <v>27</v>
      </c>
      <c r="D9" s="194" t="s">
        <v>28</v>
      </c>
      <c r="E9" s="195"/>
      <c r="F9" s="196"/>
      <c r="G9" s="182"/>
      <c r="H9" s="132" t="s">
        <v>36</v>
      </c>
      <c r="I9" s="133" t="s">
        <v>37</v>
      </c>
      <c r="J9" s="133" t="s">
        <v>38</v>
      </c>
      <c r="K9" s="133" t="s">
        <v>111</v>
      </c>
      <c r="L9" s="133" t="s">
        <v>39</v>
      </c>
      <c r="M9" s="133" t="s">
        <v>41</v>
      </c>
      <c r="N9" s="133" t="s">
        <v>42</v>
      </c>
      <c r="O9" s="6"/>
      <c r="P9" s="8"/>
      <c r="Q9" s="8"/>
      <c r="R9" s="187"/>
      <c r="S9" s="187"/>
      <c r="T9" s="187"/>
      <c r="U9" s="187"/>
      <c r="V9" s="187"/>
      <c r="W9" s="187"/>
      <c r="X9" s="187"/>
    </row>
    <row r="10" spans="1:24" ht="19.5" customHeight="1">
      <c r="A10" s="188"/>
      <c r="B10" s="189"/>
      <c r="C10" s="192"/>
      <c r="D10" s="194"/>
      <c r="E10" s="195"/>
      <c r="F10" s="196"/>
      <c r="G10" s="182"/>
      <c r="H10" s="100">
        <f t="shared" ref="H10:L10" si="0">I10-1</f>
        <v>42394</v>
      </c>
      <c r="I10" s="100">
        <f t="shared" si="0"/>
        <v>42395</v>
      </c>
      <c r="J10" s="100">
        <f t="shared" si="0"/>
        <v>42396</v>
      </c>
      <c r="K10" s="100">
        <f t="shared" si="0"/>
        <v>42397</v>
      </c>
      <c r="L10" s="100">
        <f t="shared" si="0"/>
        <v>42398</v>
      </c>
      <c r="M10" s="100">
        <f>N10-1</f>
        <v>42399</v>
      </c>
      <c r="N10" s="100">
        <f>F7</f>
        <v>42400</v>
      </c>
      <c r="O10" s="200" t="s">
        <v>46</v>
      </c>
      <c r="P10" s="200" t="s">
        <v>47</v>
      </c>
      <c r="Q10" s="200" t="s">
        <v>48</v>
      </c>
      <c r="R10" s="206" t="s">
        <v>44</v>
      </c>
      <c r="S10" s="206" t="s">
        <v>45</v>
      </c>
      <c r="T10" s="207"/>
      <c r="U10" s="207"/>
      <c r="V10" s="202" t="s">
        <v>35</v>
      </c>
      <c r="W10" s="203" t="s">
        <v>34</v>
      </c>
      <c r="X10" s="187"/>
    </row>
    <row r="11" spans="1:24" ht="18.75" hidden="1" customHeight="1">
      <c r="A11" s="188"/>
      <c r="B11" s="189"/>
      <c r="C11" s="192"/>
      <c r="D11" s="194"/>
      <c r="E11" s="195"/>
      <c r="F11" s="196"/>
      <c r="G11" s="182"/>
      <c r="H11" s="5"/>
      <c r="I11" s="4"/>
      <c r="J11" s="4"/>
      <c r="K11" s="4"/>
      <c r="L11" s="4"/>
      <c r="M11" s="4"/>
      <c r="N11" s="4"/>
      <c r="O11" s="200"/>
      <c r="P11" s="200"/>
      <c r="Q11" s="200"/>
      <c r="R11" s="206"/>
      <c r="S11" s="206"/>
      <c r="T11" s="207"/>
      <c r="U11" s="207"/>
      <c r="V11" s="202"/>
      <c r="W11" s="203"/>
      <c r="X11" s="187"/>
    </row>
    <row r="12" spans="1:24">
      <c r="A12" s="190"/>
      <c r="B12" s="191"/>
      <c r="C12" s="193"/>
      <c r="D12" s="197"/>
      <c r="E12" s="198"/>
      <c r="F12" s="199"/>
      <c r="G12" s="183"/>
      <c r="H12" s="204" t="s">
        <v>43</v>
      </c>
      <c r="I12" s="204"/>
      <c r="J12" s="204"/>
      <c r="K12" s="204"/>
      <c r="L12" s="204"/>
      <c r="M12" s="204"/>
      <c r="N12" s="205"/>
      <c r="O12" s="201"/>
      <c r="P12" s="201"/>
      <c r="Q12" s="201"/>
      <c r="R12" s="206"/>
      <c r="S12" s="206"/>
      <c r="T12" s="207"/>
      <c r="U12" s="207"/>
      <c r="V12" s="202"/>
      <c r="W12" s="203"/>
      <c r="X12" s="187"/>
    </row>
    <row r="13" spans="1:24" ht="15" customHeight="1">
      <c r="A13" s="208" t="s">
        <v>98</v>
      </c>
      <c r="B13" s="209"/>
      <c r="C13" s="210">
        <v>2</v>
      </c>
      <c r="D13" s="211" t="s">
        <v>123</v>
      </c>
      <c r="E13" s="212"/>
      <c r="F13" s="213"/>
      <c r="G13" s="220" t="s">
        <v>49</v>
      </c>
      <c r="H13" s="220"/>
      <c r="I13" s="220"/>
      <c r="J13" s="220"/>
      <c r="K13" s="220"/>
      <c r="L13" s="220"/>
      <c r="M13" s="220">
        <v>0</v>
      </c>
      <c r="N13" s="220">
        <v>0</v>
      </c>
      <c r="O13" s="232">
        <v>0</v>
      </c>
      <c r="P13" s="105" t="s">
        <v>110</v>
      </c>
      <c r="Q13" s="246">
        <f>P14*O13</f>
        <v>0</v>
      </c>
      <c r="R13" s="226">
        <v>79.349999999999994</v>
      </c>
      <c r="S13" s="226">
        <f>48.82+11.42+24.11</f>
        <v>84.35</v>
      </c>
      <c r="T13" s="226"/>
      <c r="U13" s="226"/>
      <c r="V13" s="226"/>
      <c r="W13" s="226">
        <f>R13+S13</f>
        <v>163.69999999999999</v>
      </c>
      <c r="X13" s="229">
        <f>Q15-W13+Q13</f>
        <v>623.79999999999995</v>
      </c>
    </row>
    <row r="14" spans="1:24">
      <c r="A14" s="221" t="s">
        <v>103</v>
      </c>
      <c r="B14" s="222"/>
      <c r="C14" s="210"/>
      <c r="D14" s="214"/>
      <c r="E14" s="215"/>
      <c r="F14" s="216"/>
      <c r="G14" s="220"/>
      <c r="H14" s="220"/>
      <c r="I14" s="220"/>
      <c r="J14" s="220"/>
      <c r="K14" s="220"/>
      <c r="L14" s="220"/>
      <c r="M14" s="220"/>
      <c r="N14" s="220"/>
      <c r="O14" s="233"/>
      <c r="P14" s="103">
        <f>P16/2+P16</f>
        <v>22.5</v>
      </c>
      <c r="Q14" s="247"/>
      <c r="R14" s="227"/>
      <c r="S14" s="227"/>
      <c r="T14" s="227"/>
      <c r="U14" s="227"/>
      <c r="V14" s="227"/>
      <c r="W14" s="227"/>
      <c r="X14" s="230"/>
    </row>
    <row r="15" spans="1:24">
      <c r="A15" s="221"/>
      <c r="B15" s="222"/>
      <c r="C15" s="210"/>
      <c r="D15" s="214"/>
      <c r="E15" s="215"/>
      <c r="F15" s="216"/>
      <c r="G15" s="223" t="s">
        <v>40</v>
      </c>
      <c r="H15" s="223">
        <v>0</v>
      </c>
      <c r="I15" s="223">
        <v>9</v>
      </c>
      <c r="J15" s="223">
        <v>10</v>
      </c>
      <c r="K15" s="223">
        <v>6.5</v>
      </c>
      <c r="L15" s="223">
        <v>9</v>
      </c>
      <c r="M15" s="223">
        <v>9</v>
      </c>
      <c r="N15" s="223">
        <v>9</v>
      </c>
      <c r="O15" s="234">
        <f>SUM(H15:N16)</f>
        <v>52.5</v>
      </c>
      <c r="P15" s="106" t="s">
        <v>110</v>
      </c>
      <c r="Q15" s="236">
        <f>P16*O15</f>
        <v>787.5</v>
      </c>
      <c r="R15" s="227"/>
      <c r="S15" s="227"/>
      <c r="T15" s="227"/>
      <c r="U15" s="227"/>
      <c r="V15" s="227"/>
      <c r="W15" s="227"/>
      <c r="X15" s="230"/>
    </row>
    <row r="16" spans="1:24">
      <c r="A16" s="224"/>
      <c r="B16" s="225"/>
      <c r="C16" s="210"/>
      <c r="D16" s="217"/>
      <c r="E16" s="218"/>
      <c r="F16" s="219"/>
      <c r="G16" s="223"/>
      <c r="H16" s="223"/>
      <c r="I16" s="223"/>
      <c r="J16" s="223"/>
      <c r="K16" s="223"/>
      <c r="L16" s="223"/>
      <c r="M16" s="223"/>
      <c r="N16" s="223"/>
      <c r="O16" s="235"/>
      <c r="P16" s="104">
        <v>15</v>
      </c>
      <c r="Q16" s="237"/>
      <c r="R16" s="228"/>
      <c r="S16" s="228"/>
      <c r="T16" s="228"/>
      <c r="U16" s="228"/>
      <c r="V16" s="228"/>
      <c r="W16" s="228"/>
      <c r="X16" s="231"/>
    </row>
    <row r="17" spans="1:24" ht="15" customHeight="1">
      <c r="A17" s="208" t="s">
        <v>99</v>
      </c>
      <c r="B17" s="209"/>
      <c r="C17" s="210">
        <v>2</v>
      </c>
      <c r="D17" s="211" t="s">
        <v>123</v>
      </c>
      <c r="E17" s="212"/>
      <c r="F17" s="213"/>
      <c r="G17" s="220" t="s">
        <v>49</v>
      </c>
      <c r="H17" s="220"/>
      <c r="I17" s="220"/>
      <c r="J17" s="220"/>
      <c r="K17" s="220"/>
      <c r="L17" s="220"/>
      <c r="M17" s="220"/>
      <c r="N17" s="220"/>
      <c r="O17" s="232">
        <f>SUM(H17:N18)</f>
        <v>0</v>
      </c>
      <c r="P17" s="105" t="s">
        <v>110</v>
      </c>
      <c r="Q17" s="238">
        <f>P18*O17</f>
        <v>0</v>
      </c>
      <c r="R17" s="226">
        <v>1.1000000000000001</v>
      </c>
      <c r="S17" s="226">
        <f>13.02+3.05+1.78</f>
        <v>17.850000000000001</v>
      </c>
      <c r="T17" s="226"/>
      <c r="U17" s="226"/>
      <c r="V17" s="226"/>
      <c r="W17" s="226">
        <f>R17+S17</f>
        <v>18.950000000000003</v>
      </c>
      <c r="X17" s="229">
        <f>Q19-W17</f>
        <v>191.05</v>
      </c>
    </row>
    <row r="18" spans="1:24">
      <c r="A18" s="221" t="s">
        <v>102</v>
      </c>
      <c r="B18" s="222"/>
      <c r="C18" s="210"/>
      <c r="D18" s="214"/>
      <c r="E18" s="215"/>
      <c r="F18" s="216"/>
      <c r="G18" s="220"/>
      <c r="H18" s="220"/>
      <c r="I18" s="220"/>
      <c r="J18" s="220"/>
      <c r="K18" s="220"/>
      <c r="L18" s="220"/>
      <c r="M18" s="220"/>
      <c r="N18" s="220"/>
      <c r="O18" s="233"/>
      <c r="P18" s="103">
        <f>P20/2+P20</f>
        <v>22.5</v>
      </c>
      <c r="Q18" s="239"/>
      <c r="R18" s="227"/>
      <c r="S18" s="227"/>
      <c r="T18" s="227"/>
      <c r="U18" s="227"/>
      <c r="V18" s="227"/>
      <c r="W18" s="227"/>
      <c r="X18" s="230"/>
    </row>
    <row r="19" spans="1:24">
      <c r="A19" s="221"/>
      <c r="B19" s="222"/>
      <c r="C19" s="210"/>
      <c r="D19" s="214"/>
      <c r="E19" s="215"/>
      <c r="F19" s="216"/>
      <c r="G19" s="223" t="s">
        <v>40</v>
      </c>
      <c r="H19" s="223">
        <v>0</v>
      </c>
      <c r="I19" s="223">
        <v>7</v>
      </c>
      <c r="J19" s="223">
        <v>7</v>
      </c>
      <c r="K19" s="223">
        <v>0</v>
      </c>
      <c r="L19" s="223">
        <v>0</v>
      </c>
      <c r="M19" s="223">
        <v>0</v>
      </c>
      <c r="N19" s="223"/>
      <c r="O19" s="223">
        <f>SUM(H19:N20)</f>
        <v>14</v>
      </c>
      <c r="P19" s="106" t="s">
        <v>92</v>
      </c>
      <c r="Q19" s="236">
        <f>P20*O19</f>
        <v>210</v>
      </c>
      <c r="R19" s="227"/>
      <c r="S19" s="227"/>
      <c r="T19" s="227"/>
      <c r="U19" s="227"/>
      <c r="V19" s="227"/>
      <c r="W19" s="227"/>
      <c r="X19" s="230"/>
    </row>
    <row r="20" spans="1:24">
      <c r="A20" s="224"/>
      <c r="B20" s="225"/>
      <c r="C20" s="210"/>
      <c r="D20" s="217"/>
      <c r="E20" s="218"/>
      <c r="F20" s="219"/>
      <c r="G20" s="223"/>
      <c r="H20" s="223"/>
      <c r="I20" s="223"/>
      <c r="J20" s="223"/>
      <c r="K20" s="223"/>
      <c r="L20" s="223"/>
      <c r="M20" s="223"/>
      <c r="N20" s="223"/>
      <c r="O20" s="223"/>
      <c r="P20" s="104">
        <v>15</v>
      </c>
      <c r="Q20" s="237"/>
      <c r="R20" s="228"/>
      <c r="S20" s="228"/>
      <c r="T20" s="228"/>
      <c r="U20" s="228"/>
      <c r="V20" s="228"/>
      <c r="W20" s="228"/>
      <c r="X20" s="231"/>
    </row>
    <row r="21" spans="1:24" ht="14" customHeight="1">
      <c r="A21" s="208" t="s">
        <v>100</v>
      </c>
      <c r="B21" s="209"/>
      <c r="C21" s="210">
        <v>3</v>
      </c>
      <c r="D21" s="211" t="s">
        <v>123</v>
      </c>
      <c r="E21" s="212"/>
      <c r="F21" s="213"/>
      <c r="G21" s="220" t="s">
        <v>49</v>
      </c>
      <c r="H21" s="220"/>
      <c r="I21" s="220"/>
      <c r="J21" s="220"/>
      <c r="K21" s="220"/>
      <c r="L21" s="220"/>
      <c r="M21" s="220"/>
      <c r="N21" s="220"/>
      <c r="O21" s="232">
        <f>SUM(H21:N22)</f>
        <v>0</v>
      </c>
      <c r="P21" s="105" t="s">
        <v>110</v>
      </c>
      <c r="Q21" s="238">
        <f>P22*O21</f>
        <v>0</v>
      </c>
      <c r="R21" s="226">
        <v>13.93</v>
      </c>
      <c r="S21" s="226">
        <f>25.81+6.04+6.18</f>
        <v>38.03</v>
      </c>
      <c r="T21" s="226"/>
      <c r="U21" s="226"/>
      <c r="V21" s="226"/>
      <c r="W21" s="226">
        <f>R21+S21</f>
        <v>51.96</v>
      </c>
      <c r="X21" s="229">
        <f>Q23-W21</f>
        <v>364.29</v>
      </c>
    </row>
    <row r="22" spans="1:24">
      <c r="A22" s="221" t="s">
        <v>104</v>
      </c>
      <c r="B22" s="222"/>
      <c r="C22" s="210"/>
      <c r="D22" s="214"/>
      <c r="E22" s="215"/>
      <c r="F22" s="216"/>
      <c r="G22" s="220"/>
      <c r="H22" s="220"/>
      <c r="I22" s="220"/>
      <c r="J22" s="220"/>
      <c r="K22" s="220"/>
      <c r="L22" s="220"/>
      <c r="M22" s="220"/>
      <c r="N22" s="220"/>
      <c r="O22" s="233"/>
      <c r="P22" s="103">
        <f>P24/2+P24</f>
        <v>22.5</v>
      </c>
      <c r="Q22" s="239"/>
      <c r="R22" s="227"/>
      <c r="S22" s="227"/>
      <c r="T22" s="227"/>
      <c r="U22" s="227"/>
      <c r="V22" s="227"/>
      <c r="W22" s="227"/>
      <c r="X22" s="230"/>
    </row>
    <row r="23" spans="1:24">
      <c r="A23" s="221"/>
      <c r="B23" s="222"/>
      <c r="C23" s="210"/>
      <c r="D23" s="214"/>
      <c r="E23" s="215"/>
      <c r="F23" s="216"/>
      <c r="G23" s="223" t="s">
        <v>40</v>
      </c>
      <c r="H23" s="223">
        <v>0</v>
      </c>
      <c r="I23" s="245">
        <v>9</v>
      </c>
      <c r="J23" s="245">
        <v>8</v>
      </c>
      <c r="K23" s="245">
        <v>0</v>
      </c>
      <c r="L23" s="245">
        <v>7.25</v>
      </c>
      <c r="M23" s="245">
        <v>3.5</v>
      </c>
      <c r="N23" s="223"/>
      <c r="O23" s="223">
        <f>SUM(H23:N24)</f>
        <v>27.75</v>
      </c>
      <c r="P23" s="106" t="s">
        <v>110</v>
      </c>
      <c r="Q23" s="236">
        <f>P24*O23</f>
        <v>416.25</v>
      </c>
      <c r="R23" s="227"/>
      <c r="S23" s="227"/>
      <c r="T23" s="227"/>
      <c r="U23" s="227"/>
      <c r="V23" s="227"/>
      <c r="W23" s="227"/>
      <c r="X23" s="230"/>
    </row>
    <row r="24" spans="1:24">
      <c r="A24" s="224"/>
      <c r="B24" s="225"/>
      <c r="C24" s="210"/>
      <c r="D24" s="217"/>
      <c r="E24" s="218"/>
      <c r="F24" s="219"/>
      <c r="G24" s="223"/>
      <c r="H24" s="223"/>
      <c r="I24" s="245"/>
      <c r="J24" s="245"/>
      <c r="K24" s="245"/>
      <c r="L24" s="245"/>
      <c r="M24" s="245"/>
      <c r="N24" s="223"/>
      <c r="O24" s="223"/>
      <c r="P24" s="104">
        <v>15</v>
      </c>
      <c r="Q24" s="237"/>
      <c r="R24" s="228"/>
      <c r="S24" s="228"/>
      <c r="T24" s="228"/>
      <c r="U24" s="228"/>
      <c r="V24" s="228"/>
      <c r="W24" s="228"/>
      <c r="X24" s="231"/>
    </row>
    <row r="25" spans="1:24" ht="14" customHeight="1">
      <c r="A25" s="208" t="s">
        <v>84</v>
      </c>
      <c r="B25" s="209"/>
      <c r="C25" s="210">
        <v>1</v>
      </c>
      <c r="D25" s="211" t="s">
        <v>123</v>
      </c>
      <c r="E25" s="212"/>
      <c r="F25" s="213"/>
      <c r="G25" s="220" t="s">
        <v>49</v>
      </c>
      <c r="H25" s="220"/>
      <c r="I25" s="220"/>
      <c r="J25" s="220"/>
      <c r="K25" s="220"/>
      <c r="L25" s="220"/>
      <c r="M25" s="220"/>
      <c r="N25" s="220"/>
      <c r="O25" s="232">
        <f>SUM(H25:N26)</f>
        <v>0</v>
      </c>
      <c r="P25" s="105" t="s">
        <v>110</v>
      </c>
      <c r="Q25" s="238">
        <f>P26*O25</f>
        <v>0</v>
      </c>
      <c r="R25" s="226">
        <v>511.98</v>
      </c>
      <c r="S25" s="226">
        <f>145.7+34.07+99.97</f>
        <v>279.74</v>
      </c>
      <c r="T25" s="226"/>
      <c r="U25" s="226"/>
      <c r="V25" s="226"/>
      <c r="W25" s="226">
        <f>R25+S25</f>
        <v>791.72</v>
      </c>
      <c r="X25" s="229">
        <f>Q27-W25</f>
        <v>1558.28</v>
      </c>
    </row>
    <row r="26" spans="1:24">
      <c r="A26" s="221" t="s">
        <v>85</v>
      </c>
      <c r="B26" s="222"/>
      <c r="C26" s="210"/>
      <c r="D26" s="214"/>
      <c r="E26" s="215"/>
      <c r="F26" s="216"/>
      <c r="G26" s="220"/>
      <c r="H26" s="220"/>
      <c r="I26" s="220"/>
      <c r="J26" s="220"/>
      <c r="K26" s="220"/>
      <c r="L26" s="220"/>
      <c r="M26" s="220"/>
      <c r="N26" s="220"/>
      <c r="O26" s="233"/>
      <c r="P26" s="103">
        <v>0</v>
      </c>
      <c r="Q26" s="239"/>
      <c r="R26" s="227"/>
      <c r="S26" s="227"/>
      <c r="T26" s="227"/>
      <c r="U26" s="227"/>
      <c r="V26" s="227"/>
      <c r="W26" s="227"/>
      <c r="X26" s="230"/>
    </row>
    <row r="27" spans="1:24">
      <c r="A27" s="221"/>
      <c r="B27" s="222"/>
      <c r="C27" s="210"/>
      <c r="D27" s="214"/>
      <c r="E27" s="215"/>
      <c r="F27" s="216"/>
      <c r="G27" s="223" t="s">
        <v>40</v>
      </c>
      <c r="H27" s="223">
        <v>0</v>
      </c>
      <c r="I27" s="223">
        <v>9</v>
      </c>
      <c r="J27" s="223">
        <v>9</v>
      </c>
      <c r="K27" s="223">
        <v>9</v>
      </c>
      <c r="L27" s="223">
        <v>10</v>
      </c>
      <c r="M27" s="223">
        <v>10</v>
      </c>
      <c r="N27" s="223">
        <v>0</v>
      </c>
      <c r="O27" s="223">
        <f>SUM(H27:N28)</f>
        <v>47</v>
      </c>
      <c r="P27" s="106" t="s">
        <v>110</v>
      </c>
      <c r="Q27" s="236">
        <f>P28*O27</f>
        <v>2350</v>
      </c>
      <c r="R27" s="227"/>
      <c r="S27" s="227"/>
      <c r="T27" s="227"/>
      <c r="U27" s="227"/>
      <c r="V27" s="227"/>
      <c r="W27" s="227"/>
      <c r="X27" s="230"/>
    </row>
    <row r="28" spans="1:24">
      <c r="A28" s="224"/>
      <c r="B28" s="225"/>
      <c r="C28" s="210"/>
      <c r="D28" s="217"/>
      <c r="E28" s="218"/>
      <c r="F28" s="219"/>
      <c r="G28" s="223"/>
      <c r="H28" s="223"/>
      <c r="I28" s="223"/>
      <c r="J28" s="223"/>
      <c r="K28" s="223"/>
      <c r="L28" s="223"/>
      <c r="M28" s="223"/>
      <c r="N28" s="223"/>
      <c r="O28" s="223"/>
      <c r="P28" s="104">
        <v>50</v>
      </c>
      <c r="Q28" s="237"/>
      <c r="R28" s="228"/>
      <c r="S28" s="228"/>
      <c r="T28" s="228"/>
      <c r="U28" s="228"/>
      <c r="V28" s="228"/>
      <c r="W28" s="228"/>
      <c r="X28" s="231"/>
    </row>
    <row r="29" spans="1:24" ht="14" customHeight="1">
      <c r="A29" s="208" t="s">
        <v>101</v>
      </c>
      <c r="B29" s="209"/>
      <c r="C29" s="210">
        <v>2</v>
      </c>
      <c r="D29" s="211" t="s">
        <v>123</v>
      </c>
      <c r="E29" s="212"/>
      <c r="F29" s="213"/>
      <c r="G29" s="220" t="s">
        <v>49</v>
      </c>
      <c r="H29" s="220"/>
      <c r="I29" s="220"/>
      <c r="J29" s="220"/>
      <c r="K29" s="220"/>
      <c r="L29" s="220"/>
      <c r="M29" s="220"/>
      <c r="N29" s="220"/>
      <c r="O29" s="232">
        <f>SUM(H29:N30)</f>
        <v>0</v>
      </c>
      <c r="P29" s="105" t="s">
        <v>110</v>
      </c>
      <c r="Q29" s="238">
        <f>P30*O29</f>
        <v>0</v>
      </c>
      <c r="R29" s="226">
        <v>206.42</v>
      </c>
      <c r="S29" s="226">
        <f>83.7+19.58+49.98</f>
        <v>153.26</v>
      </c>
      <c r="T29" s="226"/>
      <c r="U29" s="226"/>
      <c r="V29" s="226"/>
      <c r="W29" s="226">
        <f>R29+S29</f>
        <v>359.67999999999995</v>
      </c>
      <c r="X29" s="229">
        <f>Q31-W29</f>
        <v>990.32</v>
      </c>
    </row>
    <row r="30" spans="1:24">
      <c r="A30" s="221" t="s">
        <v>106</v>
      </c>
      <c r="B30" s="222"/>
      <c r="C30" s="210"/>
      <c r="D30" s="214"/>
      <c r="E30" s="215"/>
      <c r="F30" s="216"/>
      <c r="G30" s="220"/>
      <c r="H30" s="220"/>
      <c r="I30" s="220"/>
      <c r="J30" s="220"/>
      <c r="K30" s="220"/>
      <c r="L30" s="220"/>
      <c r="M30" s="220"/>
      <c r="N30" s="220"/>
      <c r="O30" s="233"/>
      <c r="P30" s="103">
        <v>0</v>
      </c>
      <c r="Q30" s="239"/>
      <c r="R30" s="227"/>
      <c r="S30" s="227"/>
      <c r="T30" s="227"/>
      <c r="U30" s="227"/>
      <c r="V30" s="227"/>
      <c r="W30" s="227"/>
      <c r="X30" s="230"/>
    </row>
    <row r="31" spans="1:24">
      <c r="A31" s="221"/>
      <c r="B31" s="222"/>
      <c r="C31" s="210"/>
      <c r="D31" s="214"/>
      <c r="E31" s="215"/>
      <c r="F31" s="216"/>
      <c r="G31" s="223" t="s">
        <v>40</v>
      </c>
      <c r="H31" s="223">
        <v>0</v>
      </c>
      <c r="I31" s="234">
        <v>9</v>
      </c>
      <c r="J31" s="234">
        <v>9</v>
      </c>
      <c r="K31" s="234">
        <v>9</v>
      </c>
      <c r="L31" s="234">
        <v>9</v>
      </c>
      <c r="M31" s="234">
        <v>9</v>
      </c>
      <c r="N31" s="234">
        <v>9</v>
      </c>
      <c r="O31" s="223">
        <f>SUM(H31:N32)</f>
        <v>54</v>
      </c>
      <c r="P31" s="106" t="s">
        <v>110</v>
      </c>
      <c r="Q31" s="236">
        <f>P32*O31</f>
        <v>1350</v>
      </c>
      <c r="R31" s="227"/>
      <c r="S31" s="227"/>
      <c r="T31" s="227"/>
      <c r="U31" s="227"/>
      <c r="V31" s="227"/>
      <c r="W31" s="227"/>
      <c r="X31" s="230"/>
    </row>
    <row r="32" spans="1:24">
      <c r="A32" s="224"/>
      <c r="B32" s="225"/>
      <c r="C32" s="210"/>
      <c r="D32" s="217"/>
      <c r="E32" s="218"/>
      <c r="F32" s="219"/>
      <c r="G32" s="223"/>
      <c r="H32" s="223"/>
      <c r="I32" s="235"/>
      <c r="J32" s="235"/>
      <c r="K32" s="235"/>
      <c r="L32" s="235"/>
      <c r="M32" s="235"/>
      <c r="N32" s="235"/>
      <c r="O32" s="223"/>
      <c r="P32" s="104">
        <v>25</v>
      </c>
      <c r="Q32" s="237"/>
      <c r="R32" s="228"/>
      <c r="S32" s="228"/>
      <c r="T32" s="228"/>
      <c r="U32" s="228"/>
      <c r="V32" s="228"/>
      <c r="W32" s="228"/>
      <c r="X32" s="231"/>
    </row>
    <row r="33" spans="1:24" ht="14" customHeight="1">
      <c r="A33" s="208"/>
      <c r="B33" s="209"/>
      <c r="C33" s="210"/>
      <c r="D33" s="211"/>
      <c r="E33" s="212"/>
      <c r="F33" s="213"/>
      <c r="G33" s="220"/>
      <c r="H33" s="220"/>
      <c r="I33" s="220"/>
      <c r="J33" s="220"/>
      <c r="K33" s="220"/>
      <c r="L33" s="220"/>
      <c r="M33" s="220"/>
      <c r="N33" s="220"/>
      <c r="O33" s="232">
        <f>SUM(H33:M34)</f>
        <v>0</v>
      </c>
      <c r="P33" s="105"/>
      <c r="Q33" s="220"/>
      <c r="R33" s="226"/>
      <c r="S33" s="226"/>
      <c r="T33" s="226"/>
      <c r="U33" s="226"/>
      <c r="V33" s="226"/>
      <c r="W33" s="226"/>
      <c r="X33" s="229"/>
    </row>
    <row r="34" spans="1:24">
      <c r="A34" s="221"/>
      <c r="B34" s="222"/>
      <c r="C34" s="210"/>
      <c r="D34" s="214"/>
      <c r="E34" s="215"/>
      <c r="F34" s="216"/>
      <c r="G34" s="220"/>
      <c r="H34" s="220"/>
      <c r="I34" s="220"/>
      <c r="J34" s="220"/>
      <c r="K34" s="220"/>
      <c r="L34" s="220"/>
      <c r="M34" s="220"/>
      <c r="N34" s="220"/>
      <c r="O34" s="233"/>
      <c r="P34" s="103"/>
      <c r="Q34" s="220"/>
      <c r="R34" s="227"/>
      <c r="S34" s="227"/>
      <c r="T34" s="227"/>
      <c r="U34" s="227"/>
      <c r="V34" s="227"/>
      <c r="W34" s="227"/>
      <c r="X34" s="230"/>
    </row>
    <row r="35" spans="1:24">
      <c r="A35" s="221"/>
      <c r="B35" s="222"/>
      <c r="C35" s="210"/>
      <c r="D35" s="214"/>
      <c r="E35" s="215"/>
      <c r="F35" s="216"/>
      <c r="G35" s="223"/>
      <c r="H35" s="223"/>
      <c r="I35" s="223"/>
      <c r="J35" s="223"/>
      <c r="K35" s="223"/>
      <c r="L35" s="223"/>
      <c r="M35" s="223"/>
      <c r="N35" s="223"/>
      <c r="O35" s="223">
        <f>SUM(H35:N36)</f>
        <v>0</v>
      </c>
      <c r="P35" s="106"/>
      <c r="Q35" s="237"/>
      <c r="R35" s="227"/>
      <c r="S35" s="227"/>
      <c r="T35" s="227"/>
      <c r="U35" s="227"/>
      <c r="V35" s="227"/>
      <c r="W35" s="227"/>
      <c r="X35" s="230"/>
    </row>
    <row r="36" spans="1:24">
      <c r="A36" s="224"/>
      <c r="B36" s="225"/>
      <c r="C36" s="210"/>
      <c r="D36" s="217"/>
      <c r="E36" s="218"/>
      <c r="F36" s="219"/>
      <c r="G36" s="223"/>
      <c r="H36" s="223"/>
      <c r="I36" s="223"/>
      <c r="J36" s="223"/>
      <c r="K36" s="223"/>
      <c r="L36" s="223"/>
      <c r="M36" s="223"/>
      <c r="N36" s="223"/>
      <c r="O36" s="223"/>
      <c r="P36" s="104"/>
      <c r="Q36" s="237"/>
      <c r="R36" s="228"/>
      <c r="S36" s="228"/>
      <c r="T36" s="228"/>
      <c r="U36" s="228"/>
      <c r="V36" s="228"/>
      <c r="W36" s="228"/>
      <c r="X36" s="231"/>
    </row>
    <row r="37" spans="1:24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</row>
    <row r="38" spans="1:24" ht="15.75" customHeight="1">
      <c r="A38" s="18" t="s">
        <v>58</v>
      </c>
      <c r="B38" s="101">
        <f>N10</f>
        <v>42400</v>
      </c>
      <c r="C38" s="20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 t="s">
        <v>82</v>
      </c>
      <c r="R38" s="18"/>
      <c r="S38" s="18"/>
      <c r="T38" s="18"/>
      <c r="U38" s="3"/>
      <c r="V38" s="3"/>
      <c r="W38" s="3"/>
    </row>
    <row r="39" spans="1:24" ht="18.75" customHeight="1">
      <c r="A39" s="29" t="s">
        <v>59</v>
      </c>
      <c r="B39" s="35" t="s">
        <v>83</v>
      </c>
      <c r="C39" s="31"/>
      <c r="D39" s="31"/>
      <c r="E39" s="31"/>
      <c r="F39" s="31"/>
      <c r="G39" s="31"/>
      <c r="H39" s="96" t="s">
        <v>75</v>
      </c>
      <c r="I39" s="96"/>
      <c r="J39" s="96"/>
      <c r="K39" s="27"/>
      <c r="L39" s="27"/>
      <c r="M39" s="25"/>
      <c r="N39" s="25"/>
      <c r="O39" s="25"/>
      <c r="P39" s="18"/>
      <c r="Q39" s="13" t="s">
        <v>90</v>
      </c>
      <c r="S39" s="18"/>
      <c r="T39" s="18"/>
      <c r="U39" s="3"/>
      <c r="V39" s="3"/>
      <c r="W39" s="3"/>
    </row>
    <row r="40" spans="1:24" ht="14.25" customHeight="1">
      <c r="A40" s="29"/>
      <c r="B40" s="21" t="s">
        <v>62</v>
      </c>
      <c r="C40" s="21"/>
      <c r="D40" s="21"/>
      <c r="E40" s="21"/>
      <c r="F40" s="31"/>
      <c r="G40" s="58"/>
      <c r="H40" s="21" t="s">
        <v>63</v>
      </c>
      <c r="I40" s="58"/>
      <c r="J40" s="21"/>
      <c r="K40" s="21"/>
      <c r="L40" s="24"/>
      <c r="M40" s="24"/>
      <c r="N40" s="24"/>
      <c r="O40" s="25"/>
      <c r="P40" s="17" t="s">
        <v>10</v>
      </c>
      <c r="R40" s="18"/>
      <c r="S40" s="18"/>
      <c r="T40" s="3"/>
      <c r="U40" s="3"/>
      <c r="V40" s="3"/>
    </row>
    <row r="41" spans="1:24" ht="12" customHeight="1">
      <c r="A41" s="17"/>
      <c r="F41" s="23"/>
      <c r="L41" s="95"/>
      <c r="M41" s="18"/>
      <c r="N41" s="18"/>
      <c r="O41" s="18"/>
      <c r="P41" s="18" t="s">
        <v>11</v>
      </c>
      <c r="R41" s="18"/>
      <c r="S41" s="18"/>
      <c r="T41" s="3"/>
      <c r="U41" s="3"/>
      <c r="V41" s="3"/>
    </row>
    <row r="42" spans="1:24" ht="12" customHeight="1">
      <c r="A42" s="17" t="s">
        <v>60</v>
      </c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 t="s">
        <v>12</v>
      </c>
      <c r="R42" s="18"/>
      <c r="S42" s="18"/>
      <c r="T42" s="3"/>
      <c r="U42" s="3"/>
      <c r="V42" s="3"/>
    </row>
    <row r="43" spans="1:24" ht="12" customHeight="1">
      <c r="A43" s="18"/>
      <c r="B43" s="18" t="s">
        <v>61</v>
      </c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25" t="s">
        <v>13</v>
      </c>
      <c r="R43" s="25"/>
      <c r="S43" s="25"/>
      <c r="T43" s="34"/>
      <c r="U43" s="34"/>
      <c r="V43" s="34"/>
    </row>
    <row r="44" spans="1:24" s="19" customFormat="1" ht="16.5" customHeight="1">
      <c r="A44" s="29"/>
      <c r="B44" s="25"/>
      <c r="C44" s="31" t="str">
        <f>C50</f>
        <v>Evankoff LLC</v>
      </c>
      <c r="D44" s="36"/>
      <c r="E44" s="36"/>
      <c r="F44" s="25"/>
      <c r="G44" s="25"/>
      <c r="H44" s="25"/>
      <c r="I44" s="25"/>
      <c r="J44" s="25"/>
      <c r="K44" s="25"/>
      <c r="L44" s="25"/>
      <c r="M44" s="25"/>
      <c r="N44" s="25"/>
      <c r="O44" s="25" t="s">
        <v>64</v>
      </c>
      <c r="P44" s="25"/>
    </row>
    <row r="45" spans="1:24">
      <c r="A45" s="24"/>
      <c r="B45" s="24"/>
      <c r="C45" s="24" t="s">
        <v>65</v>
      </c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5"/>
      <c r="P45" s="25"/>
      <c r="Q45" s="36" t="s">
        <v>16</v>
      </c>
      <c r="S45" s="19"/>
      <c r="T45" s="19"/>
      <c r="U45" s="19"/>
    </row>
    <row r="46" spans="1:24" s="19" customFormat="1" ht="15" thickBot="1">
      <c r="A46" s="31" t="s">
        <v>105</v>
      </c>
      <c r="B46" s="31"/>
      <c r="C46" s="31"/>
      <c r="D46" s="31"/>
      <c r="E46" s="31"/>
      <c r="F46" s="31"/>
      <c r="G46" s="25" t="s">
        <v>67</v>
      </c>
      <c r="H46" s="25"/>
      <c r="I46" s="25"/>
      <c r="J46" s="25"/>
      <c r="K46" s="25"/>
      <c r="L46" s="25"/>
      <c r="M46" s="25"/>
      <c r="N46" s="25"/>
      <c r="O46" s="25"/>
      <c r="P46" s="25"/>
      <c r="Q46" s="25"/>
    </row>
    <row r="47" spans="1:24">
      <c r="A47" s="24"/>
      <c r="B47" s="24" t="s">
        <v>66</v>
      </c>
      <c r="C47" s="24"/>
      <c r="D47" s="24"/>
      <c r="E47" s="24"/>
      <c r="F47" s="24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94"/>
      <c r="R47" s="70" t="s">
        <v>14</v>
      </c>
      <c r="S47" s="71"/>
      <c r="T47" s="72"/>
      <c r="U47" s="37"/>
      <c r="V47" s="73" t="s">
        <v>15</v>
      </c>
      <c r="W47" s="74" t="s">
        <v>93</v>
      </c>
      <c r="X47" s="75"/>
    </row>
    <row r="48" spans="1:24">
      <c r="A48" s="99">
        <f>H10</f>
        <v>42394</v>
      </c>
      <c r="B48" s="26" t="s">
        <v>68</v>
      </c>
      <c r="C48" s="244">
        <f>F7</f>
        <v>42400</v>
      </c>
      <c r="D48" s="244"/>
      <c r="E48" s="98"/>
      <c r="F48" s="33" t="s">
        <v>73</v>
      </c>
      <c r="J48" s="32"/>
      <c r="L48" s="25"/>
      <c r="M48" s="25"/>
      <c r="N48" s="25"/>
      <c r="O48" s="25"/>
      <c r="P48" s="25"/>
      <c r="Q48" s="76"/>
      <c r="R48" s="77"/>
      <c r="S48" s="77"/>
      <c r="T48" s="78"/>
      <c r="U48" s="79"/>
      <c r="V48" s="80"/>
      <c r="W48" s="80"/>
      <c r="X48" s="81"/>
    </row>
    <row r="49" spans="1:24" ht="14.25" customHeight="1" thickBot="1">
      <c r="A49" s="24" t="s">
        <v>74</v>
      </c>
      <c r="B49" s="25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5"/>
      <c r="Q49" s="82"/>
      <c r="R49" s="83"/>
      <c r="S49" s="83"/>
      <c r="T49" s="84"/>
      <c r="U49" s="85"/>
      <c r="V49" s="86"/>
      <c r="W49" s="86"/>
      <c r="X49" s="87"/>
    </row>
    <row r="50" spans="1:24" ht="18.75" customHeight="1">
      <c r="A50" s="25"/>
      <c r="B50" s="25"/>
      <c r="C50" s="31" t="str">
        <f>A5</f>
        <v>Evankoff LLC</v>
      </c>
      <c r="D50" s="25"/>
      <c r="E50" s="25"/>
      <c r="F50" s="25"/>
      <c r="G50" s="25"/>
      <c r="H50" s="25"/>
      <c r="I50" s="25"/>
      <c r="J50" s="25"/>
      <c r="K50" s="25"/>
      <c r="L50" s="25"/>
      <c r="M50" s="25" t="s">
        <v>69</v>
      </c>
      <c r="N50" s="25"/>
      <c r="O50" s="25"/>
      <c r="P50" s="25"/>
      <c r="Q50" s="107" t="s">
        <v>94</v>
      </c>
      <c r="R50" s="108"/>
      <c r="S50" s="240" t="s">
        <v>97</v>
      </c>
      <c r="T50" s="240"/>
      <c r="U50" s="240"/>
      <c r="V50" s="240"/>
      <c r="W50" s="240"/>
      <c r="X50" s="241"/>
    </row>
    <row r="51" spans="1:24">
      <c r="A51" s="24"/>
      <c r="B51" s="24"/>
      <c r="C51" s="24" t="s">
        <v>65</v>
      </c>
      <c r="D51" s="24"/>
      <c r="E51" s="24"/>
      <c r="F51" s="24"/>
      <c r="G51" s="24"/>
      <c r="H51" s="24"/>
      <c r="I51" s="24"/>
      <c r="J51" s="24"/>
      <c r="K51" s="24"/>
      <c r="L51" s="24"/>
      <c r="M51" s="25"/>
      <c r="N51" s="25"/>
      <c r="O51" s="25"/>
      <c r="P51" s="25"/>
      <c r="Q51" s="109"/>
      <c r="R51" s="110"/>
      <c r="S51" s="242"/>
      <c r="T51" s="242"/>
      <c r="U51" s="242"/>
      <c r="V51" s="242"/>
      <c r="W51" s="242"/>
      <c r="X51" s="243"/>
    </row>
    <row r="52" spans="1:24" ht="12.75" customHeight="1" thickBot="1">
      <c r="A52" s="25" t="s">
        <v>70</v>
      </c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39"/>
      <c r="R52" s="88"/>
      <c r="S52" s="88"/>
      <c r="T52" s="89"/>
      <c r="U52" s="41"/>
      <c r="V52" s="40"/>
      <c r="W52" s="40"/>
      <c r="X52" s="42"/>
    </row>
    <row r="53" spans="1:24" ht="12.75" customHeight="1">
      <c r="A53" s="25" t="s">
        <v>71</v>
      </c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107" t="s">
        <v>94</v>
      </c>
      <c r="R53" s="108"/>
      <c r="S53" s="240" t="s">
        <v>95</v>
      </c>
      <c r="T53" s="240"/>
      <c r="U53" s="240"/>
      <c r="V53" s="240"/>
      <c r="W53" s="240"/>
      <c r="X53" s="241"/>
    </row>
    <row r="54" spans="1:24" ht="12.75" customHeight="1">
      <c r="A54" s="25" t="s">
        <v>72</v>
      </c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109"/>
      <c r="R54" s="110"/>
      <c r="S54" s="242"/>
      <c r="T54" s="242"/>
      <c r="U54" s="242"/>
      <c r="V54" s="242"/>
      <c r="W54" s="242"/>
      <c r="X54" s="243"/>
    </row>
    <row r="55" spans="1:24" ht="12.75" customHeight="1" thickBot="1">
      <c r="A55" s="25" t="s">
        <v>0</v>
      </c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43"/>
      <c r="R55" s="44"/>
      <c r="S55" s="44"/>
      <c r="T55" s="44"/>
      <c r="U55" s="45"/>
      <c r="V55" s="46"/>
      <c r="W55" s="46"/>
      <c r="X55" s="47"/>
    </row>
    <row r="56" spans="1:24" ht="18" customHeight="1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48"/>
      <c r="R56" s="49"/>
      <c r="S56" s="49"/>
      <c r="T56" s="49"/>
      <c r="U56" s="50"/>
      <c r="V56" s="51"/>
      <c r="W56" s="51"/>
      <c r="X56" s="52"/>
    </row>
    <row r="57" spans="1:24" ht="18" customHeight="1" thickBot="1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5"/>
      <c r="Q57" s="53"/>
      <c r="R57" s="54"/>
      <c r="S57" s="54"/>
      <c r="T57" s="54"/>
      <c r="U57" s="55"/>
      <c r="V57" s="10"/>
      <c r="W57" s="10"/>
      <c r="X57" s="56"/>
    </row>
    <row r="58" spans="1:24" ht="18" customHeight="1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5"/>
      <c r="Q58" s="48"/>
      <c r="R58" s="49"/>
      <c r="S58" s="49"/>
      <c r="T58" s="49"/>
      <c r="U58" s="50"/>
      <c r="V58" s="51"/>
      <c r="W58" s="51"/>
      <c r="X58" s="52"/>
    </row>
    <row r="59" spans="1:24" ht="21" customHeight="1" thickBot="1">
      <c r="A59" s="24"/>
      <c r="B59" s="28" t="s">
        <v>2</v>
      </c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5"/>
      <c r="Q59" s="53"/>
      <c r="R59" s="54"/>
      <c r="S59" s="54"/>
      <c r="T59" s="54"/>
      <c r="U59" s="55"/>
      <c r="V59" s="10"/>
      <c r="W59" s="10"/>
      <c r="X59" s="56"/>
    </row>
    <row r="60" spans="1:24" ht="12" customHeight="1">
      <c r="A60" s="30" t="s">
        <v>3</v>
      </c>
      <c r="B60" s="30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5"/>
      <c r="Q60" s="48" t="s">
        <v>17</v>
      </c>
      <c r="R60" s="49"/>
      <c r="S60" s="49"/>
      <c r="T60" s="49"/>
      <c r="U60" s="49"/>
      <c r="V60" s="51"/>
      <c r="W60" s="51"/>
      <c r="X60" s="52"/>
    </row>
    <row r="61" spans="1:24" ht="12" customHeight="1">
      <c r="A61" s="27" t="s">
        <v>4</v>
      </c>
      <c r="B61" s="30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5"/>
      <c r="Q61" s="111" t="s">
        <v>96</v>
      </c>
      <c r="R61" s="44"/>
      <c r="S61" s="44"/>
      <c r="T61" s="44"/>
      <c r="U61" s="44"/>
      <c r="V61" s="46"/>
      <c r="W61" s="46"/>
      <c r="X61" s="47"/>
    </row>
    <row r="62" spans="1:24" ht="12" customHeight="1">
      <c r="A62" s="27" t="s">
        <v>5</v>
      </c>
      <c r="B62" s="30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5"/>
      <c r="Q62" s="121"/>
      <c r="R62" s="122"/>
      <c r="S62" s="44"/>
      <c r="T62" s="44"/>
      <c r="U62" s="44"/>
      <c r="V62" s="46"/>
      <c r="W62" s="46"/>
      <c r="X62" s="47"/>
    </row>
    <row r="63" spans="1:24" ht="12" customHeight="1">
      <c r="A63" s="27"/>
      <c r="B63" s="30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5"/>
      <c r="Q63" s="121"/>
      <c r="R63" s="122"/>
      <c r="S63" s="44"/>
      <c r="T63" s="44"/>
      <c r="U63" s="44"/>
      <c r="V63" s="46"/>
      <c r="W63" s="46"/>
      <c r="X63" s="47"/>
    </row>
    <row r="64" spans="1:24" ht="12" customHeight="1">
      <c r="A64" s="29" t="s">
        <v>7</v>
      </c>
      <c r="B64" s="29" t="s">
        <v>6</v>
      </c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121"/>
      <c r="R64" s="122"/>
      <c r="S64" s="44"/>
      <c r="T64" s="44"/>
      <c r="U64" s="44"/>
      <c r="V64" s="46"/>
      <c r="W64" s="46"/>
      <c r="X64" s="47"/>
    </row>
    <row r="65" spans="1:24" ht="12" customHeight="1">
      <c r="A65" s="25" t="s">
        <v>8</v>
      </c>
      <c r="B65" s="29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43"/>
      <c r="R65" s="44"/>
      <c r="S65" s="44"/>
      <c r="T65" s="44"/>
      <c r="U65" s="44"/>
      <c r="V65" s="46"/>
      <c r="W65" s="46"/>
      <c r="X65" s="47"/>
    </row>
    <row r="66" spans="1:24" ht="12" customHeight="1">
      <c r="A66" s="25" t="s">
        <v>9</v>
      </c>
      <c r="B66" s="29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43"/>
      <c r="R66" s="44"/>
      <c r="S66" s="44"/>
      <c r="T66" s="44"/>
      <c r="U66" s="44"/>
      <c r="V66" s="46"/>
      <c r="W66" s="46"/>
      <c r="X66" s="47"/>
    </row>
    <row r="67" spans="1:24" ht="12" customHeight="1" thickBot="1">
      <c r="A67" s="25"/>
      <c r="B67" s="29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53"/>
      <c r="R67" s="54"/>
      <c r="S67" s="54"/>
      <c r="T67" s="54"/>
      <c r="U67" s="54"/>
      <c r="V67" s="10"/>
      <c r="W67" s="10"/>
      <c r="X67" s="56"/>
    </row>
    <row r="68" spans="1:24" ht="12" customHeight="1">
      <c r="A68" s="25"/>
      <c r="B68" s="25" t="s">
        <v>57</v>
      </c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</row>
    <row r="69" spans="1:24" ht="12" customHeight="1">
      <c r="A69" s="25"/>
      <c r="B69" s="25" t="s">
        <v>1</v>
      </c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12" t="s">
        <v>50</v>
      </c>
      <c r="R69" s="22"/>
      <c r="S69" s="22"/>
      <c r="T69" s="67"/>
      <c r="U69" s="57" t="s">
        <v>51</v>
      </c>
      <c r="V69" s="58"/>
      <c r="W69" s="58"/>
      <c r="X69" s="59"/>
    </row>
    <row r="70" spans="1:24" ht="11.25" customHeight="1">
      <c r="A70" s="25"/>
      <c r="B70" s="25" t="s">
        <v>81</v>
      </c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63"/>
      <c r="T70" s="68"/>
      <c r="U70" s="61"/>
      <c r="V70" s="38"/>
      <c r="W70" s="38"/>
      <c r="X70" s="60"/>
    </row>
    <row r="71" spans="1:24" ht="13.5" customHeight="1">
      <c r="A71" s="25"/>
      <c r="B71" s="97" t="s">
        <v>80</v>
      </c>
      <c r="C71" s="29" t="s">
        <v>76</v>
      </c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93" t="str">
        <f>B39</f>
        <v>Eric Coffie</v>
      </c>
      <c r="R71" s="90"/>
      <c r="S71" s="90" t="str">
        <f>H39</f>
        <v>President</v>
      </c>
      <c r="T71" s="68"/>
      <c r="U71" s="61"/>
      <c r="V71" s="38"/>
      <c r="W71" s="38"/>
      <c r="X71" s="60"/>
    </row>
    <row r="72" spans="1:24" ht="10.5" customHeight="1">
      <c r="A72" s="19"/>
      <c r="B72" s="25"/>
      <c r="C72" s="25" t="s">
        <v>77</v>
      </c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19"/>
      <c r="Q72" s="91"/>
      <c r="R72" s="92"/>
      <c r="S72" s="92"/>
      <c r="T72" s="69"/>
      <c r="U72" s="62"/>
      <c r="V72" s="116"/>
      <c r="W72" s="116"/>
      <c r="X72" s="117"/>
    </row>
    <row r="73" spans="1:24" ht="10.5" customHeight="1">
      <c r="A73" s="19"/>
      <c r="B73" s="19"/>
      <c r="C73" s="25" t="s">
        <v>78</v>
      </c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</row>
    <row r="74" spans="1:24" ht="10.5" customHeight="1">
      <c r="B74" s="19"/>
      <c r="C74" s="25" t="s">
        <v>79</v>
      </c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Q74" s="64" t="s">
        <v>86</v>
      </c>
      <c r="R74" s="58"/>
      <c r="S74" s="58"/>
      <c r="T74" s="58"/>
      <c r="U74" s="58"/>
      <c r="V74" s="58"/>
      <c r="W74" s="58"/>
      <c r="X74" s="59"/>
    </row>
    <row r="75" spans="1:24" ht="10.5" customHeight="1">
      <c r="Q75" s="66" t="s">
        <v>87</v>
      </c>
      <c r="R75" s="38"/>
      <c r="S75" s="38"/>
      <c r="T75" s="38"/>
      <c r="U75" s="38"/>
      <c r="V75" s="38"/>
      <c r="W75" s="38"/>
      <c r="X75" s="60"/>
    </row>
    <row r="76" spans="1:24" ht="10.5" customHeight="1">
      <c r="Q76" s="66" t="s">
        <v>88</v>
      </c>
      <c r="R76" s="38"/>
      <c r="S76" s="38"/>
      <c r="T76" s="38"/>
      <c r="U76" s="38"/>
      <c r="V76" s="38"/>
      <c r="W76" s="38"/>
      <c r="X76" s="60"/>
    </row>
    <row r="77" spans="1:24" ht="10.5" customHeight="1">
      <c r="Q77" s="65" t="s">
        <v>89</v>
      </c>
      <c r="R77" s="116"/>
      <c r="S77" s="116"/>
      <c r="T77" s="116"/>
      <c r="U77" s="116"/>
      <c r="V77" s="116"/>
      <c r="W77" s="116"/>
      <c r="X77" s="117"/>
    </row>
  </sheetData>
  <mergeCells count="235">
    <mergeCell ref="A1:D3"/>
    <mergeCell ref="F1:U3"/>
    <mergeCell ref="A4:C4"/>
    <mergeCell ref="D4:G4"/>
    <mergeCell ref="H4:N4"/>
    <mergeCell ref="O4:V4"/>
    <mergeCell ref="W4:X5"/>
    <mergeCell ref="A5:N5"/>
    <mergeCell ref="O5:V5"/>
    <mergeCell ref="A6:D6"/>
    <mergeCell ref="F6:N6"/>
    <mergeCell ref="A7:D7"/>
    <mergeCell ref="F7:N7"/>
    <mergeCell ref="O7:S7"/>
    <mergeCell ref="T7:X7"/>
    <mergeCell ref="A8:B8"/>
    <mergeCell ref="D8:F8"/>
    <mergeCell ref="G8:G12"/>
    <mergeCell ref="H8:N8"/>
    <mergeCell ref="R8:W9"/>
    <mergeCell ref="X8:X12"/>
    <mergeCell ref="A9:B12"/>
    <mergeCell ref="C9:C12"/>
    <mergeCell ref="D9:F12"/>
    <mergeCell ref="O10:O12"/>
    <mergeCell ref="V10:V12"/>
    <mergeCell ref="W10:W12"/>
    <mergeCell ref="H12:N12"/>
    <mergeCell ref="R10:R12"/>
    <mergeCell ref="S10:S12"/>
    <mergeCell ref="T10:T12"/>
    <mergeCell ref="U10:U12"/>
    <mergeCell ref="A13:B13"/>
    <mergeCell ref="C13:C16"/>
    <mergeCell ref="D13:F16"/>
    <mergeCell ref="G13:G14"/>
    <mergeCell ref="H13:H14"/>
    <mergeCell ref="I13:I14"/>
    <mergeCell ref="J13:J14"/>
    <mergeCell ref="P10:P12"/>
    <mergeCell ref="Q10:Q12"/>
    <mergeCell ref="Q15:Q16"/>
    <mergeCell ref="A16:B16"/>
    <mergeCell ref="X13:X16"/>
    <mergeCell ref="A14:B14"/>
    <mergeCell ref="A15:B15"/>
    <mergeCell ref="G15:G16"/>
    <mergeCell ref="H15:H16"/>
    <mergeCell ref="I15:I16"/>
    <mergeCell ref="J15:J16"/>
    <mergeCell ref="K15:K16"/>
    <mergeCell ref="L15:L16"/>
    <mergeCell ref="M15:M16"/>
    <mergeCell ref="R13:R16"/>
    <mergeCell ref="S13:S16"/>
    <mergeCell ref="T13:T16"/>
    <mergeCell ref="U13:U16"/>
    <mergeCell ref="V13:V16"/>
    <mergeCell ref="W13:W16"/>
    <mergeCell ref="K13:K14"/>
    <mergeCell ref="L13:L14"/>
    <mergeCell ref="M13:M14"/>
    <mergeCell ref="N13:N14"/>
    <mergeCell ref="O13:O14"/>
    <mergeCell ref="Q13:Q14"/>
    <mergeCell ref="N15:N16"/>
    <mergeCell ref="O15:O16"/>
    <mergeCell ref="A17:B17"/>
    <mergeCell ref="C17:C20"/>
    <mergeCell ref="D17:F20"/>
    <mergeCell ref="G17:G18"/>
    <mergeCell ref="H17:H18"/>
    <mergeCell ref="I17:I18"/>
    <mergeCell ref="W17:W20"/>
    <mergeCell ref="X17:X20"/>
    <mergeCell ref="A18:B18"/>
    <mergeCell ref="A19:B19"/>
    <mergeCell ref="G19:G20"/>
    <mergeCell ref="H19:H20"/>
    <mergeCell ref="I19:I20"/>
    <mergeCell ref="J19:J20"/>
    <mergeCell ref="K19:K20"/>
    <mergeCell ref="L19:L20"/>
    <mergeCell ref="Q17:Q18"/>
    <mergeCell ref="R17:R20"/>
    <mergeCell ref="S17:S20"/>
    <mergeCell ref="T17:T20"/>
    <mergeCell ref="U17:U20"/>
    <mergeCell ref="V17:V20"/>
    <mergeCell ref="J17:J18"/>
    <mergeCell ref="K17:K18"/>
    <mergeCell ref="L17:L18"/>
    <mergeCell ref="M17:M18"/>
    <mergeCell ref="N17:N18"/>
    <mergeCell ref="O17:O18"/>
    <mergeCell ref="K21:K22"/>
    <mergeCell ref="L21:L22"/>
    <mergeCell ref="M21:M22"/>
    <mergeCell ref="N21:N22"/>
    <mergeCell ref="M19:M20"/>
    <mergeCell ref="N19:N20"/>
    <mergeCell ref="O19:O20"/>
    <mergeCell ref="Q19:Q20"/>
    <mergeCell ref="A20:B20"/>
    <mergeCell ref="A21:B21"/>
    <mergeCell ref="C21:C24"/>
    <mergeCell ref="D21:F24"/>
    <mergeCell ref="G21:G22"/>
    <mergeCell ref="H21:H22"/>
    <mergeCell ref="L23:L24"/>
    <mergeCell ref="M23:M24"/>
    <mergeCell ref="N23:N24"/>
    <mergeCell ref="O23:O24"/>
    <mergeCell ref="Q23:Q24"/>
    <mergeCell ref="A24:B24"/>
    <mergeCell ref="V21:V24"/>
    <mergeCell ref="W21:W24"/>
    <mergeCell ref="X21:X24"/>
    <mergeCell ref="A22:B22"/>
    <mergeCell ref="A23:B23"/>
    <mergeCell ref="G23:G24"/>
    <mergeCell ref="H23:H24"/>
    <mergeCell ref="I23:I24"/>
    <mergeCell ref="J23:J24"/>
    <mergeCell ref="K23:K24"/>
    <mergeCell ref="O21:O22"/>
    <mergeCell ref="Q21:Q22"/>
    <mergeCell ref="R21:R24"/>
    <mergeCell ref="S21:S24"/>
    <mergeCell ref="T21:T24"/>
    <mergeCell ref="U21:U24"/>
    <mergeCell ref="I21:I22"/>
    <mergeCell ref="J21:J22"/>
    <mergeCell ref="W25:W28"/>
    <mergeCell ref="X25:X28"/>
    <mergeCell ref="A26:B26"/>
    <mergeCell ref="A27:B27"/>
    <mergeCell ref="G27:G28"/>
    <mergeCell ref="H27:H28"/>
    <mergeCell ref="I27:I28"/>
    <mergeCell ref="J27:J28"/>
    <mergeCell ref="K27:K28"/>
    <mergeCell ref="L27:L28"/>
    <mergeCell ref="Q25:Q26"/>
    <mergeCell ref="R25:R28"/>
    <mergeCell ref="S25:S28"/>
    <mergeCell ref="T25:T28"/>
    <mergeCell ref="U25:U28"/>
    <mergeCell ref="V25:V28"/>
    <mergeCell ref="J25:J26"/>
    <mergeCell ref="K25:K26"/>
    <mergeCell ref="L25:L26"/>
    <mergeCell ref="M25:M26"/>
    <mergeCell ref="N25:N26"/>
    <mergeCell ref="O25:O26"/>
    <mergeCell ref="A25:B25"/>
    <mergeCell ref="C25:C28"/>
    <mergeCell ref="M27:M28"/>
    <mergeCell ref="N27:N28"/>
    <mergeCell ref="O27:O28"/>
    <mergeCell ref="Q27:Q28"/>
    <mergeCell ref="A28:B28"/>
    <mergeCell ref="A29:B29"/>
    <mergeCell ref="C29:C32"/>
    <mergeCell ref="D29:F32"/>
    <mergeCell ref="G29:G30"/>
    <mergeCell ref="H29:H30"/>
    <mergeCell ref="D25:F28"/>
    <mergeCell ref="G25:G26"/>
    <mergeCell ref="H25:H26"/>
    <mergeCell ref="I25:I26"/>
    <mergeCell ref="L31:L32"/>
    <mergeCell ref="M31:M32"/>
    <mergeCell ref="N31:N32"/>
    <mergeCell ref="O31:O32"/>
    <mergeCell ref="Q31:Q32"/>
    <mergeCell ref="A32:B32"/>
    <mergeCell ref="V29:V32"/>
    <mergeCell ref="W29:W32"/>
    <mergeCell ref="X29:X32"/>
    <mergeCell ref="A30:B30"/>
    <mergeCell ref="A31:B31"/>
    <mergeCell ref="G31:G32"/>
    <mergeCell ref="H31:H32"/>
    <mergeCell ref="I31:I32"/>
    <mergeCell ref="J31:J32"/>
    <mergeCell ref="K31:K32"/>
    <mergeCell ref="O29:O30"/>
    <mergeCell ref="Q29:Q30"/>
    <mergeCell ref="R29:R32"/>
    <mergeCell ref="S29:S32"/>
    <mergeCell ref="T29:T32"/>
    <mergeCell ref="U29:U32"/>
    <mergeCell ref="I29:I30"/>
    <mergeCell ref="J29:J30"/>
    <mergeCell ref="K29:K30"/>
    <mergeCell ref="L29:L30"/>
    <mergeCell ref="M29:M30"/>
    <mergeCell ref="N29:N30"/>
    <mergeCell ref="J33:J34"/>
    <mergeCell ref="K33:K34"/>
    <mergeCell ref="L33:L34"/>
    <mergeCell ref="M33:M34"/>
    <mergeCell ref="N33:N34"/>
    <mergeCell ref="O33:O34"/>
    <mergeCell ref="A33:B33"/>
    <mergeCell ref="C33:C36"/>
    <mergeCell ref="D33:F36"/>
    <mergeCell ref="G33:G34"/>
    <mergeCell ref="H33:H34"/>
    <mergeCell ref="I33:I34"/>
    <mergeCell ref="S50:X51"/>
    <mergeCell ref="S53:X54"/>
    <mergeCell ref="M35:M36"/>
    <mergeCell ref="N35:N36"/>
    <mergeCell ref="O35:O36"/>
    <mergeCell ref="Q35:Q36"/>
    <mergeCell ref="A36:B36"/>
    <mergeCell ref="C48:D48"/>
    <mergeCell ref="W33:W36"/>
    <mergeCell ref="X33:X36"/>
    <mergeCell ref="A34:B34"/>
    <mergeCell ref="A35:B35"/>
    <mergeCell ref="G35:G36"/>
    <mergeCell ref="H35:H36"/>
    <mergeCell ref="I35:I36"/>
    <mergeCell ref="J35:J36"/>
    <mergeCell ref="K35:K36"/>
    <mergeCell ref="L35:L36"/>
    <mergeCell ref="Q33:Q34"/>
    <mergeCell ref="R33:R36"/>
    <mergeCell ref="S33:S36"/>
    <mergeCell ref="T33:T36"/>
    <mergeCell ref="U33:U36"/>
    <mergeCell ref="V33:V36"/>
  </mergeCells>
  <phoneticPr fontId="11" type="noConversion"/>
  <pageMargins left="0.7" right="0.7" top="0.75" bottom="0.75" header="0.3" footer="0.3"/>
  <pageSetup scale="77" orientation="landscape" horizontalDpi="4294967292" verticalDpi="4294967292"/>
  <rowBreaks count="1" manualBreakCount="1">
    <brk id="36" max="16383" man="1"/>
  </rowBreaks>
  <colBreaks count="1" manualBreakCount="1">
    <brk id="24" max="1048575" man="1"/>
  </colBreaks>
  <extLst>
    <ext xmlns:mx="http://schemas.microsoft.com/office/mac/excel/2008/main" uri="{64002731-A6B0-56B0-2670-7721B7C09600}">
      <mx:PLV Mode="1" OnePage="0" WScale="77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77"/>
  <sheetViews>
    <sheetView view="pageLayout" topLeftCell="A4" zoomScaleNormal="125" zoomScalePageLayoutView="125" workbookViewId="0">
      <selection activeCell="A23" sqref="A23:B23"/>
    </sheetView>
  </sheetViews>
  <sheetFormatPr baseColWidth="10" defaultColWidth="8.83203125" defaultRowHeight="14" x14ac:dyDescent="0"/>
  <cols>
    <col min="1" max="1" width="10.33203125" customWidth="1"/>
    <col min="2" max="2" width="11.1640625" customWidth="1"/>
    <col min="3" max="3" width="5" customWidth="1"/>
    <col min="4" max="4" width="5.1640625" customWidth="1"/>
    <col min="5" max="5" width="4.6640625" customWidth="1"/>
    <col min="6" max="6" width="4.83203125" customWidth="1"/>
    <col min="7" max="7" width="3.6640625" customWidth="1"/>
    <col min="8" max="8" width="5" customWidth="1"/>
    <col min="9" max="9" width="4.6640625" customWidth="1"/>
    <col min="10" max="11" width="5.33203125" customWidth="1"/>
    <col min="12" max="12" width="4.83203125" customWidth="1"/>
    <col min="13" max="13" width="5.5" customWidth="1"/>
    <col min="14" max="14" width="5.1640625" customWidth="1"/>
    <col min="16" max="17" width="9.83203125" bestFit="1" customWidth="1"/>
    <col min="18" max="18" width="7.6640625" customWidth="1"/>
    <col min="19" max="19" width="9.5" customWidth="1"/>
    <col min="20" max="20" width="6" hidden="1" customWidth="1"/>
    <col min="21" max="21" width="4.33203125" hidden="1" customWidth="1"/>
    <col min="22" max="22" width="7.6640625" hidden="1" customWidth="1"/>
    <col min="23" max="23" width="9.33203125" customWidth="1"/>
    <col min="24" max="24" width="12.6640625" customWidth="1"/>
  </cols>
  <sheetData>
    <row r="1" spans="1:24" ht="15" customHeight="1">
      <c r="A1" s="149" t="s">
        <v>22</v>
      </c>
      <c r="B1" s="149"/>
      <c r="C1" s="149"/>
      <c r="D1" s="149"/>
      <c r="E1" s="130"/>
      <c r="F1" s="151" t="s">
        <v>55</v>
      </c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9"/>
      <c r="W1" s="9"/>
      <c r="X1" s="9"/>
    </row>
    <row r="2" spans="1:24">
      <c r="A2" s="149"/>
      <c r="B2" s="149"/>
      <c r="C2" s="149"/>
      <c r="D2" s="149"/>
      <c r="E2" s="130"/>
      <c r="F2" s="151"/>
      <c r="G2" s="151"/>
      <c r="H2" s="151"/>
      <c r="I2" s="151"/>
      <c r="J2" s="151"/>
      <c r="K2" s="151"/>
      <c r="L2" s="151"/>
      <c r="M2" s="151"/>
      <c r="N2" s="151"/>
      <c r="O2" s="151"/>
      <c r="P2" s="151"/>
      <c r="Q2" s="151"/>
      <c r="R2" s="151"/>
      <c r="S2" s="151"/>
      <c r="T2" s="151"/>
      <c r="U2" s="151"/>
      <c r="V2" s="9"/>
      <c r="W2" s="9"/>
      <c r="X2" s="9"/>
    </row>
    <row r="3" spans="1:24" ht="15" customHeight="1" thickBot="1">
      <c r="A3" s="150"/>
      <c r="B3" s="150"/>
      <c r="C3" s="150"/>
      <c r="D3" s="150"/>
      <c r="E3" s="131"/>
      <c r="F3" s="152"/>
      <c r="G3" s="152"/>
      <c r="H3" s="152"/>
      <c r="I3" s="152"/>
      <c r="J3" s="152"/>
      <c r="K3" s="152"/>
      <c r="L3" s="152"/>
      <c r="M3" s="152"/>
      <c r="N3" s="152"/>
      <c r="O3" s="152"/>
      <c r="P3" s="152"/>
      <c r="Q3" s="152"/>
      <c r="R3" s="152"/>
      <c r="S3" s="152"/>
      <c r="T3" s="152"/>
      <c r="U3" s="152"/>
      <c r="V3" s="10"/>
      <c r="W3" s="10"/>
      <c r="X3" s="10"/>
    </row>
    <row r="4" spans="1:24" s="11" customFormat="1">
      <c r="A4" s="153" t="s">
        <v>56</v>
      </c>
      <c r="B4" s="154"/>
      <c r="C4" s="154"/>
      <c r="D4" s="154" t="s">
        <v>52</v>
      </c>
      <c r="E4" s="154"/>
      <c r="F4" s="154"/>
      <c r="G4" s="154"/>
      <c r="H4" s="155"/>
      <c r="I4" s="155"/>
      <c r="J4" s="155"/>
      <c r="K4" s="155"/>
      <c r="L4" s="155"/>
      <c r="M4" s="155"/>
      <c r="N4" s="156"/>
      <c r="O4" s="157" t="s">
        <v>126</v>
      </c>
      <c r="P4" s="158"/>
      <c r="Q4" s="158"/>
      <c r="R4" s="158"/>
      <c r="S4" s="158"/>
      <c r="T4" s="158"/>
      <c r="U4" s="158"/>
      <c r="V4" s="158"/>
      <c r="W4" s="159"/>
      <c r="X4" s="160"/>
    </row>
    <row r="5" spans="1:24" s="1" customFormat="1" ht="12">
      <c r="A5" s="163" t="s">
        <v>125</v>
      </c>
      <c r="B5" s="164"/>
      <c r="C5" s="164"/>
      <c r="D5" s="164"/>
      <c r="E5" s="164"/>
      <c r="F5" s="164"/>
      <c r="G5" s="164"/>
      <c r="H5" s="164"/>
      <c r="I5" s="164"/>
      <c r="J5" s="164"/>
      <c r="K5" s="164"/>
      <c r="L5" s="164"/>
      <c r="M5" s="164"/>
      <c r="N5" s="165"/>
      <c r="O5" s="166" t="s">
        <v>108</v>
      </c>
      <c r="P5" s="167"/>
      <c r="Q5" s="167"/>
      <c r="R5" s="167"/>
      <c r="S5" s="167"/>
      <c r="T5" s="167"/>
      <c r="U5" s="167"/>
      <c r="V5" s="167"/>
      <c r="W5" s="161"/>
      <c r="X5" s="162"/>
    </row>
    <row r="6" spans="1:24" s="13" customFormat="1" ht="11">
      <c r="A6" s="168" t="s">
        <v>18</v>
      </c>
      <c r="B6" s="169"/>
      <c r="C6" s="169"/>
      <c r="D6" s="170"/>
      <c r="E6" s="115"/>
      <c r="F6" s="168" t="s">
        <v>19</v>
      </c>
      <c r="G6" s="169"/>
      <c r="H6" s="169"/>
      <c r="I6" s="169"/>
      <c r="J6" s="169"/>
      <c r="K6" s="169"/>
      <c r="L6" s="169"/>
      <c r="M6" s="169"/>
      <c r="N6" s="170"/>
      <c r="O6" s="102" t="s">
        <v>20</v>
      </c>
      <c r="P6" s="15"/>
      <c r="Q6" s="15"/>
      <c r="R6" s="15"/>
      <c r="S6" s="102" t="s">
        <v>91</v>
      </c>
      <c r="T6" s="15" t="s">
        <v>21</v>
      </c>
      <c r="U6" s="15"/>
      <c r="V6" s="15"/>
      <c r="X6" s="16"/>
    </row>
    <row r="7" spans="1:24" s="1" customFormat="1" ht="16.5" customHeight="1">
      <c r="A7" s="171">
        <v>4</v>
      </c>
      <c r="B7" s="172"/>
      <c r="C7" s="172"/>
      <c r="D7" s="173"/>
      <c r="E7" s="129"/>
      <c r="F7" s="174">
        <v>42407</v>
      </c>
      <c r="G7" s="175"/>
      <c r="H7" s="175"/>
      <c r="I7" s="175"/>
      <c r="J7" s="175"/>
      <c r="K7" s="175"/>
      <c r="L7" s="175"/>
      <c r="M7" s="175"/>
      <c r="N7" s="176"/>
      <c r="O7" s="166" t="s">
        <v>107</v>
      </c>
      <c r="P7" s="167"/>
      <c r="Q7" s="167"/>
      <c r="R7" s="167"/>
      <c r="S7" s="167"/>
      <c r="T7" s="167" t="s">
        <v>109</v>
      </c>
      <c r="U7" s="167"/>
      <c r="V7" s="167"/>
      <c r="W7" s="167"/>
      <c r="X7" s="177"/>
    </row>
    <row r="8" spans="1:24" s="2" customFormat="1" ht="11.25" customHeight="1">
      <c r="A8" s="178" t="s">
        <v>23</v>
      </c>
      <c r="B8" s="179"/>
      <c r="C8" s="7" t="s">
        <v>24</v>
      </c>
      <c r="D8" s="178" t="s">
        <v>25</v>
      </c>
      <c r="E8" s="180"/>
      <c r="F8" s="179"/>
      <c r="G8" s="181" t="s">
        <v>29</v>
      </c>
      <c r="H8" s="184" t="s">
        <v>54</v>
      </c>
      <c r="I8" s="185"/>
      <c r="J8" s="185"/>
      <c r="K8" s="185"/>
      <c r="L8" s="185"/>
      <c r="M8" s="185"/>
      <c r="N8" s="186"/>
      <c r="O8" s="7" t="s">
        <v>30</v>
      </c>
      <c r="P8" s="7" t="s">
        <v>31</v>
      </c>
      <c r="Q8" s="7" t="s">
        <v>32</v>
      </c>
      <c r="R8" s="187" t="s">
        <v>33</v>
      </c>
      <c r="S8" s="187"/>
      <c r="T8" s="187"/>
      <c r="U8" s="187"/>
      <c r="V8" s="187"/>
      <c r="W8" s="187"/>
      <c r="X8" s="187" t="s">
        <v>53</v>
      </c>
    </row>
    <row r="9" spans="1:24" ht="17.25" customHeight="1">
      <c r="A9" s="188" t="s">
        <v>26</v>
      </c>
      <c r="B9" s="189"/>
      <c r="C9" s="192" t="s">
        <v>27</v>
      </c>
      <c r="D9" s="194" t="s">
        <v>28</v>
      </c>
      <c r="E9" s="195"/>
      <c r="F9" s="196"/>
      <c r="G9" s="182"/>
      <c r="H9" s="132" t="s">
        <v>36</v>
      </c>
      <c r="I9" s="133" t="s">
        <v>37</v>
      </c>
      <c r="J9" s="133" t="s">
        <v>38</v>
      </c>
      <c r="K9" s="133" t="s">
        <v>111</v>
      </c>
      <c r="L9" s="133" t="s">
        <v>39</v>
      </c>
      <c r="M9" s="133" t="s">
        <v>41</v>
      </c>
      <c r="N9" s="133" t="s">
        <v>42</v>
      </c>
      <c r="O9" s="6"/>
      <c r="P9" s="8"/>
      <c r="Q9" s="8"/>
      <c r="R9" s="187"/>
      <c r="S9" s="187"/>
      <c r="T9" s="187"/>
      <c r="U9" s="187"/>
      <c r="V9" s="187"/>
      <c r="W9" s="187"/>
      <c r="X9" s="187"/>
    </row>
    <row r="10" spans="1:24" ht="19.5" customHeight="1">
      <c r="A10" s="188"/>
      <c r="B10" s="189"/>
      <c r="C10" s="192"/>
      <c r="D10" s="194"/>
      <c r="E10" s="195"/>
      <c r="F10" s="196"/>
      <c r="G10" s="182"/>
      <c r="H10" s="100">
        <f t="shared" ref="H10:L10" si="0">I10-1</f>
        <v>42401</v>
      </c>
      <c r="I10" s="100">
        <f t="shared" si="0"/>
        <v>42402</v>
      </c>
      <c r="J10" s="100">
        <f t="shared" si="0"/>
        <v>42403</v>
      </c>
      <c r="K10" s="100">
        <f t="shared" si="0"/>
        <v>42404</v>
      </c>
      <c r="L10" s="100">
        <f t="shared" si="0"/>
        <v>42405</v>
      </c>
      <c r="M10" s="100">
        <f>N10-1</f>
        <v>42406</v>
      </c>
      <c r="N10" s="100">
        <f>F7</f>
        <v>42407</v>
      </c>
      <c r="O10" s="200" t="s">
        <v>46</v>
      </c>
      <c r="P10" s="200" t="s">
        <v>47</v>
      </c>
      <c r="Q10" s="200" t="s">
        <v>48</v>
      </c>
      <c r="R10" s="206" t="s">
        <v>44</v>
      </c>
      <c r="S10" s="206" t="s">
        <v>45</v>
      </c>
      <c r="T10" s="207"/>
      <c r="U10" s="207"/>
      <c r="V10" s="202" t="s">
        <v>35</v>
      </c>
      <c r="W10" s="203" t="s">
        <v>34</v>
      </c>
      <c r="X10" s="187"/>
    </row>
    <row r="11" spans="1:24" ht="18.75" hidden="1" customHeight="1">
      <c r="A11" s="188"/>
      <c r="B11" s="189"/>
      <c r="C11" s="192"/>
      <c r="D11" s="194"/>
      <c r="E11" s="195"/>
      <c r="F11" s="196"/>
      <c r="G11" s="182"/>
      <c r="H11" s="5"/>
      <c r="I11" s="4"/>
      <c r="J11" s="4"/>
      <c r="K11" s="4"/>
      <c r="L11" s="4"/>
      <c r="M11" s="4"/>
      <c r="N11" s="4"/>
      <c r="O11" s="200"/>
      <c r="P11" s="200"/>
      <c r="Q11" s="200"/>
      <c r="R11" s="206"/>
      <c r="S11" s="206"/>
      <c r="T11" s="207"/>
      <c r="U11" s="207"/>
      <c r="V11" s="202"/>
      <c r="W11" s="203"/>
      <c r="X11" s="187"/>
    </row>
    <row r="12" spans="1:24">
      <c r="A12" s="190"/>
      <c r="B12" s="191"/>
      <c r="C12" s="193"/>
      <c r="D12" s="197"/>
      <c r="E12" s="198"/>
      <c r="F12" s="199"/>
      <c r="G12" s="183"/>
      <c r="H12" s="204" t="s">
        <v>43</v>
      </c>
      <c r="I12" s="204"/>
      <c r="J12" s="204"/>
      <c r="K12" s="204"/>
      <c r="L12" s="204"/>
      <c r="M12" s="204"/>
      <c r="N12" s="205"/>
      <c r="O12" s="201"/>
      <c r="P12" s="201"/>
      <c r="Q12" s="201"/>
      <c r="R12" s="206"/>
      <c r="S12" s="206"/>
      <c r="T12" s="207"/>
      <c r="U12" s="207"/>
      <c r="V12" s="202"/>
      <c r="W12" s="203"/>
      <c r="X12" s="187"/>
    </row>
    <row r="13" spans="1:24" ht="15" customHeight="1">
      <c r="A13" s="208" t="s">
        <v>98</v>
      </c>
      <c r="B13" s="209"/>
      <c r="C13" s="210">
        <v>2</v>
      </c>
      <c r="D13" s="211" t="s">
        <v>123</v>
      </c>
      <c r="E13" s="212"/>
      <c r="F13" s="213"/>
      <c r="G13" s="220" t="s">
        <v>49</v>
      </c>
      <c r="H13" s="220"/>
      <c r="I13" s="220"/>
      <c r="J13" s="220"/>
      <c r="K13" s="220"/>
      <c r="L13" s="220"/>
      <c r="M13" s="220">
        <v>0</v>
      </c>
      <c r="N13" s="220">
        <v>0</v>
      </c>
      <c r="O13" s="232">
        <f>SUM(H13:N14)</f>
        <v>0</v>
      </c>
      <c r="P13" s="105" t="s">
        <v>110</v>
      </c>
      <c r="Q13" s="238">
        <f>P14*O13</f>
        <v>0</v>
      </c>
      <c r="R13" s="226">
        <v>87.79</v>
      </c>
      <c r="S13" s="226">
        <f>52.31+12.23+26.7</f>
        <v>91.240000000000009</v>
      </c>
      <c r="T13" s="226"/>
      <c r="U13" s="226"/>
      <c r="V13" s="226"/>
      <c r="W13" s="226">
        <f>S13+R13</f>
        <v>179.03000000000003</v>
      </c>
      <c r="X13" s="229">
        <f>Q15-W13+Q13</f>
        <v>664.72</v>
      </c>
    </row>
    <row r="14" spans="1:24">
      <c r="A14" s="221" t="s">
        <v>103</v>
      </c>
      <c r="B14" s="222"/>
      <c r="C14" s="210"/>
      <c r="D14" s="214"/>
      <c r="E14" s="215"/>
      <c r="F14" s="216"/>
      <c r="G14" s="220"/>
      <c r="H14" s="220"/>
      <c r="I14" s="220"/>
      <c r="J14" s="220"/>
      <c r="K14" s="220"/>
      <c r="L14" s="220"/>
      <c r="M14" s="220"/>
      <c r="N14" s="220"/>
      <c r="O14" s="233"/>
      <c r="P14" s="103">
        <f>P16/2+P16</f>
        <v>22.5</v>
      </c>
      <c r="Q14" s="239"/>
      <c r="R14" s="227"/>
      <c r="S14" s="227"/>
      <c r="T14" s="227"/>
      <c r="U14" s="227"/>
      <c r="V14" s="227"/>
      <c r="W14" s="227"/>
      <c r="X14" s="230"/>
    </row>
    <row r="15" spans="1:24">
      <c r="A15" s="221"/>
      <c r="B15" s="222"/>
      <c r="C15" s="210"/>
      <c r="D15" s="214"/>
      <c r="E15" s="215"/>
      <c r="F15" s="216"/>
      <c r="G15" s="223" t="s">
        <v>40</v>
      </c>
      <c r="H15" s="223">
        <v>0</v>
      </c>
      <c r="I15" s="223">
        <v>9</v>
      </c>
      <c r="J15" s="223">
        <v>10</v>
      </c>
      <c r="K15" s="223">
        <v>9</v>
      </c>
      <c r="L15" s="223">
        <v>10.25</v>
      </c>
      <c r="M15" s="223">
        <v>9</v>
      </c>
      <c r="N15" s="223">
        <v>9</v>
      </c>
      <c r="O15" s="234">
        <f>SUM(H15:N16)</f>
        <v>56.25</v>
      </c>
      <c r="P15" s="106" t="s">
        <v>110</v>
      </c>
      <c r="Q15" s="236">
        <f>P16*O15</f>
        <v>843.75</v>
      </c>
      <c r="R15" s="227"/>
      <c r="S15" s="227"/>
      <c r="T15" s="227"/>
      <c r="U15" s="227"/>
      <c r="V15" s="227"/>
      <c r="W15" s="227"/>
      <c r="X15" s="230"/>
    </row>
    <row r="16" spans="1:24">
      <c r="A16" s="224"/>
      <c r="B16" s="225"/>
      <c r="C16" s="210"/>
      <c r="D16" s="217"/>
      <c r="E16" s="218"/>
      <c r="F16" s="219"/>
      <c r="G16" s="223"/>
      <c r="H16" s="223"/>
      <c r="I16" s="223"/>
      <c r="J16" s="223"/>
      <c r="K16" s="223"/>
      <c r="L16" s="223"/>
      <c r="M16" s="223"/>
      <c r="N16" s="223"/>
      <c r="O16" s="235"/>
      <c r="P16" s="104">
        <v>15</v>
      </c>
      <c r="Q16" s="237"/>
      <c r="R16" s="228"/>
      <c r="S16" s="228"/>
      <c r="T16" s="228"/>
      <c r="U16" s="228"/>
      <c r="V16" s="228"/>
      <c r="W16" s="228"/>
      <c r="X16" s="231"/>
    </row>
    <row r="17" spans="1:24" ht="15" customHeight="1">
      <c r="A17" s="208" t="s">
        <v>99</v>
      </c>
      <c r="B17" s="209"/>
      <c r="C17" s="210">
        <v>2</v>
      </c>
      <c r="D17" s="211" t="s">
        <v>123</v>
      </c>
      <c r="E17" s="212"/>
      <c r="F17" s="213"/>
      <c r="G17" s="220" t="s">
        <v>49</v>
      </c>
      <c r="H17" s="220"/>
      <c r="I17" s="220"/>
      <c r="J17" s="220"/>
      <c r="K17" s="220"/>
      <c r="L17" s="220"/>
      <c r="M17" s="220"/>
      <c r="N17" s="220"/>
      <c r="O17" s="232">
        <f>SUM(H17:N18)</f>
        <v>0</v>
      </c>
      <c r="P17" s="105" t="s">
        <v>110</v>
      </c>
      <c r="Q17" s="238">
        <f>P18*O17</f>
        <v>0</v>
      </c>
      <c r="R17" s="226">
        <v>18.600000000000001</v>
      </c>
      <c r="S17" s="226">
        <f>23.72+5.54+6.43</f>
        <v>35.69</v>
      </c>
      <c r="T17" s="226"/>
      <c r="U17" s="226"/>
      <c r="V17" s="226"/>
      <c r="W17" s="226">
        <f>S17+R17</f>
        <v>54.29</v>
      </c>
      <c r="X17" s="229">
        <f>Q19-W17</f>
        <v>328.21</v>
      </c>
    </row>
    <row r="18" spans="1:24">
      <c r="A18" s="221" t="s">
        <v>102</v>
      </c>
      <c r="B18" s="222"/>
      <c r="C18" s="210"/>
      <c r="D18" s="214"/>
      <c r="E18" s="215"/>
      <c r="F18" s="216"/>
      <c r="G18" s="220"/>
      <c r="H18" s="220"/>
      <c r="I18" s="220"/>
      <c r="J18" s="220"/>
      <c r="K18" s="220"/>
      <c r="L18" s="220"/>
      <c r="M18" s="220"/>
      <c r="N18" s="220"/>
      <c r="O18" s="233"/>
      <c r="P18" s="103">
        <f>P20/2+P20</f>
        <v>22.5</v>
      </c>
      <c r="Q18" s="239"/>
      <c r="R18" s="227"/>
      <c r="S18" s="227"/>
      <c r="T18" s="227"/>
      <c r="U18" s="227"/>
      <c r="V18" s="227"/>
      <c r="W18" s="227"/>
      <c r="X18" s="230"/>
    </row>
    <row r="19" spans="1:24">
      <c r="A19" s="221"/>
      <c r="B19" s="222"/>
      <c r="C19" s="210"/>
      <c r="D19" s="214"/>
      <c r="E19" s="215"/>
      <c r="F19" s="216"/>
      <c r="G19" s="223" t="s">
        <v>40</v>
      </c>
      <c r="H19" s="223">
        <v>0</v>
      </c>
      <c r="I19" s="223">
        <v>9</v>
      </c>
      <c r="J19" s="223">
        <v>0</v>
      </c>
      <c r="K19" s="223">
        <v>6</v>
      </c>
      <c r="L19" s="223">
        <v>6.25</v>
      </c>
      <c r="M19" s="223">
        <v>4.25</v>
      </c>
      <c r="N19" s="223">
        <v>0</v>
      </c>
      <c r="O19" s="223">
        <f>SUM(H19:N20)</f>
        <v>25.5</v>
      </c>
      <c r="P19" s="106" t="s">
        <v>110</v>
      </c>
      <c r="Q19" s="236">
        <f>P20*O19</f>
        <v>382.5</v>
      </c>
      <c r="R19" s="227"/>
      <c r="S19" s="227"/>
      <c r="T19" s="227"/>
      <c r="U19" s="227"/>
      <c r="V19" s="227"/>
      <c r="W19" s="227"/>
      <c r="X19" s="230"/>
    </row>
    <row r="20" spans="1:24">
      <c r="A20" s="224"/>
      <c r="B20" s="225"/>
      <c r="C20" s="210"/>
      <c r="D20" s="217"/>
      <c r="E20" s="218"/>
      <c r="F20" s="219"/>
      <c r="G20" s="223"/>
      <c r="H20" s="223"/>
      <c r="I20" s="223"/>
      <c r="J20" s="223"/>
      <c r="K20" s="223"/>
      <c r="L20" s="223"/>
      <c r="M20" s="223"/>
      <c r="N20" s="223"/>
      <c r="O20" s="223"/>
      <c r="P20" s="104">
        <v>15</v>
      </c>
      <c r="Q20" s="237"/>
      <c r="R20" s="228"/>
      <c r="S20" s="228"/>
      <c r="T20" s="228"/>
      <c r="U20" s="228"/>
      <c r="V20" s="228"/>
      <c r="W20" s="228"/>
      <c r="X20" s="231"/>
    </row>
    <row r="21" spans="1:24" ht="14" customHeight="1">
      <c r="A21" s="208"/>
      <c r="B21" s="209"/>
      <c r="C21" s="210">
        <v>3</v>
      </c>
      <c r="D21" s="211" t="s">
        <v>124</v>
      </c>
      <c r="E21" s="212"/>
      <c r="F21" s="213"/>
      <c r="G21" s="220" t="s">
        <v>49</v>
      </c>
      <c r="H21" s="220"/>
      <c r="I21" s="220"/>
      <c r="J21" s="220"/>
      <c r="K21" s="220"/>
      <c r="L21" s="220"/>
      <c r="M21" s="220"/>
      <c r="N21" s="220"/>
      <c r="O21" s="232">
        <f>SUM(H21:N22)</f>
        <v>0</v>
      </c>
      <c r="P21" s="105" t="s">
        <v>110</v>
      </c>
      <c r="Q21" s="238">
        <f>P22*O21</f>
        <v>0</v>
      </c>
      <c r="R21" s="226">
        <v>0</v>
      </c>
      <c r="S21" s="226">
        <v>0</v>
      </c>
      <c r="T21" s="226"/>
      <c r="U21" s="226"/>
      <c r="V21" s="226"/>
      <c r="W21" s="226">
        <v>0</v>
      </c>
      <c r="X21" s="229">
        <f>Q23-W21</f>
        <v>0</v>
      </c>
    </row>
    <row r="22" spans="1:24">
      <c r="A22" s="221"/>
      <c r="B22" s="222"/>
      <c r="C22" s="210"/>
      <c r="D22" s="214"/>
      <c r="E22" s="215"/>
      <c r="F22" s="216"/>
      <c r="G22" s="220"/>
      <c r="H22" s="220"/>
      <c r="I22" s="220"/>
      <c r="J22" s="220"/>
      <c r="K22" s="220"/>
      <c r="L22" s="220"/>
      <c r="M22" s="220"/>
      <c r="N22" s="220"/>
      <c r="O22" s="233"/>
      <c r="P22" s="103">
        <f>P24/2+P24</f>
        <v>19.5</v>
      </c>
      <c r="Q22" s="239"/>
      <c r="R22" s="227"/>
      <c r="S22" s="227"/>
      <c r="T22" s="227"/>
      <c r="U22" s="227"/>
      <c r="V22" s="227"/>
      <c r="W22" s="227"/>
      <c r="X22" s="230"/>
    </row>
    <row r="23" spans="1:24">
      <c r="A23" s="221"/>
      <c r="B23" s="222"/>
      <c r="C23" s="210"/>
      <c r="D23" s="214"/>
      <c r="E23" s="215"/>
      <c r="F23" s="216"/>
      <c r="G23" s="223" t="s">
        <v>40</v>
      </c>
      <c r="H23" s="223">
        <v>0</v>
      </c>
      <c r="I23" s="223">
        <v>0</v>
      </c>
      <c r="J23" s="223">
        <v>0</v>
      </c>
      <c r="K23" s="223">
        <v>0</v>
      </c>
      <c r="L23" s="223">
        <v>0</v>
      </c>
      <c r="M23" s="223">
        <v>0</v>
      </c>
      <c r="N23" s="223">
        <v>0</v>
      </c>
      <c r="O23" s="223">
        <f>SUM(H23:N24)</f>
        <v>0</v>
      </c>
      <c r="P23" s="106" t="s">
        <v>110</v>
      </c>
      <c r="Q23" s="236">
        <f>P24*O23</f>
        <v>0</v>
      </c>
      <c r="R23" s="227"/>
      <c r="S23" s="227"/>
      <c r="T23" s="227"/>
      <c r="U23" s="227"/>
      <c r="V23" s="227"/>
      <c r="W23" s="227"/>
      <c r="X23" s="230"/>
    </row>
    <row r="24" spans="1:24">
      <c r="A24" s="224"/>
      <c r="B24" s="225"/>
      <c r="C24" s="210"/>
      <c r="D24" s="217"/>
      <c r="E24" s="218"/>
      <c r="F24" s="219"/>
      <c r="G24" s="223"/>
      <c r="H24" s="223"/>
      <c r="I24" s="223"/>
      <c r="J24" s="223"/>
      <c r="K24" s="223"/>
      <c r="L24" s="223"/>
      <c r="M24" s="223"/>
      <c r="N24" s="223"/>
      <c r="O24" s="223"/>
      <c r="P24" s="104">
        <v>13</v>
      </c>
      <c r="Q24" s="237"/>
      <c r="R24" s="228"/>
      <c r="S24" s="228"/>
      <c r="T24" s="228"/>
      <c r="U24" s="228"/>
      <c r="V24" s="228"/>
      <c r="W24" s="228"/>
      <c r="X24" s="231"/>
    </row>
    <row r="25" spans="1:24" ht="14" customHeight="1">
      <c r="A25" s="208"/>
      <c r="B25" s="209"/>
      <c r="C25" s="210"/>
      <c r="D25" s="211" t="s">
        <v>123</v>
      </c>
      <c r="E25" s="212"/>
      <c r="F25" s="213"/>
      <c r="G25" s="220" t="s">
        <v>49</v>
      </c>
      <c r="H25" s="220"/>
      <c r="I25" s="220"/>
      <c r="J25" s="220"/>
      <c r="K25" s="220"/>
      <c r="L25" s="220"/>
      <c r="M25" s="220"/>
      <c r="N25" s="220"/>
      <c r="O25" s="232">
        <f>SUM(H25:N26)</f>
        <v>0</v>
      </c>
      <c r="P25" s="105" t="s">
        <v>110</v>
      </c>
      <c r="Q25" s="248"/>
      <c r="R25" s="226"/>
      <c r="S25" s="226"/>
      <c r="T25" s="226"/>
      <c r="U25" s="226"/>
      <c r="V25" s="226"/>
      <c r="W25" s="226"/>
      <c r="X25" s="229"/>
    </row>
    <row r="26" spans="1:24">
      <c r="A26" s="221"/>
      <c r="B26" s="222"/>
      <c r="C26" s="210"/>
      <c r="D26" s="214"/>
      <c r="E26" s="215"/>
      <c r="F26" s="216"/>
      <c r="G26" s="220"/>
      <c r="H26" s="220"/>
      <c r="I26" s="220"/>
      <c r="J26" s="220"/>
      <c r="K26" s="220"/>
      <c r="L26" s="220"/>
      <c r="M26" s="220"/>
      <c r="N26" s="220"/>
      <c r="O26" s="233"/>
      <c r="P26" s="103">
        <v>0</v>
      </c>
      <c r="Q26" s="248"/>
      <c r="R26" s="227"/>
      <c r="S26" s="227"/>
      <c r="T26" s="227"/>
      <c r="U26" s="227"/>
      <c r="V26" s="227"/>
      <c r="W26" s="227"/>
      <c r="X26" s="230"/>
    </row>
    <row r="27" spans="1:24">
      <c r="A27" s="221"/>
      <c r="B27" s="222"/>
      <c r="C27" s="210"/>
      <c r="D27" s="214"/>
      <c r="E27" s="215"/>
      <c r="F27" s="216"/>
      <c r="G27" s="223" t="s">
        <v>40</v>
      </c>
      <c r="H27" s="223">
        <v>0</v>
      </c>
      <c r="I27" s="223">
        <v>0</v>
      </c>
      <c r="J27" s="223">
        <v>0</v>
      </c>
      <c r="K27" s="223">
        <v>0</v>
      </c>
      <c r="L27" s="223">
        <v>0</v>
      </c>
      <c r="M27" s="223">
        <v>0</v>
      </c>
      <c r="N27" s="223">
        <v>0</v>
      </c>
      <c r="O27" s="223">
        <f>SUM(H27:N28)</f>
        <v>0</v>
      </c>
      <c r="P27" s="106" t="s">
        <v>110</v>
      </c>
      <c r="Q27" s="236">
        <f>P28*O27</f>
        <v>0</v>
      </c>
      <c r="R27" s="227"/>
      <c r="S27" s="227"/>
      <c r="T27" s="227"/>
      <c r="U27" s="227"/>
      <c r="V27" s="227"/>
      <c r="W27" s="227"/>
      <c r="X27" s="230"/>
    </row>
    <row r="28" spans="1:24">
      <c r="A28" s="224"/>
      <c r="B28" s="225"/>
      <c r="C28" s="210"/>
      <c r="D28" s="217"/>
      <c r="E28" s="218"/>
      <c r="F28" s="219"/>
      <c r="G28" s="223"/>
      <c r="H28" s="223"/>
      <c r="I28" s="223"/>
      <c r="J28" s="223"/>
      <c r="K28" s="223"/>
      <c r="L28" s="223"/>
      <c r="M28" s="223"/>
      <c r="N28" s="223"/>
      <c r="O28" s="223"/>
      <c r="P28" s="104">
        <v>13</v>
      </c>
      <c r="Q28" s="237"/>
      <c r="R28" s="228"/>
      <c r="S28" s="228"/>
      <c r="T28" s="228"/>
      <c r="U28" s="228"/>
      <c r="V28" s="228"/>
      <c r="W28" s="228"/>
      <c r="X28" s="231"/>
    </row>
    <row r="29" spans="1:24" ht="14" customHeight="1">
      <c r="A29" s="208"/>
      <c r="B29" s="209"/>
      <c r="C29" s="210"/>
      <c r="D29" s="211" t="s">
        <v>123</v>
      </c>
      <c r="E29" s="212"/>
      <c r="F29" s="213"/>
      <c r="G29" s="220" t="s">
        <v>49</v>
      </c>
      <c r="H29" s="220"/>
      <c r="I29" s="220"/>
      <c r="J29" s="220"/>
      <c r="K29" s="220"/>
      <c r="L29" s="220"/>
      <c r="M29" s="220"/>
      <c r="N29" s="220"/>
      <c r="O29" s="232">
        <f>SUM(H29:N30)</f>
        <v>0</v>
      </c>
      <c r="P29" s="105" t="s">
        <v>110</v>
      </c>
      <c r="Q29" s="248"/>
      <c r="R29" s="226"/>
      <c r="S29" s="226"/>
      <c r="T29" s="226"/>
      <c r="U29" s="226"/>
      <c r="V29" s="226"/>
      <c r="W29" s="226"/>
      <c r="X29" s="229"/>
    </row>
    <row r="30" spans="1:24">
      <c r="A30" s="221"/>
      <c r="B30" s="222"/>
      <c r="C30" s="210"/>
      <c r="D30" s="214"/>
      <c r="E30" s="215"/>
      <c r="F30" s="216"/>
      <c r="G30" s="220"/>
      <c r="H30" s="220"/>
      <c r="I30" s="220"/>
      <c r="J30" s="220"/>
      <c r="K30" s="220"/>
      <c r="L30" s="220"/>
      <c r="M30" s="220"/>
      <c r="N30" s="220"/>
      <c r="O30" s="233"/>
      <c r="P30" s="103">
        <v>0</v>
      </c>
      <c r="Q30" s="248"/>
      <c r="R30" s="227"/>
      <c r="S30" s="227"/>
      <c r="T30" s="227"/>
      <c r="U30" s="227"/>
      <c r="V30" s="227"/>
      <c r="W30" s="227"/>
      <c r="X30" s="230"/>
    </row>
    <row r="31" spans="1:24">
      <c r="A31" s="221"/>
      <c r="B31" s="222"/>
      <c r="C31" s="210"/>
      <c r="D31" s="214"/>
      <c r="E31" s="215"/>
      <c r="F31" s="216"/>
      <c r="G31" s="223" t="s">
        <v>40</v>
      </c>
      <c r="H31" s="223">
        <v>0</v>
      </c>
      <c r="I31" s="234">
        <v>0</v>
      </c>
      <c r="J31" s="234">
        <v>0</v>
      </c>
      <c r="K31" s="234">
        <v>0</v>
      </c>
      <c r="L31" s="234">
        <v>0</v>
      </c>
      <c r="M31" s="234">
        <v>0</v>
      </c>
      <c r="N31" s="234">
        <v>0</v>
      </c>
      <c r="O31" s="223">
        <f>SUM(H31:N32)</f>
        <v>0</v>
      </c>
      <c r="P31" s="106" t="s">
        <v>110</v>
      </c>
      <c r="Q31" s="236">
        <f>P32*O31</f>
        <v>0</v>
      </c>
      <c r="R31" s="227"/>
      <c r="S31" s="227"/>
      <c r="T31" s="227"/>
      <c r="U31" s="227"/>
      <c r="V31" s="227"/>
      <c r="W31" s="227"/>
      <c r="X31" s="230"/>
    </row>
    <row r="32" spans="1:24">
      <c r="A32" s="224"/>
      <c r="B32" s="225"/>
      <c r="C32" s="210"/>
      <c r="D32" s="217"/>
      <c r="E32" s="218"/>
      <c r="F32" s="219"/>
      <c r="G32" s="223"/>
      <c r="H32" s="223"/>
      <c r="I32" s="235"/>
      <c r="J32" s="235"/>
      <c r="K32" s="235"/>
      <c r="L32" s="235"/>
      <c r="M32" s="235"/>
      <c r="N32" s="235"/>
      <c r="O32" s="223"/>
      <c r="P32" s="104">
        <v>13</v>
      </c>
      <c r="Q32" s="237"/>
      <c r="R32" s="228"/>
      <c r="S32" s="228"/>
      <c r="T32" s="228"/>
      <c r="U32" s="228"/>
      <c r="V32" s="228"/>
      <c r="W32" s="228"/>
      <c r="X32" s="231"/>
    </row>
    <row r="33" spans="1:24" ht="14" customHeight="1">
      <c r="A33" s="208"/>
      <c r="B33" s="209"/>
      <c r="C33" s="210"/>
      <c r="D33" s="211"/>
      <c r="E33" s="212"/>
      <c r="F33" s="213"/>
      <c r="G33" s="220"/>
      <c r="H33" s="220"/>
      <c r="I33" s="220"/>
      <c r="J33" s="220"/>
      <c r="K33" s="220"/>
      <c r="L33" s="220"/>
      <c r="M33" s="220"/>
      <c r="N33" s="220"/>
      <c r="O33" s="232">
        <f>SUM(H33:M34)</f>
        <v>0</v>
      </c>
      <c r="P33" s="105"/>
      <c r="Q33" s="220"/>
      <c r="R33" s="226"/>
      <c r="S33" s="226"/>
      <c r="T33" s="226"/>
      <c r="U33" s="226"/>
      <c r="V33" s="226"/>
      <c r="W33" s="226"/>
      <c r="X33" s="229"/>
    </row>
    <row r="34" spans="1:24">
      <c r="A34" s="221"/>
      <c r="B34" s="222"/>
      <c r="C34" s="210"/>
      <c r="D34" s="214"/>
      <c r="E34" s="215"/>
      <c r="F34" s="216"/>
      <c r="G34" s="220"/>
      <c r="H34" s="220"/>
      <c r="I34" s="220"/>
      <c r="J34" s="220"/>
      <c r="K34" s="220"/>
      <c r="L34" s="220"/>
      <c r="M34" s="220"/>
      <c r="N34" s="220"/>
      <c r="O34" s="233"/>
      <c r="P34" s="103"/>
      <c r="Q34" s="220"/>
      <c r="R34" s="227"/>
      <c r="S34" s="227"/>
      <c r="T34" s="227"/>
      <c r="U34" s="227"/>
      <c r="V34" s="227"/>
      <c r="W34" s="227"/>
      <c r="X34" s="230"/>
    </row>
    <row r="35" spans="1:24">
      <c r="A35" s="221"/>
      <c r="B35" s="222"/>
      <c r="C35" s="210"/>
      <c r="D35" s="214"/>
      <c r="E35" s="215"/>
      <c r="F35" s="216"/>
      <c r="G35" s="223"/>
      <c r="H35" s="223"/>
      <c r="I35" s="223"/>
      <c r="J35" s="223"/>
      <c r="K35" s="223"/>
      <c r="L35" s="223"/>
      <c r="M35" s="223"/>
      <c r="N35" s="223"/>
      <c r="O35" s="223">
        <f>SUM(H35:N36)</f>
        <v>0</v>
      </c>
      <c r="P35" s="106"/>
      <c r="Q35" s="237"/>
      <c r="R35" s="227"/>
      <c r="S35" s="227"/>
      <c r="T35" s="227"/>
      <c r="U35" s="227"/>
      <c r="V35" s="227"/>
      <c r="W35" s="227"/>
      <c r="X35" s="230"/>
    </row>
    <row r="36" spans="1:24">
      <c r="A36" s="224"/>
      <c r="B36" s="225"/>
      <c r="C36" s="210"/>
      <c r="D36" s="217"/>
      <c r="E36" s="218"/>
      <c r="F36" s="219"/>
      <c r="G36" s="223"/>
      <c r="H36" s="223"/>
      <c r="I36" s="223"/>
      <c r="J36" s="223"/>
      <c r="K36" s="223"/>
      <c r="L36" s="223"/>
      <c r="M36" s="223"/>
      <c r="N36" s="223"/>
      <c r="O36" s="223"/>
      <c r="P36" s="104"/>
      <c r="Q36" s="237"/>
      <c r="R36" s="228"/>
      <c r="S36" s="228"/>
      <c r="T36" s="228"/>
      <c r="U36" s="228"/>
      <c r="V36" s="228"/>
      <c r="W36" s="228"/>
      <c r="X36" s="231"/>
    </row>
    <row r="37" spans="1:24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</row>
    <row r="38" spans="1:24" ht="15.75" customHeight="1">
      <c r="A38" s="18" t="s">
        <v>58</v>
      </c>
      <c r="B38" s="101">
        <f>N10</f>
        <v>42407</v>
      </c>
      <c r="C38" s="20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 t="s">
        <v>82</v>
      </c>
      <c r="R38" s="18"/>
      <c r="S38" s="18"/>
      <c r="T38" s="18"/>
      <c r="U38" s="3"/>
      <c r="V38" s="3"/>
      <c r="W38" s="3"/>
    </row>
    <row r="39" spans="1:24" ht="18.75" customHeight="1">
      <c r="A39" s="29" t="s">
        <v>59</v>
      </c>
      <c r="B39" s="35" t="s">
        <v>83</v>
      </c>
      <c r="C39" s="31"/>
      <c r="D39" s="31"/>
      <c r="E39" s="31"/>
      <c r="F39" s="31"/>
      <c r="G39" s="31"/>
      <c r="H39" s="96" t="s">
        <v>75</v>
      </c>
      <c r="I39" s="96"/>
      <c r="J39" s="96"/>
      <c r="K39" s="27"/>
      <c r="L39" s="27"/>
      <c r="M39" s="25"/>
      <c r="N39" s="25"/>
      <c r="O39" s="25"/>
      <c r="P39" s="18"/>
      <c r="Q39" s="13" t="s">
        <v>90</v>
      </c>
      <c r="S39" s="18"/>
      <c r="T39" s="18"/>
      <c r="U39" s="3"/>
      <c r="V39" s="3"/>
      <c r="W39" s="3"/>
    </row>
    <row r="40" spans="1:24" ht="14.25" customHeight="1">
      <c r="A40" s="29"/>
      <c r="B40" s="21" t="s">
        <v>62</v>
      </c>
      <c r="C40" s="21"/>
      <c r="D40" s="21"/>
      <c r="E40" s="21"/>
      <c r="F40" s="31"/>
      <c r="G40" s="58"/>
      <c r="H40" s="21" t="s">
        <v>63</v>
      </c>
      <c r="I40" s="58"/>
      <c r="J40" s="21"/>
      <c r="K40" s="21"/>
      <c r="L40" s="24"/>
      <c r="M40" s="24"/>
      <c r="N40" s="24"/>
      <c r="O40" s="25"/>
      <c r="P40" s="17" t="s">
        <v>10</v>
      </c>
      <c r="R40" s="18"/>
      <c r="S40" s="18"/>
      <c r="T40" s="3"/>
      <c r="U40" s="3"/>
      <c r="V40" s="3"/>
    </row>
    <row r="41" spans="1:24" ht="12" customHeight="1">
      <c r="A41" s="17"/>
      <c r="F41" s="23"/>
      <c r="L41" s="95"/>
      <c r="M41" s="18"/>
      <c r="N41" s="18"/>
      <c r="O41" s="18"/>
      <c r="P41" s="18" t="s">
        <v>11</v>
      </c>
      <c r="R41" s="18"/>
      <c r="S41" s="18"/>
      <c r="T41" s="3"/>
      <c r="U41" s="3"/>
      <c r="V41" s="3"/>
    </row>
    <row r="42" spans="1:24" ht="12" customHeight="1">
      <c r="A42" s="17" t="s">
        <v>60</v>
      </c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 t="s">
        <v>12</v>
      </c>
      <c r="R42" s="18"/>
      <c r="S42" s="18"/>
      <c r="T42" s="3"/>
      <c r="U42" s="3"/>
      <c r="V42" s="3"/>
    </row>
    <row r="43" spans="1:24" ht="12" customHeight="1">
      <c r="A43" s="18"/>
      <c r="B43" s="18" t="s">
        <v>61</v>
      </c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25" t="s">
        <v>13</v>
      </c>
      <c r="R43" s="25"/>
      <c r="S43" s="25"/>
      <c r="T43" s="34"/>
      <c r="U43" s="34"/>
      <c r="V43" s="34"/>
    </row>
    <row r="44" spans="1:24" s="19" customFormat="1" ht="16.5" customHeight="1">
      <c r="A44" s="29"/>
      <c r="B44" s="25"/>
      <c r="C44" s="31" t="str">
        <f>C50</f>
        <v>Evankoff LLC</v>
      </c>
      <c r="D44" s="36"/>
      <c r="E44" s="36"/>
      <c r="F44" s="25"/>
      <c r="G44" s="25"/>
      <c r="H44" s="25"/>
      <c r="I44" s="25"/>
      <c r="J44" s="25"/>
      <c r="K44" s="25"/>
      <c r="L44" s="25"/>
      <c r="M44" s="25"/>
      <c r="N44" s="25"/>
      <c r="O44" s="25" t="s">
        <v>64</v>
      </c>
      <c r="P44" s="25"/>
    </row>
    <row r="45" spans="1:24">
      <c r="A45" s="24"/>
      <c r="B45" s="24"/>
      <c r="C45" s="24" t="s">
        <v>65</v>
      </c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5"/>
      <c r="P45" s="25"/>
      <c r="Q45" s="36" t="s">
        <v>16</v>
      </c>
      <c r="S45" s="19"/>
      <c r="T45" s="19"/>
      <c r="U45" s="19"/>
    </row>
    <row r="46" spans="1:24" s="19" customFormat="1" ht="15" thickBot="1">
      <c r="A46" s="31" t="s">
        <v>105</v>
      </c>
      <c r="B46" s="31"/>
      <c r="C46" s="31"/>
      <c r="D46" s="31"/>
      <c r="E46" s="31"/>
      <c r="F46" s="31"/>
      <c r="G46" s="25" t="s">
        <v>67</v>
      </c>
      <c r="H46" s="25"/>
      <c r="I46" s="25"/>
      <c r="J46" s="25"/>
      <c r="K46" s="25"/>
      <c r="L46" s="25"/>
      <c r="M46" s="25"/>
      <c r="N46" s="25"/>
      <c r="O46" s="25"/>
      <c r="P46" s="25"/>
      <c r="Q46" s="25"/>
    </row>
    <row r="47" spans="1:24">
      <c r="A47" s="24"/>
      <c r="B47" s="24" t="s">
        <v>66</v>
      </c>
      <c r="C47" s="24"/>
      <c r="D47" s="24"/>
      <c r="E47" s="24"/>
      <c r="F47" s="24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94"/>
      <c r="R47" s="70" t="s">
        <v>14</v>
      </c>
      <c r="S47" s="71"/>
      <c r="T47" s="72"/>
      <c r="U47" s="37"/>
      <c r="V47" s="73" t="s">
        <v>15</v>
      </c>
      <c r="W47" s="74" t="s">
        <v>93</v>
      </c>
      <c r="X47" s="75"/>
    </row>
    <row r="48" spans="1:24">
      <c r="A48" s="99">
        <f>H10</f>
        <v>42401</v>
      </c>
      <c r="B48" s="26" t="s">
        <v>68</v>
      </c>
      <c r="C48" s="244">
        <f>F7</f>
        <v>42407</v>
      </c>
      <c r="D48" s="244"/>
      <c r="E48" s="98"/>
      <c r="F48" s="33" t="s">
        <v>73</v>
      </c>
      <c r="J48" s="32"/>
      <c r="L48" s="25"/>
      <c r="M48" s="25"/>
      <c r="N48" s="25"/>
      <c r="O48" s="25"/>
      <c r="P48" s="25"/>
      <c r="Q48" s="76"/>
      <c r="R48" s="77"/>
      <c r="S48" s="77"/>
      <c r="T48" s="78"/>
      <c r="U48" s="79"/>
      <c r="V48" s="80"/>
      <c r="W48" s="80"/>
      <c r="X48" s="81"/>
    </row>
    <row r="49" spans="1:24" ht="14.25" customHeight="1" thickBot="1">
      <c r="A49" s="24" t="s">
        <v>74</v>
      </c>
      <c r="B49" s="25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5"/>
      <c r="Q49" s="82"/>
      <c r="R49" s="83"/>
      <c r="S49" s="83"/>
      <c r="T49" s="84"/>
      <c r="U49" s="85"/>
      <c r="V49" s="86"/>
      <c r="W49" s="86"/>
      <c r="X49" s="87"/>
    </row>
    <row r="50" spans="1:24" ht="18.75" customHeight="1">
      <c r="A50" s="25"/>
      <c r="B50" s="25"/>
      <c r="C50" s="31" t="str">
        <f>A5</f>
        <v>Evankoff LLC</v>
      </c>
      <c r="D50" s="25"/>
      <c r="E50" s="25"/>
      <c r="F50" s="25"/>
      <c r="G50" s="25"/>
      <c r="H50" s="25"/>
      <c r="I50" s="25"/>
      <c r="J50" s="25"/>
      <c r="K50" s="25"/>
      <c r="L50" s="25"/>
      <c r="M50" s="25" t="s">
        <v>69</v>
      </c>
      <c r="N50" s="25"/>
      <c r="O50" s="25"/>
      <c r="P50" s="25"/>
      <c r="Q50" s="107" t="s">
        <v>94</v>
      </c>
      <c r="R50" s="108"/>
      <c r="S50" s="240" t="s">
        <v>97</v>
      </c>
      <c r="T50" s="240"/>
      <c r="U50" s="240"/>
      <c r="V50" s="240"/>
      <c r="W50" s="240"/>
      <c r="X50" s="241"/>
    </row>
    <row r="51" spans="1:24">
      <c r="A51" s="24"/>
      <c r="B51" s="24"/>
      <c r="C51" s="24" t="s">
        <v>65</v>
      </c>
      <c r="D51" s="24"/>
      <c r="E51" s="24"/>
      <c r="F51" s="24"/>
      <c r="G51" s="24"/>
      <c r="H51" s="24"/>
      <c r="I51" s="24"/>
      <c r="J51" s="24"/>
      <c r="K51" s="24"/>
      <c r="L51" s="24"/>
      <c r="M51" s="25"/>
      <c r="N51" s="25"/>
      <c r="O51" s="25"/>
      <c r="P51" s="25"/>
      <c r="Q51" s="109"/>
      <c r="R51" s="110"/>
      <c r="S51" s="242"/>
      <c r="T51" s="242"/>
      <c r="U51" s="242"/>
      <c r="V51" s="242"/>
      <c r="W51" s="242"/>
      <c r="X51" s="243"/>
    </row>
    <row r="52" spans="1:24" ht="12.75" customHeight="1" thickBot="1">
      <c r="A52" s="25" t="s">
        <v>70</v>
      </c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39"/>
      <c r="R52" s="88"/>
      <c r="S52" s="88"/>
      <c r="T52" s="89"/>
      <c r="U52" s="41"/>
      <c r="V52" s="40"/>
      <c r="W52" s="40"/>
      <c r="X52" s="42"/>
    </row>
    <row r="53" spans="1:24" ht="12.75" customHeight="1">
      <c r="A53" s="25" t="s">
        <v>71</v>
      </c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107" t="s">
        <v>94</v>
      </c>
      <c r="R53" s="108"/>
      <c r="S53" s="240" t="s">
        <v>95</v>
      </c>
      <c r="T53" s="240"/>
      <c r="U53" s="240"/>
      <c r="V53" s="240"/>
      <c r="W53" s="240"/>
      <c r="X53" s="241"/>
    </row>
    <row r="54" spans="1:24" ht="12.75" customHeight="1">
      <c r="A54" s="25" t="s">
        <v>72</v>
      </c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109"/>
      <c r="R54" s="110"/>
      <c r="S54" s="242"/>
      <c r="T54" s="242"/>
      <c r="U54" s="242"/>
      <c r="V54" s="242"/>
      <c r="W54" s="242"/>
      <c r="X54" s="243"/>
    </row>
    <row r="55" spans="1:24" ht="12.75" customHeight="1" thickBot="1">
      <c r="A55" s="25" t="s">
        <v>0</v>
      </c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43"/>
      <c r="R55" s="44"/>
      <c r="S55" s="44"/>
      <c r="T55" s="44"/>
      <c r="U55" s="45"/>
      <c r="V55" s="46"/>
      <c r="W55" s="46"/>
      <c r="X55" s="47"/>
    </row>
    <row r="56" spans="1:24" ht="18" customHeight="1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48"/>
      <c r="R56" s="49"/>
      <c r="S56" s="49"/>
      <c r="T56" s="49"/>
      <c r="U56" s="50"/>
      <c r="V56" s="51"/>
      <c r="W56" s="51"/>
      <c r="X56" s="52"/>
    </row>
    <row r="57" spans="1:24" ht="18" customHeight="1" thickBot="1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5"/>
      <c r="Q57" s="53"/>
      <c r="R57" s="54"/>
      <c r="S57" s="54"/>
      <c r="T57" s="54"/>
      <c r="U57" s="55"/>
      <c r="V57" s="10"/>
      <c r="W57" s="10"/>
      <c r="X57" s="56"/>
    </row>
    <row r="58" spans="1:24" ht="18" customHeight="1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5"/>
      <c r="Q58" s="48"/>
      <c r="R58" s="49"/>
      <c r="S58" s="49"/>
      <c r="T58" s="49"/>
      <c r="U58" s="50"/>
      <c r="V58" s="51"/>
      <c r="W58" s="51"/>
      <c r="X58" s="52"/>
    </row>
    <row r="59" spans="1:24" ht="21" customHeight="1" thickBot="1">
      <c r="A59" s="24"/>
      <c r="B59" s="28" t="s">
        <v>2</v>
      </c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5"/>
      <c r="Q59" s="53"/>
      <c r="R59" s="54"/>
      <c r="S59" s="54"/>
      <c r="T59" s="54"/>
      <c r="U59" s="55"/>
      <c r="V59" s="10"/>
      <c r="W59" s="10"/>
      <c r="X59" s="56"/>
    </row>
    <row r="60" spans="1:24" ht="12" customHeight="1">
      <c r="A60" s="30" t="s">
        <v>3</v>
      </c>
      <c r="B60" s="30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5"/>
      <c r="Q60" s="48" t="s">
        <v>17</v>
      </c>
      <c r="R60" s="49"/>
      <c r="S60" s="49"/>
      <c r="T60" s="49"/>
      <c r="U60" s="49"/>
      <c r="V60" s="51"/>
      <c r="W60" s="51"/>
      <c r="X60" s="52"/>
    </row>
    <row r="61" spans="1:24" ht="12" customHeight="1">
      <c r="A61" s="27" t="s">
        <v>4</v>
      </c>
      <c r="B61" s="30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5"/>
      <c r="Q61" s="111" t="s">
        <v>96</v>
      </c>
      <c r="R61" s="44"/>
      <c r="S61" s="44"/>
      <c r="T61" s="44"/>
      <c r="U61" s="44"/>
      <c r="V61" s="46"/>
      <c r="W61" s="46"/>
      <c r="X61" s="47"/>
    </row>
    <row r="62" spans="1:24" ht="12" customHeight="1">
      <c r="A62" s="27" t="s">
        <v>5</v>
      </c>
      <c r="B62" s="30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5"/>
      <c r="Q62" s="121"/>
      <c r="R62" s="122"/>
      <c r="S62" s="44"/>
      <c r="T62" s="44"/>
      <c r="U62" s="44"/>
      <c r="V62" s="46"/>
      <c r="W62" s="46"/>
      <c r="X62" s="47"/>
    </row>
    <row r="63" spans="1:24" ht="12" customHeight="1">
      <c r="A63" s="27"/>
      <c r="B63" s="30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5"/>
      <c r="Q63" s="121"/>
      <c r="R63" s="122"/>
      <c r="S63" s="44"/>
      <c r="T63" s="44"/>
      <c r="U63" s="44"/>
      <c r="V63" s="46"/>
      <c r="W63" s="46"/>
      <c r="X63" s="47"/>
    </row>
    <row r="64" spans="1:24" ht="12" customHeight="1">
      <c r="A64" s="29" t="s">
        <v>7</v>
      </c>
      <c r="B64" s="29" t="s">
        <v>6</v>
      </c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121"/>
      <c r="R64" s="122"/>
      <c r="S64" s="44"/>
      <c r="T64" s="44"/>
      <c r="U64" s="44"/>
      <c r="V64" s="46"/>
      <c r="W64" s="46"/>
      <c r="X64" s="47"/>
    </row>
    <row r="65" spans="1:24" ht="12" customHeight="1">
      <c r="A65" s="25" t="s">
        <v>8</v>
      </c>
      <c r="B65" s="29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43"/>
      <c r="R65" s="44"/>
      <c r="S65" s="44"/>
      <c r="T65" s="44"/>
      <c r="U65" s="44"/>
      <c r="V65" s="46"/>
      <c r="W65" s="46"/>
      <c r="X65" s="47"/>
    </row>
    <row r="66" spans="1:24" ht="12" customHeight="1">
      <c r="A66" s="25" t="s">
        <v>9</v>
      </c>
      <c r="B66" s="29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43"/>
      <c r="R66" s="44"/>
      <c r="S66" s="44"/>
      <c r="T66" s="44"/>
      <c r="U66" s="44"/>
      <c r="V66" s="46"/>
      <c r="W66" s="46"/>
      <c r="X66" s="47"/>
    </row>
    <row r="67" spans="1:24" ht="12" customHeight="1" thickBot="1">
      <c r="A67" s="25"/>
      <c r="B67" s="29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53"/>
      <c r="R67" s="54"/>
      <c r="S67" s="54"/>
      <c r="T67" s="54"/>
      <c r="U67" s="54"/>
      <c r="V67" s="10"/>
      <c r="W67" s="10"/>
      <c r="X67" s="56"/>
    </row>
    <row r="68" spans="1:24" ht="12" customHeight="1">
      <c r="A68" s="25"/>
      <c r="B68" s="25" t="s">
        <v>57</v>
      </c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</row>
    <row r="69" spans="1:24" ht="12" customHeight="1">
      <c r="A69" s="25"/>
      <c r="B69" s="25" t="s">
        <v>1</v>
      </c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12" t="s">
        <v>50</v>
      </c>
      <c r="R69" s="22"/>
      <c r="S69" s="22"/>
      <c r="T69" s="67"/>
      <c r="U69" s="57" t="s">
        <v>51</v>
      </c>
      <c r="V69" s="58"/>
      <c r="W69" s="58"/>
      <c r="X69" s="59"/>
    </row>
    <row r="70" spans="1:24" ht="11.25" customHeight="1">
      <c r="A70" s="25"/>
      <c r="B70" s="25" t="s">
        <v>81</v>
      </c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63"/>
      <c r="T70" s="68"/>
      <c r="U70" s="61"/>
      <c r="V70" s="38"/>
      <c r="W70" s="38"/>
      <c r="X70" s="60"/>
    </row>
    <row r="71" spans="1:24" ht="13.5" customHeight="1">
      <c r="A71" s="25"/>
      <c r="B71" s="97" t="s">
        <v>80</v>
      </c>
      <c r="C71" s="29" t="s">
        <v>76</v>
      </c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93" t="str">
        <f>B39</f>
        <v>Eric Coffie</v>
      </c>
      <c r="R71" s="90"/>
      <c r="S71" s="90" t="str">
        <f>H39</f>
        <v>President</v>
      </c>
      <c r="T71" s="68"/>
      <c r="U71" s="61"/>
      <c r="V71" s="38"/>
      <c r="W71" s="38"/>
      <c r="X71" s="60"/>
    </row>
    <row r="72" spans="1:24" ht="10.5" customHeight="1">
      <c r="A72" s="19"/>
      <c r="B72" s="25"/>
      <c r="C72" s="25" t="s">
        <v>77</v>
      </c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19"/>
      <c r="Q72" s="91"/>
      <c r="R72" s="92"/>
      <c r="S72" s="92"/>
      <c r="T72" s="69"/>
      <c r="U72" s="62"/>
      <c r="V72" s="116"/>
      <c r="W72" s="116"/>
      <c r="X72" s="117"/>
    </row>
    <row r="73" spans="1:24" ht="10.5" customHeight="1">
      <c r="A73" s="19"/>
      <c r="B73" s="19"/>
      <c r="C73" s="25" t="s">
        <v>78</v>
      </c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</row>
    <row r="74" spans="1:24" ht="10.5" customHeight="1">
      <c r="B74" s="19"/>
      <c r="C74" s="25" t="s">
        <v>79</v>
      </c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Q74" s="64" t="s">
        <v>86</v>
      </c>
      <c r="R74" s="58"/>
      <c r="S74" s="58"/>
      <c r="T74" s="58"/>
      <c r="U74" s="58"/>
      <c r="V74" s="58"/>
      <c r="W74" s="58"/>
      <c r="X74" s="59"/>
    </row>
    <row r="75" spans="1:24" ht="10.5" customHeight="1">
      <c r="Q75" s="66" t="s">
        <v>87</v>
      </c>
      <c r="R75" s="38"/>
      <c r="S75" s="38"/>
      <c r="T75" s="38"/>
      <c r="U75" s="38"/>
      <c r="V75" s="38"/>
      <c r="W75" s="38"/>
      <c r="X75" s="60"/>
    </row>
    <row r="76" spans="1:24" ht="10.5" customHeight="1">
      <c r="Q76" s="66" t="s">
        <v>88</v>
      </c>
      <c r="R76" s="38"/>
      <c r="S76" s="38"/>
      <c r="T76" s="38"/>
      <c r="U76" s="38"/>
      <c r="V76" s="38"/>
      <c r="W76" s="38"/>
      <c r="X76" s="60"/>
    </row>
    <row r="77" spans="1:24" ht="10.5" customHeight="1">
      <c r="Q77" s="65" t="s">
        <v>89</v>
      </c>
      <c r="R77" s="116"/>
      <c r="S77" s="116"/>
      <c r="T77" s="116"/>
      <c r="U77" s="116"/>
      <c r="V77" s="116"/>
      <c r="W77" s="116"/>
      <c r="X77" s="117"/>
    </row>
  </sheetData>
  <mergeCells count="235">
    <mergeCell ref="S50:X51"/>
    <mergeCell ref="S53:X54"/>
    <mergeCell ref="M35:M36"/>
    <mergeCell ref="N35:N36"/>
    <mergeCell ref="O35:O36"/>
    <mergeCell ref="Q35:Q36"/>
    <mergeCell ref="A36:B36"/>
    <mergeCell ref="C48:D48"/>
    <mergeCell ref="W33:W36"/>
    <mergeCell ref="X33:X36"/>
    <mergeCell ref="A34:B34"/>
    <mergeCell ref="A35:B35"/>
    <mergeCell ref="G35:G36"/>
    <mergeCell ref="H35:H36"/>
    <mergeCell ref="I35:I36"/>
    <mergeCell ref="J35:J36"/>
    <mergeCell ref="K35:K36"/>
    <mergeCell ref="L35:L36"/>
    <mergeCell ref="Q33:Q34"/>
    <mergeCell ref="R33:R36"/>
    <mergeCell ref="S33:S36"/>
    <mergeCell ref="T33:T36"/>
    <mergeCell ref="U33:U36"/>
    <mergeCell ref="V33:V36"/>
    <mergeCell ref="J33:J34"/>
    <mergeCell ref="K33:K34"/>
    <mergeCell ref="L33:L34"/>
    <mergeCell ref="M33:M34"/>
    <mergeCell ref="N33:N34"/>
    <mergeCell ref="O33:O34"/>
    <mergeCell ref="A33:B33"/>
    <mergeCell ref="C33:C36"/>
    <mergeCell ref="D33:F36"/>
    <mergeCell ref="G33:G34"/>
    <mergeCell ref="H33:H34"/>
    <mergeCell ref="I33:I34"/>
    <mergeCell ref="V29:V32"/>
    <mergeCell ref="W29:W32"/>
    <mergeCell ref="X29:X32"/>
    <mergeCell ref="A30:B30"/>
    <mergeCell ref="A31:B31"/>
    <mergeCell ref="G31:G32"/>
    <mergeCell ref="H31:H32"/>
    <mergeCell ref="I31:I32"/>
    <mergeCell ref="J31:J32"/>
    <mergeCell ref="K31:K32"/>
    <mergeCell ref="O29:O30"/>
    <mergeCell ref="Q29:Q30"/>
    <mergeCell ref="R29:R32"/>
    <mergeCell ref="S29:S32"/>
    <mergeCell ref="T29:T32"/>
    <mergeCell ref="U29:U32"/>
    <mergeCell ref="I29:I30"/>
    <mergeCell ref="J29:J30"/>
    <mergeCell ref="K29:K30"/>
    <mergeCell ref="L29:L30"/>
    <mergeCell ref="M29:M30"/>
    <mergeCell ref="N29:N30"/>
    <mergeCell ref="M27:M28"/>
    <mergeCell ref="N27:N28"/>
    <mergeCell ref="O27:O28"/>
    <mergeCell ref="Q27:Q28"/>
    <mergeCell ref="A28:B28"/>
    <mergeCell ref="A29:B29"/>
    <mergeCell ref="C29:C32"/>
    <mergeCell ref="D29:F32"/>
    <mergeCell ref="G29:G30"/>
    <mergeCell ref="H29:H30"/>
    <mergeCell ref="D25:F28"/>
    <mergeCell ref="G25:G26"/>
    <mergeCell ref="H25:H26"/>
    <mergeCell ref="I25:I26"/>
    <mergeCell ref="L31:L32"/>
    <mergeCell ref="M31:M32"/>
    <mergeCell ref="N31:N32"/>
    <mergeCell ref="O31:O32"/>
    <mergeCell ref="Q31:Q32"/>
    <mergeCell ref="A32:B32"/>
    <mergeCell ref="W25:W28"/>
    <mergeCell ref="X25:X28"/>
    <mergeCell ref="A26:B26"/>
    <mergeCell ref="A27:B27"/>
    <mergeCell ref="G27:G28"/>
    <mergeCell ref="H27:H28"/>
    <mergeCell ref="I27:I28"/>
    <mergeCell ref="J27:J28"/>
    <mergeCell ref="K27:K28"/>
    <mergeCell ref="L27:L28"/>
    <mergeCell ref="Q25:Q26"/>
    <mergeCell ref="R25:R28"/>
    <mergeCell ref="S25:S28"/>
    <mergeCell ref="T25:T28"/>
    <mergeCell ref="U25:U28"/>
    <mergeCell ref="V25:V28"/>
    <mergeCell ref="J25:J26"/>
    <mergeCell ref="K25:K26"/>
    <mergeCell ref="L25:L26"/>
    <mergeCell ref="M25:M26"/>
    <mergeCell ref="N25:N26"/>
    <mergeCell ref="O25:O26"/>
    <mergeCell ref="A25:B25"/>
    <mergeCell ref="C25:C28"/>
    <mergeCell ref="V21:V24"/>
    <mergeCell ref="W21:W24"/>
    <mergeCell ref="X21:X24"/>
    <mergeCell ref="A22:B22"/>
    <mergeCell ref="A23:B23"/>
    <mergeCell ref="G23:G24"/>
    <mergeCell ref="H23:H24"/>
    <mergeCell ref="I23:I24"/>
    <mergeCell ref="J23:J24"/>
    <mergeCell ref="K23:K24"/>
    <mergeCell ref="O21:O22"/>
    <mergeCell ref="Q21:Q22"/>
    <mergeCell ref="R21:R24"/>
    <mergeCell ref="S21:S24"/>
    <mergeCell ref="T21:T24"/>
    <mergeCell ref="U21:U24"/>
    <mergeCell ref="I21:I22"/>
    <mergeCell ref="J21:J22"/>
    <mergeCell ref="Q19:Q20"/>
    <mergeCell ref="A20:B20"/>
    <mergeCell ref="A21:B21"/>
    <mergeCell ref="C21:C24"/>
    <mergeCell ref="D21:F24"/>
    <mergeCell ref="G21:G22"/>
    <mergeCell ref="H21:H22"/>
    <mergeCell ref="L23:L24"/>
    <mergeCell ref="M23:M24"/>
    <mergeCell ref="N23:N24"/>
    <mergeCell ref="O23:O24"/>
    <mergeCell ref="Q23:Q24"/>
    <mergeCell ref="A24:B24"/>
    <mergeCell ref="L17:L18"/>
    <mergeCell ref="M17:M18"/>
    <mergeCell ref="N17:N18"/>
    <mergeCell ref="O17:O18"/>
    <mergeCell ref="K21:K22"/>
    <mergeCell ref="L21:L22"/>
    <mergeCell ref="M21:M22"/>
    <mergeCell ref="N21:N22"/>
    <mergeCell ref="M19:M20"/>
    <mergeCell ref="N19:N20"/>
    <mergeCell ref="O19:O20"/>
    <mergeCell ref="A17:B17"/>
    <mergeCell ref="C17:C20"/>
    <mergeCell ref="D17:F20"/>
    <mergeCell ref="G17:G18"/>
    <mergeCell ref="H17:H18"/>
    <mergeCell ref="I17:I18"/>
    <mergeCell ref="W17:W20"/>
    <mergeCell ref="X17:X20"/>
    <mergeCell ref="A18:B18"/>
    <mergeCell ref="A19:B19"/>
    <mergeCell ref="G19:G20"/>
    <mergeCell ref="H19:H20"/>
    <mergeCell ref="I19:I20"/>
    <mergeCell ref="J19:J20"/>
    <mergeCell ref="K19:K20"/>
    <mergeCell ref="L19:L20"/>
    <mergeCell ref="Q17:Q18"/>
    <mergeCell ref="R17:R20"/>
    <mergeCell ref="S17:S20"/>
    <mergeCell ref="T17:T20"/>
    <mergeCell ref="U17:U20"/>
    <mergeCell ref="V17:V20"/>
    <mergeCell ref="J17:J18"/>
    <mergeCell ref="K17:K18"/>
    <mergeCell ref="X13:X16"/>
    <mergeCell ref="A14:B14"/>
    <mergeCell ref="A15:B15"/>
    <mergeCell ref="G15:G16"/>
    <mergeCell ref="H15:H16"/>
    <mergeCell ref="I15:I16"/>
    <mergeCell ref="J15:J16"/>
    <mergeCell ref="K15:K16"/>
    <mergeCell ref="L15:L16"/>
    <mergeCell ref="M15:M16"/>
    <mergeCell ref="R13:R16"/>
    <mergeCell ref="S13:S16"/>
    <mergeCell ref="T13:T16"/>
    <mergeCell ref="U13:U16"/>
    <mergeCell ref="V13:V16"/>
    <mergeCell ref="W13:W16"/>
    <mergeCell ref="K13:K14"/>
    <mergeCell ref="L13:L14"/>
    <mergeCell ref="M13:M14"/>
    <mergeCell ref="N13:N14"/>
    <mergeCell ref="O13:O14"/>
    <mergeCell ref="Q13:Q14"/>
    <mergeCell ref="N15:N16"/>
    <mergeCell ref="O15:O16"/>
    <mergeCell ref="A13:B13"/>
    <mergeCell ref="C13:C16"/>
    <mergeCell ref="D13:F16"/>
    <mergeCell ref="G13:G14"/>
    <mergeCell ref="H13:H14"/>
    <mergeCell ref="I13:I14"/>
    <mergeCell ref="J13:J14"/>
    <mergeCell ref="P10:P12"/>
    <mergeCell ref="Q10:Q12"/>
    <mergeCell ref="Q15:Q16"/>
    <mergeCell ref="A16:B16"/>
    <mergeCell ref="A6:D6"/>
    <mergeCell ref="F6:N6"/>
    <mergeCell ref="A7:D7"/>
    <mergeCell ref="F7:N7"/>
    <mergeCell ref="O7:S7"/>
    <mergeCell ref="T7:X7"/>
    <mergeCell ref="A8:B8"/>
    <mergeCell ref="D8:F8"/>
    <mergeCell ref="G8:G12"/>
    <mergeCell ref="H8:N8"/>
    <mergeCell ref="R8:W9"/>
    <mergeCell ref="X8:X12"/>
    <mergeCell ref="A9:B12"/>
    <mergeCell ref="C9:C12"/>
    <mergeCell ref="D9:F12"/>
    <mergeCell ref="O10:O12"/>
    <mergeCell ref="V10:V12"/>
    <mergeCell ref="W10:W12"/>
    <mergeCell ref="H12:N12"/>
    <mergeCell ref="R10:R12"/>
    <mergeCell ref="S10:S12"/>
    <mergeCell ref="T10:T12"/>
    <mergeCell ref="U10:U12"/>
    <mergeCell ref="A1:D3"/>
    <mergeCell ref="F1:U3"/>
    <mergeCell ref="A4:C4"/>
    <mergeCell ref="D4:G4"/>
    <mergeCell ref="H4:N4"/>
    <mergeCell ref="O4:V4"/>
    <mergeCell ref="W4:X5"/>
    <mergeCell ref="A5:N5"/>
    <mergeCell ref="O5:V5"/>
  </mergeCells>
  <phoneticPr fontId="11" type="noConversion"/>
  <pageMargins left="0.7" right="0.7" top="0.75" bottom="0.75" header="0.3" footer="0.3"/>
  <pageSetup scale="77" orientation="landscape" horizontalDpi="4294967292" verticalDpi="4294967292"/>
  <rowBreaks count="1" manualBreakCount="1">
    <brk id="36" max="16383" man="1"/>
  </rowBreaks>
  <colBreaks count="1" manualBreakCount="1">
    <brk id="24" max="1048575" man="1"/>
  </colBreaks>
  <extLst>
    <ext xmlns:mx="http://schemas.microsoft.com/office/mac/excel/2008/main" uri="{64002731-A6B0-56B0-2670-7721B7C09600}">
      <mx:PLV Mode="1" OnePage="0" WScale="77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77"/>
  <sheetViews>
    <sheetView view="pageLayout" zoomScaleNormal="125" zoomScalePageLayoutView="125" workbookViewId="0">
      <selection activeCell="D8" sqref="D8:F8"/>
    </sheetView>
  </sheetViews>
  <sheetFormatPr baseColWidth="10" defaultColWidth="8.83203125" defaultRowHeight="14" x14ac:dyDescent="0"/>
  <cols>
    <col min="1" max="1" width="10.33203125" customWidth="1"/>
    <col min="2" max="2" width="11.1640625" customWidth="1"/>
    <col min="3" max="3" width="5" customWidth="1"/>
    <col min="4" max="4" width="5.1640625" customWidth="1"/>
    <col min="5" max="5" width="4.6640625" customWidth="1"/>
    <col min="6" max="6" width="4.83203125" customWidth="1"/>
    <col min="7" max="7" width="3.6640625" customWidth="1"/>
    <col min="8" max="8" width="5" customWidth="1"/>
    <col min="9" max="9" width="4.6640625" customWidth="1"/>
    <col min="10" max="11" width="5.33203125" customWidth="1"/>
    <col min="12" max="12" width="4.83203125" customWidth="1"/>
    <col min="13" max="13" width="5.5" customWidth="1"/>
    <col min="14" max="14" width="5.1640625" customWidth="1"/>
    <col min="16" max="17" width="9.83203125" bestFit="1" customWidth="1"/>
    <col min="18" max="18" width="7.6640625" customWidth="1"/>
    <col min="19" max="19" width="9.5" customWidth="1"/>
    <col min="20" max="20" width="6" hidden="1" customWidth="1"/>
    <col min="21" max="21" width="4.33203125" hidden="1" customWidth="1"/>
    <col min="22" max="22" width="7.6640625" hidden="1" customWidth="1"/>
    <col min="23" max="23" width="9.33203125" customWidth="1"/>
    <col min="24" max="24" width="12.6640625" customWidth="1"/>
  </cols>
  <sheetData>
    <row r="1" spans="1:24" ht="15" customHeight="1">
      <c r="A1" s="149" t="s">
        <v>22</v>
      </c>
      <c r="B1" s="149"/>
      <c r="C1" s="149"/>
      <c r="D1" s="149"/>
      <c r="E1" s="118"/>
      <c r="F1" s="151" t="s">
        <v>55</v>
      </c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9"/>
      <c r="W1" s="9"/>
      <c r="X1" s="9"/>
    </row>
    <row r="2" spans="1:24">
      <c r="A2" s="149"/>
      <c r="B2" s="149"/>
      <c r="C2" s="149"/>
      <c r="D2" s="149"/>
      <c r="E2" s="118"/>
      <c r="F2" s="151"/>
      <c r="G2" s="151"/>
      <c r="H2" s="151"/>
      <c r="I2" s="151"/>
      <c r="J2" s="151"/>
      <c r="K2" s="151"/>
      <c r="L2" s="151"/>
      <c r="M2" s="151"/>
      <c r="N2" s="151"/>
      <c r="O2" s="151"/>
      <c r="P2" s="151"/>
      <c r="Q2" s="151"/>
      <c r="R2" s="151"/>
      <c r="S2" s="151"/>
      <c r="T2" s="151"/>
      <c r="U2" s="151"/>
      <c r="V2" s="9"/>
      <c r="W2" s="9"/>
      <c r="X2" s="9"/>
    </row>
    <row r="3" spans="1:24" ht="15" customHeight="1" thickBot="1">
      <c r="A3" s="150"/>
      <c r="B3" s="150"/>
      <c r="C3" s="150"/>
      <c r="D3" s="150"/>
      <c r="E3" s="119"/>
      <c r="F3" s="152"/>
      <c r="G3" s="152"/>
      <c r="H3" s="152"/>
      <c r="I3" s="152"/>
      <c r="J3" s="152"/>
      <c r="K3" s="152"/>
      <c r="L3" s="152"/>
      <c r="M3" s="152"/>
      <c r="N3" s="152"/>
      <c r="O3" s="152"/>
      <c r="P3" s="152"/>
      <c r="Q3" s="152"/>
      <c r="R3" s="152"/>
      <c r="S3" s="152"/>
      <c r="T3" s="152"/>
      <c r="U3" s="152"/>
      <c r="V3" s="10"/>
      <c r="W3" s="10"/>
      <c r="X3" s="10"/>
    </row>
    <row r="4" spans="1:24" s="11" customFormat="1">
      <c r="A4" s="153" t="s">
        <v>56</v>
      </c>
      <c r="B4" s="154"/>
      <c r="C4" s="154"/>
      <c r="D4" s="154" t="s">
        <v>52</v>
      </c>
      <c r="E4" s="154"/>
      <c r="F4" s="154"/>
      <c r="G4" s="154"/>
      <c r="H4" s="155"/>
      <c r="I4" s="155"/>
      <c r="J4" s="155"/>
      <c r="K4" s="155"/>
      <c r="L4" s="155"/>
      <c r="M4" s="155"/>
      <c r="N4" s="156"/>
      <c r="O4" s="157" t="s">
        <v>126</v>
      </c>
      <c r="P4" s="158"/>
      <c r="Q4" s="158"/>
      <c r="R4" s="158"/>
      <c r="S4" s="158"/>
      <c r="T4" s="158"/>
      <c r="U4" s="158"/>
      <c r="V4" s="158"/>
      <c r="W4" s="159"/>
      <c r="X4" s="160"/>
    </row>
    <row r="5" spans="1:24" s="1" customFormat="1" ht="12">
      <c r="A5" s="163" t="s">
        <v>125</v>
      </c>
      <c r="B5" s="164"/>
      <c r="C5" s="164"/>
      <c r="D5" s="164"/>
      <c r="E5" s="164"/>
      <c r="F5" s="164"/>
      <c r="G5" s="164"/>
      <c r="H5" s="164"/>
      <c r="I5" s="164"/>
      <c r="J5" s="164"/>
      <c r="K5" s="164"/>
      <c r="L5" s="164"/>
      <c r="M5" s="164"/>
      <c r="N5" s="165"/>
      <c r="O5" s="166" t="s">
        <v>108</v>
      </c>
      <c r="P5" s="167"/>
      <c r="Q5" s="167"/>
      <c r="R5" s="167"/>
      <c r="S5" s="167"/>
      <c r="T5" s="167"/>
      <c r="U5" s="167"/>
      <c r="V5" s="167"/>
      <c r="W5" s="161"/>
      <c r="X5" s="162"/>
    </row>
    <row r="6" spans="1:24" s="13" customFormat="1" ht="11">
      <c r="A6" s="168" t="s">
        <v>18</v>
      </c>
      <c r="B6" s="169"/>
      <c r="C6" s="169"/>
      <c r="D6" s="170"/>
      <c r="E6" s="115"/>
      <c r="F6" s="168" t="s">
        <v>19</v>
      </c>
      <c r="G6" s="169"/>
      <c r="H6" s="169"/>
      <c r="I6" s="169"/>
      <c r="J6" s="169"/>
      <c r="K6" s="169"/>
      <c r="L6" s="169"/>
      <c r="M6" s="169"/>
      <c r="N6" s="170"/>
      <c r="O6" s="102" t="s">
        <v>20</v>
      </c>
      <c r="P6" s="15"/>
      <c r="Q6" s="15"/>
      <c r="R6" s="15"/>
      <c r="S6" s="102" t="s">
        <v>91</v>
      </c>
      <c r="T6" s="15" t="s">
        <v>21</v>
      </c>
      <c r="U6" s="15"/>
      <c r="V6" s="15"/>
      <c r="X6" s="16"/>
    </row>
    <row r="7" spans="1:24" s="1" customFormat="1" ht="16.5" customHeight="1">
      <c r="A7" s="171">
        <v>5</v>
      </c>
      <c r="B7" s="172"/>
      <c r="C7" s="172"/>
      <c r="D7" s="173"/>
      <c r="E7" s="120"/>
      <c r="F7" s="174">
        <v>42414</v>
      </c>
      <c r="G7" s="175"/>
      <c r="H7" s="175"/>
      <c r="I7" s="175"/>
      <c r="J7" s="175"/>
      <c r="K7" s="175"/>
      <c r="L7" s="175"/>
      <c r="M7" s="175"/>
      <c r="N7" s="176"/>
      <c r="O7" s="166" t="s">
        <v>107</v>
      </c>
      <c r="P7" s="167"/>
      <c r="Q7" s="167"/>
      <c r="R7" s="167"/>
      <c r="S7" s="167"/>
      <c r="T7" s="167" t="s">
        <v>109</v>
      </c>
      <c r="U7" s="167"/>
      <c r="V7" s="167"/>
      <c r="W7" s="167"/>
      <c r="X7" s="177"/>
    </row>
    <row r="8" spans="1:24" s="2" customFormat="1" ht="11.25" customHeight="1">
      <c r="A8" s="178" t="s">
        <v>23</v>
      </c>
      <c r="B8" s="179"/>
      <c r="C8" s="7" t="s">
        <v>24</v>
      </c>
      <c r="D8" s="178" t="s">
        <v>25</v>
      </c>
      <c r="E8" s="180"/>
      <c r="F8" s="179"/>
      <c r="G8" s="181" t="s">
        <v>29</v>
      </c>
      <c r="H8" s="184" t="s">
        <v>54</v>
      </c>
      <c r="I8" s="185"/>
      <c r="J8" s="185"/>
      <c r="K8" s="185"/>
      <c r="L8" s="185"/>
      <c r="M8" s="185"/>
      <c r="N8" s="186"/>
      <c r="O8" s="7" t="s">
        <v>30</v>
      </c>
      <c r="P8" s="7" t="s">
        <v>31</v>
      </c>
      <c r="Q8" s="7" t="s">
        <v>32</v>
      </c>
      <c r="R8" s="187" t="s">
        <v>33</v>
      </c>
      <c r="S8" s="187"/>
      <c r="T8" s="187"/>
      <c r="U8" s="187"/>
      <c r="V8" s="187"/>
      <c r="W8" s="187"/>
      <c r="X8" s="187" t="s">
        <v>53</v>
      </c>
    </row>
    <row r="9" spans="1:24" ht="17.25" customHeight="1">
      <c r="A9" s="188" t="s">
        <v>26</v>
      </c>
      <c r="B9" s="189"/>
      <c r="C9" s="192" t="s">
        <v>27</v>
      </c>
      <c r="D9" s="194" t="s">
        <v>28</v>
      </c>
      <c r="E9" s="195"/>
      <c r="F9" s="196"/>
      <c r="G9" s="182"/>
      <c r="H9" s="4" t="s">
        <v>36</v>
      </c>
      <c r="I9" s="4" t="s">
        <v>37</v>
      </c>
      <c r="J9" s="4" t="s">
        <v>38</v>
      </c>
      <c r="K9" s="4" t="s">
        <v>111</v>
      </c>
      <c r="L9" s="4" t="s">
        <v>39</v>
      </c>
      <c r="M9" s="4" t="s">
        <v>41</v>
      </c>
      <c r="N9" s="4" t="s">
        <v>42</v>
      </c>
      <c r="O9" s="6"/>
      <c r="P9" s="8"/>
      <c r="Q9" s="8"/>
      <c r="R9" s="187"/>
      <c r="S9" s="187"/>
      <c r="T9" s="187"/>
      <c r="U9" s="187"/>
      <c r="V9" s="187"/>
      <c r="W9" s="187"/>
      <c r="X9" s="187"/>
    </row>
    <row r="10" spans="1:24" ht="19.5" customHeight="1">
      <c r="A10" s="188"/>
      <c r="B10" s="189"/>
      <c r="C10" s="192"/>
      <c r="D10" s="194"/>
      <c r="E10" s="195"/>
      <c r="F10" s="196"/>
      <c r="G10" s="182"/>
      <c r="H10" s="100">
        <f t="shared" ref="H10:L10" si="0">I10-1</f>
        <v>42408</v>
      </c>
      <c r="I10" s="100">
        <f t="shared" si="0"/>
        <v>42409</v>
      </c>
      <c r="J10" s="100">
        <f t="shared" si="0"/>
        <v>42410</v>
      </c>
      <c r="K10" s="100">
        <f t="shared" si="0"/>
        <v>42411</v>
      </c>
      <c r="L10" s="100">
        <f t="shared" si="0"/>
        <v>42412</v>
      </c>
      <c r="M10" s="100">
        <f>N10-1</f>
        <v>42413</v>
      </c>
      <c r="N10" s="100">
        <f>F7</f>
        <v>42414</v>
      </c>
      <c r="O10" s="200" t="s">
        <v>46</v>
      </c>
      <c r="P10" s="200" t="s">
        <v>47</v>
      </c>
      <c r="Q10" s="200" t="s">
        <v>48</v>
      </c>
      <c r="R10" s="206" t="s">
        <v>44</v>
      </c>
      <c r="S10" s="206" t="s">
        <v>45</v>
      </c>
      <c r="T10" s="207"/>
      <c r="U10" s="207"/>
      <c r="V10" s="202" t="s">
        <v>35</v>
      </c>
      <c r="W10" s="203" t="s">
        <v>34</v>
      </c>
      <c r="X10" s="187"/>
    </row>
    <row r="11" spans="1:24" ht="18.75" hidden="1" customHeight="1">
      <c r="A11" s="188"/>
      <c r="B11" s="189"/>
      <c r="C11" s="192"/>
      <c r="D11" s="194"/>
      <c r="E11" s="195"/>
      <c r="F11" s="196"/>
      <c r="G11" s="182"/>
      <c r="H11" s="5"/>
      <c r="I11" s="4"/>
      <c r="J11" s="4"/>
      <c r="K11" s="4"/>
      <c r="L11" s="4"/>
      <c r="M11" s="4"/>
      <c r="N11" s="4"/>
      <c r="O11" s="200"/>
      <c r="P11" s="200"/>
      <c r="Q11" s="200"/>
      <c r="R11" s="206"/>
      <c r="S11" s="206"/>
      <c r="T11" s="207"/>
      <c r="U11" s="207"/>
      <c r="V11" s="202"/>
      <c r="W11" s="203"/>
      <c r="X11" s="187"/>
    </row>
    <row r="12" spans="1:24">
      <c r="A12" s="190"/>
      <c r="B12" s="191"/>
      <c r="C12" s="193"/>
      <c r="D12" s="197"/>
      <c r="E12" s="198"/>
      <c r="F12" s="199"/>
      <c r="G12" s="183"/>
      <c r="H12" s="204" t="s">
        <v>43</v>
      </c>
      <c r="I12" s="204"/>
      <c r="J12" s="204"/>
      <c r="K12" s="204"/>
      <c r="L12" s="204"/>
      <c r="M12" s="204"/>
      <c r="N12" s="205"/>
      <c r="O12" s="201"/>
      <c r="P12" s="201"/>
      <c r="Q12" s="201"/>
      <c r="R12" s="206"/>
      <c r="S12" s="206"/>
      <c r="T12" s="207"/>
      <c r="U12" s="207"/>
      <c r="V12" s="202"/>
      <c r="W12" s="203"/>
      <c r="X12" s="187"/>
    </row>
    <row r="13" spans="1:24" ht="15" customHeight="1">
      <c r="A13" s="208" t="s">
        <v>98</v>
      </c>
      <c r="B13" s="209"/>
      <c r="C13" s="210">
        <v>2</v>
      </c>
      <c r="D13" s="211" t="s">
        <v>123</v>
      </c>
      <c r="E13" s="212"/>
      <c r="F13" s="213"/>
      <c r="G13" s="220" t="s">
        <v>49</v>
      </c>
      <c r="H13" s="220"/>
      <c r="I13" s="220"/>
      <c r="J13" s="220"/>
      <c r="K13" s="220"/>
      <c r="L13" s="220"/>
      <c r="M13" s="220">
        <v>0</v>
      </c>
      <c r="N13" s="220">
        <v>2</v>
      </c>
      <c r="O13" s="232">
        <f>SUM(H13:N14)</f>
        <v>2</v>
      </c>
      <c r="P13" s="105" t="s">
        <v>110</v>
      </c>
      <c r="Q13" s="238">
        <f>P14*O13</f>
        <v>45</v>
      </c>
      <c r="R13" s="226">
        <v>57.98</v>
      </c>
      <c r="S13" s="226">
        <f>39.99+9.35+17.55</f>
        <v>66.89</v>
      </c>
      <c r="T13" s="226"/>
      <c r="U13" s="226"/>
      <c r="V13" s="226"/>
      <c r="W13" s="226">
        <f>S13+R13</f>
        <v>124.87</v>
      </c>
      <c r="X13" s="229">
        <f>Q15-W13+Q13</f>
        <v>520.13</v>
      </c>
    </row>
    <row r="14" spans="1:24">
      <c r="A14" s="221" t="s">
        <v>103</v>
      </c>
      <c r="B14" s="222"/>
      <c r="C14" s="210"/>
      <c r="D14" s="214"/>
      <c r="E14" s="215"/>
      <c r="F14" s="216"/>
      <c r="G14" s="220"/>
      <c r="H14" s="220"/>
      <c r="I14" s="220"/>
      <c r="J14" s="220"/>
      <c r="K14" s="220"/>
      <c r="L14" s="220"/>
      <c r="M14" s="220"/>
      <c r="N14" s="220"/>
      <c r="O14" s="233"/>
      <c r="P14" s="103">
        <f>P16/2+P16</f>
        <v>22.5</v>
      </c>
      <c r="Q14" s="239"/>
      <c r="R14" s="227"/>
      <c r="S14" s="227"/>
      <c r="T14" s="227"/>
      <c r="U14" s="227"/>
      <c r="V14" s="227"/>
      <c r="W14" s="227"/>
      <c r="X14" s="230"/>
    </row>
    <row r="15" spans="1:24">
      <c r="A15" s="221"/>
      <c r="B15" s="222"/>
      <c r="C15" s="210"/>
      <c r="D15" s="214"/>
      <c r="E15" s="215"/>
      <c r="F15" s="216"/>
      <c r="G15" s="223" t="s">
        <v>40</v>
      </c>
      <c r="H15" s="223">
        <v>0</v>
      </c>
      <c r="I15" s="223">
        <v>9</v>
      </c>
      <c r="J15" s="223">
        <v>7</v>
      </c>
      <c r="K15" s="223">
        <v>7</v>
      </c>
      <c r="L15" s="223">
        <v>10.5</v>
      </c>
      <c r="M15" s="223">
        <v>6.5</v>
      </c>
      <c r="N15" s="223"/>
      <c r="O15" s="234">
        <f>SUM(H15:N16)</f>
        <v>40</v>
      </c>
      <c r="P15" s="106" t="s">
        <v>110</v>
      </c>
      <c r="Q15" s="236">
        <f>P16*O15</f>
        <v>600</v>
      </c>
      <c r="R15" s="227"/>
      <c r="S15" s="227"/>
      <c r="T15" s="227"/>
      <c r="U15" s="227"/>
      <c r="V15" s="227"/>
      <c r="W15" s="227"/>
      <c r="X15" s="230"/>
    </row>
    <row r="16" spans="1:24">
      <c r="A16" s="224"/>
      <c r="B16" s="225"/>
      <c r="C16" s="210"/>
      <c r="D16" s="217"/>
      <c r="E16" s="218"/>
      <c r="F16" s="219"/>
      <c r="G16" s="223"/>
      <c r="H16" s="223"/>
      <c r="I16" s="223"/>
      <c r="J16" s="223"/>
      <c r="K16" s="223"/>
      <c r="L16" s="223"/>
      <c r="M16" s="223"/>
      <c r="N16" s="223"/>
      <c r="O16" s="235"/>
      <c r="P16" s="104">
        <v>15</v>
      </c>
      <c r="Q16" s="237"/>
      <c r="R16" s="228"/>
      <c r="S16" s="228"/>
      <c r="T16" s="228"/>
      <c r="U16" s="228"/>
      <c r="V16" s="228"/>
      <c r="W16" s="228"/>
      <c r="X16" s="231"/>
    </row>
    <row r="17" spans="1:24" ht="15" customHeight="1">
      <c r="A17" s="208" t="s">
        <v>99</v>
      </c>
      <c r="B17" s="209"/>
      <c r="C17" s="210">
        <v>2</v>
      </c>
      <c r="D17" s="211" t="s">
        <v>123</v>
      </c>
      <c r="E17" s="212"/>
      <c r="F17" s="213"/>
      <c r="G17" s="220" t="s">
        <v>49</v>
      </c>
      <c r="H17" s="220"/>
      <c r="I17" s="220"/>
      <c r="J17" s="220"/>
      <c r="K17" s="220"/>
      <c r="L17" s="220"/>
      <c r="M17" s="220"/>
      <c r="N17" s="220"/>
      <c r="O17" s="232">
        <f>SUM(H17:N18)</f>
        <v>0</v>
      </c>
      <c r="P17" s="105" t="s">
        <v>110</v>
      </c>
      <c r="Q17" s="238">
        <f>P18*O17</f>
        <v>0</v>
      </c>
      <c r="R17" s="226">
        <v>11.97</v>
      </c>
      <c r="S17" s="226">
        <f>19.76+4.63+4.71</f>
        <v>29.1</v>
      </c>
      <c r="T17" s="226"/>
      <c r="U17" s="226"/>
      <c r="V17" s="226"/>
      <c r="W17" s="226">
        <f>S17+R17</f>
        <v>41.07</v>
      </c>
      <c r="X17" s="229">
        <f>Q19-W17</f>
        <v>277.68</v>
      </c>
    </row>
    <row r="18" spans="1:24">
      <c r="A18" s="221" t="s">
        <v>102</v>
      </c>
      <c r="B18" s="222"/>
      <c r="C18" s="210"/>
      <c r="D18" s="214"/>
      <c r="E18" s="215"/>
      <c r="F18" s="216"/>
      <c r="G18" s="220"/>
      <c r="H18" s="220"/>
      <c r="I18" s="220"/>
      <c r="J18" s="220"/>
      <c r="K18" s="220"/>
      <c r="L18" s="220"/>
      <c r="M18" s="220"/>
      <c r="N18" s="220"/>
      <c r="O18" s="233"/>
      <c r="P18" s="103">
        <f>P20/2+P20</f>
        <v>22.5</v>
      </c>
      <c r="Q18" s="239"/>
      <c r="R18" s="227"/>
      <c r="S18" s="227"/>
      <c r="T18" s="227"/>
      <c r="U18" s="227"/>
      <c r="V18" s="227"/>
      <c r="W18" s="227"/>
      <c r="X18" s="230"/>
    </row>
    <row r="19" spans="1:24">
      <c r="A19" s="221"/>
      <c r="B19" s="222"/>
      <c r="C19" s="210"/>
      <c r="D19" s="214"/>
      <c r="E19" s="215"/>
      <c r="F19" s="216"/>
      <c r="G19" s="223" t="s">
        <v>40</v>
      </c>
      <c r="H19" s="223">
        <v>0</v>
      </c>
      <c r="I19" s="223">
        <v>9</v>
      </c>
      <c r="J19" s="223">
        <v>0</v>
      </c>
      <c r="K19" s="223">
        <v>6</v>
      </c>
      <c r="L19" s="223">
        <v>6.25</v>
      </c>
      <c r="M19" s="223">
        <v>0</v>
      </c>
      <c r="N19" s="223">
        <v>0</v>
      </c>
      <c r="O19" s="223">
        <f>SUM(H19:N20)</f>
        <v>21.25</v>
      </c>
      <c r="P19" s="106" t="s">
        <v>110</v>
      </c>
      <c r="Q19" s="236">
        <f>P20*O19</f>
        <v>318.75</v>
      </c>
      <c r="R19" s="227"/>
      <c r="S19" s="227"/>
      <c r="T19" s="227"/>
      <c r="U19" s="227"/>
      <c r="V19" s="227"/>
      <c r="W19" s="227"/>
      <c r="X19" s="230"/>
    </row>
    <row r="20" spans="1:24">
      <c r="A20" s="224"/>
      <c r="B20" s="225"/>
      <c r="C20" s="210"/>
      <c r="D20" s="217"/>
      <c r="E20" s="218"/>
      <c r="F20" s="219"/>
      <c r="G20" s="223"/>
      <c r="H20" s="223"/>
      <c r="I20" s="223"/>
      <c r="J20" s="223"/>
      <c r="K20" s="223"/>
      <c r="L20" s="223"/>
      <c r="M20" s="223"/>
      <c r="N20" s="223"/>
      <c r="O20" s="223"/>
      <c r="P20" s="104">
        <v>15</v>
      </c>
      <c r="Q20" s="237"/>
      <c r="R20" s="228"/>
      <c r="S20" s="228"/>
      <c r="T20" s="228"/>
      <c r="U20" s="228"/>
      <c r="V20" s="228"/>
      <c r="W20" s="228"/>
      <c r="X20" s="231"/>
    </row>
    <row r="21" spans="1:24" ht="14" customHeight="1">
      <c r="A21" s="208" t="s">
        <v>112</v>
      </c>
      <c r="B21" s="209"/>
      <c r="C21" s="210">
        <v>3</v>
      </c>
      <c r="D21" s="211" t="s">
        <v>124</v>
      </c>
      <c r="E21" s="212"/>
      <c r="F21" s="213"/>
      <c r="G21" s="220" t="s">
        <v>49</v>
      </c>
      <c r="H21" s="220"/>
      <c r="I21" s="220"/>
      <c r="J21" s="220"/>
      <c r="K21" s="220"/>
      <c r="L21" s="220"/>
      <c r="M21" s="220"/>
      <c r="N21" s="220"/>
      <c r="O21" s="232">
        <f>SUM(H21:N22)</f>
        <v>0</v>
      </c>
      <c r="P21" s="105" t="s">
        <v>110</v>
      </c>
      <c r="Q21" s="238">
        <f>P22*O21</f>
        <v>0</v>
      </c>
      <c r="R21" s="226">
        <v>10.63</v>
      </c>
      <c r="S21" s="226">
        <f>14.11+3.3+3.42</f>
        <v>20.83</v>
      </c>
      <c r="T21" s="226"/>
      <c r="U21" s="226"/>
      <c r="V21" s="226"/>
      <c r="W21" s="226">
        <f>S21+R21</f>
        <v>31.46</v>
      </c>
      <c r="X21" s="229">
        <f>Q23-W21</f>
        <v>196.04</v>
      </c>
    </row>
    <row r="22" spans="1:24">
      <c r="A22" s="221" t="s">
        <v>120</v>
      </c>
      <c r="B22" s="222"/>
      <c r="C22" s="210"/>
      <c r="D22" s="214"/>
      <c r="E22" s="215"/>
      <c r="F22" s="216"/>
      <c r="G22" s="220"/>
      <c r="H22" s="220"/>
      <c r="I22" s="220"/>
      <c r="J22" s="220"/>
      <c r="K22" s="220"/>
      <c r="L22" s="220"/>
      <c r="M22" s="220"/>
      <c r="N22" s="220"/>
      <c r="O22" s="233"/>
      <c r="P22" s="103">
        <f>P24/2+P24</f>
        <v>19.5</v>
      </c>
      <c r="Q22" s="239"/>
      <c r="R22" s="227"/>
      <c r="S22" s="227"/>
      <c r="T22" s="227"/>
      <c r="U22" s="227"/>
      <c r="V22" s="227"/>
      <c r="W22" s="227"/>
      <c r="X22" s="230"/>
    </row>
    <row r="23" spans="1:24">
      <c r="A23" s="221"/>
      <c r="B23" s="222"/>
      <c r="C23" s="210"/>
      <c r="D23" s="214"/>
      <c r="E23" s="215"/>
      <c r="F23" s="216"/>
      <c r="G23" s="223" t="s">
        <v>40</v>
      </c>
      <c r="H23" s="223">
        <v>0</v>
      </c>
      <c r="I23" s="223">
        <v>0</v>
      </c>
      <c r="J23" s="223">
        <v>0</v>
      </c>
      <c r="K23" s="223">
        <v>0</v>
      </c>
      <c r="L23" s="223">
        <v>8.5</v>
      </c>
      <c r="M23" s="223">
        <v>7</v>
      </c>
      <c r="N23" s="223">
        <v>2</v>
      </c>
      <c r="O23" s="223">
        <f>SUM(H23:N24)</f>
        <v>17.5</v>
      </c>
      <c r="P23" s="106" t="s">
        <v>110</v>
      </c>
      <c r="Q23" s="236">
        <f>P24*O23</f>
        <v>227.5</v>
      </c>
      <c r="R23" s="227"/>
      <c r="S23" s="227"/>
      <c r="T23" s="227"/>
      <c r="U23" s="227"/>
      <c r="V23" s="227"/>
      <c r="W23" s="227"/>
      <c r="X23" s="230"/>
    </row>
    <row r="24" spans="1:24">
      <c r="A24" s="224"/>
      <c r="B24" s="225"/>
      <c r="C24" s="210"/>
      <c r="D24" s="217"/>
      <c r="E24" s="218"/>
      <c r="F24" s="219"/>
      <c r="G24" s="223"/>
      <c r="H24" s="223"/>
      <c r="I24" s="223"/>
      <c r="J24" s="223"/>
      <c r="K24" s="223"/>
      <c r="L24" s="223"/>
      <c r="M24" s="223"/>
      <c r="N24" s="223"/>
      <c r="O24" s="223"/>
      <c r="P24" s="104">
        <v>13</v>
      </c>
      <c r="Q24" s="237"/>
      <c r="R24" s="228"/>
      <c r="S24" s="228"/>
      <c r="T24" s="228"/>
      <c r="U24" s="228"/>
      <c r="V24" s="228"/>
      <c r="W24" s="228"/>
      <c r="X24" s="231"/>
    </row>
    <row r="25" spans="1:24" ht="14" customHeight="1">
      <c r="A25" s="208"/>
      <c r="B25" s="209"/>
      <c r="C25" s="210"/>
      <c r="D25" s="211" t="s">
        <v>123</v>
      </c>
      <c r="E25" s="212"/>
      <c r="F25" s="213"/>
      <c r="G25" s="220" t="s">
        <v>49</v>
      </c>
      <c r="H25" s="220"/>
      <c r="I25" s="220"/>
      <c r="J25" s="220"/>
      <c r="K25" s="220"/>
      <c r="L25" s="220"/>
      <c r="M25" s="220"/>
      <c r="N25" s="220"/>
      <c r="O25" s="232">
        <f>SUM(H25:N26)</f>
        <v>0</v>
      </c>
      <c r="P25" s="105" t="s">
        <v>110</v>
      </c>
      <c r="Q25" s="248"/>
      <c r="R25" s="226"/>
      <c r="S25" s="226"/>
      <c r="T25" s="226"/>
      <c r="U25" s="226"/>
      <c r="V25" s="226"/>
      <c r="W25" s="226"/>
      <c r="X25" s="229"/>
    </row>
    <row r="26" spans="1:24">
      <c r="A26" s="221"/>
      <c r="B26" s="222"/>
      <c r="C26" s="210"/>
      <c r="D26" s="214"/>
      <c r="E26" s="215"/>
      <c r="F26" s="216"/>
      <c r="G26" s="220"/>
      <c r="H26" s="220"/>
      <c r="I26" s="220"/>
      <c r="J26" s="220"/>
      <c r="K26" s="220"/>
      <c r="L26" s="220"/>
      <c r="M26" s="220"/>
      <c r="N26" s="220"/>
      <c r="O26" s="233"/>
      <c r="P26" s="103">
        <v>0</v>
      </c>
      <c r="Q26" s="248"/>
      <c r="R26" s="227"/>
      <c r="S26" s="227"/>
      <c r="T26" s="227"/>
      <c r="U26" s="227"/>
      <c r="V26" s="227"/>
      <c r="W26" s="227"/>
      <c r="X26" s="230"/>
    </row>
    <row r="27" spans="1:24">
      <c r="A27" s="221"/>
      <c r="B27" s="222"/>
      <c r="C27" s="210"/>
      <c r="D27" s="214"/>
      <c r="E27" s="215"/>
      <c r="F27" s="216"/>
      <c r="G27" s="223" t="s">
        <v>40</v>
      </c>
      <c r="H27" s="223">
        <v>0</v>
      </c>
      <c r="I27" s="223">
        <v>0</v>
      </c>
      <c r="J27" s="223">
        <v>0</v>
      </c>
      <c r="K27" s="223">
        <v>0</v>
      </c>
      <c r="L27" s="223">
        <v>0</v>
      </c>
      <c r="M27" s="223">
        <v>0</v>
      </c>
      <c r="N27" s="223">
        <v>0</v>
      </c>
      <c r="O27" s="223">
        <f>SUM(H27:N28)</f>
        <v>0</v>
      </c>
      <c r="P27" s="106" t="s">
        <v>110</v>
      </c>
      <c r="Q27" s="236">
        <f>P28*O27</f>
        <v>0</v>
      </c>
      <c r="R27" s="227"/>
      <c r="S27" s="227"/>
      <c r="T27" s="227"/>
      <c r="U27" s="227"/>
      <c r="V27" s="227"/>
      <c r="W27" s="227"/>
      <c r="X27" s="230"/>
    </row>
    <row r="28" spans="1:24">
      <c r="A28" s="224"/>
      <c r="B28" s="225"/>
      <c r="C28" s="210"/>
      <c r="D28" s="217"/>
      <c r="E28" s="218"/>
      <c r="F28" s="219"/>
      <c r="G28" s="223"/>
      <c r="H28" s="223"/>
      <c r="I28" s="223"/>
      <c r="J28" s="223"/>
      <c r="K28" s="223"/>
      <c r="L28" s="223"/>
      <c r="M28" s="223"/>
      <c r="N28" s="223"/>
      <c r="O28" s="223"/>
      <c r="P28" s="104">
        <v>13</v>
      </c>
      <c r="Q28" s="237"/>
      <c r="R28" s="228"/>
      <c r="S28" s="228"/>
      <c r="T28" s="228"/>
      <c r="U28" s="228"/>
      <c r="V28" s="228"/>
      <c r="W28" s="228"/>
      <c r="X28" s="231"/>
    </row>
    <row r="29" spans="1:24" ht="14" customHeight="1">
      <c r="A29" s="208"/>
      <c r="B29" s="209"/>
      <c r="C29" s="210"/>
      <c r="D29" s="211" t="s">
        <v>123</v>
      </c>
      <c r="E29" s="212"/>
      <c r="F29" s="213"/>
      <c r="G29" s="220" t="s">
        <v>49</v>
      </c>
      <c r="H29" s="220"/>
      <c r="I29" s="220"/>
      <c r="J29" s="220"/>
      <c r="K29" s="220"/>
      <c r="L29" s="220"/>
      <c r="M29" s="220"/>
      <c r="N29" s="220"/>
      <c r="O29" s="232">
        <f>SUM(H29:N30)</f>
        <v>0</v>
      </c>
      <c r="P29" s="105" t="s">
        <v>110</v>
      </c>
      <c r="Q29" s="248"/>
      <c r="R29" s="226"/>
      <c r="S29" s="226"/>
      <c r="T29" s="226"/>
      <c r="U29" s="226"/>
      <c r="V29" s="226"/>
      <c r="W29" s="226"/>
      <c r="X29" s="229"/>
    </row>
    <row r="30" spans="1:24">
      <c r="A30" s="221"/>
      <c r="B30" s="222"/>
      <c r="C30" s="210"/>
      <c r="D30" s="214"/>
      <c r="E30" s="215"/>
      <c r="F30" s="216"/>
      <c r="G30" s="220"/>
      <c r="H30" s="220"/>
      <c r="I30" s="220"/>
      <c r="J30" s="220"/>
      <c r="K30" s="220"/>
      <c r="L30" s="220"/>
      <c r="M30" s="220"/>
      <c r="N30" s="220"/>
      <c r="O30" s="233"/>
      <c r="P30" s="103">
        <v>0</v>
      </c>
      <c r="Q30" s="248"/>
      <c r="R30" s="227"/>
      <c r="S30" s="227"/>
      <c r="T30" s="227"/>
      <c r="U30" s="227"/>
      <c r="V30" s="227"/>
      <c r="W30" s="227"/>
      <c r="X30" s="230"/>
    </row>
    <row r="31" spans="1:24">
      <c r="A31" s="221"/>
      <c r="B31" s="222"/>
      <c r="C31" s="210"/>
      <c r="D31" s="214"/>
      <c r="E31" s="215"/>
      <c r="F31" s="216"/>
      <c r="G31" s="223" t="s">
        <v>40</v>
      </c>
      <c r="H31" s="223">
        <v>0</v>
      </c>
      <c r="I31" s="234">
        <v>0</v>
      </c>
      <c r="J31" s="234">
        <v>0</v>
      </c>
      <c r="K31" s="234">
        <v>0</v>
      </c>
      <c r="L31" s="234">
        <v>0</v>
      </c>
      <c r="M31" s="234">
        <v>0</v>
      </c>
      <c r="N31" s="234">
        <v>0</v>
      </c>
      <c r="O31" s="223">
        <f>SUM(H31:N32)</f>
        <v>0</v>
      </c>
      <c r="P31" s="106" t="s">
        <v>110</v>
      </c>
      <c r="Q31" s="236">
        <f>P32*O31</f>
        <v>0</v>
      </c>
      <c r="R31" s="227"/>
      <c r="S31" s="227"/>
      <c r="T31" s="227"/>
      <c r="U31" s="227"/>
      <c r="V31" s="227"/>
      <c r="W31" s="227"/>
      <c r="X31" s="230"/>
    </row>
    <row r="32" spans="1:24">
      <c r="A32" s="224"/>
      <c r="B32" s="225"/>
      <c r="C32" s="210"/>
      <c r="D32" s="217"/>
      <c r="E32" s="218"/>
      <c r="F32" s="219"/>
      <c r="G32" s="223"/>
      <c r="H32" s="223"/>
      <c r="I32" s="235"/>
      <c r="J32" s="235"/>
      <c r="K32" s="235"/>
      <c r="L32" s="235"/>
      <c r="M32" s="235"/>
      <c r="N32" s="235"/>
      <c r="O32" s="223"/>
      <c r="P32" s="104">
        <v>13</v>
      </c>
      <c r="Q32" s="237"/>
      <c r="R32" s="228"/>
      <c r="S32" s="228"/>
      <c r="T32" s="228"/>
      <c r="U32" s="228"/>
      <c r="V32" s="228"/>
      <c r="W32" s="228"/>
      <c r="X32" s="231"/>
    </row>
    <row r="33" spans="1:24" ht="14" customHeight="1">
      <c r="A33" s="208"/>
      <c r="B33" s="209"/>
      <c r="C33" s="210"/>
      <c r="D33" s="211"/>
      <c r="E33" s="212"/>
      <c r="F33" s="213"/>
      <c r="G33" s="220"/>
      <c r="H33" s="220"/>
      <c r="I33" s="220"/>
      <c r="J33" s="220"/>
      <c r="K33" s="220"/>
      <c r="L33" s="220"/>
      <c r="M33" s="220"/>
      <c r="N33" s="220"/>
      <c r="O33" s="232">
        <f>SUM(H33:M34)</f>
        <v>0</v>
      </c>
      <c r="P33" s="105"/>
      <c r="Q33" s="220"/>
      <c r="R33" s="226"/>
      <c r="S33" s="226"/>
      <c r="T33" s="226"/>
      <c r="U33" s="226"/>
      <c r="V33" s="226"/>
      <c r="W33" s="226"/>
      <c r="X33" s="229"/>
    </row>
    <row r="34" spans="1:24">
      <c r="A34" s="221"/>
      <c r="B34" s="222"/>
      <c r="C34" s="210"/>
      <c r="D34" s="214"/>
      <c r="E34" s="215"/>
      <c r="F34" s="216"/>
      <c r="G34" s="220"/>
      <c r="H34" s="220"/>
      <c r="I34" s="220"/>
      <c r="J34" s="220"/>
      <c r="K34" s="220"/>
      <c r="L34" s="220"/>
      <c r="M34" s="220"/>
      <c r="N34" s="220"/>
      <c r="O34" s="233"/>
      <c r="P34" s="103"/>
      <c r="Q34" s="220"/>
      <c r="R34" s="227"/>
      <c r="S34" s="227"/>
      <c r="T34" s="227"/>
      <c r="U34" s="227"/>
      <c r="V34" s="227"/>
      <c r="W34" s="227"/>
      <c r="X34" s="230"/>
    </row>
    <row r="35" spans="1:24">
      <c r="A35" s="221"/>
      <c r="B35" s="222"/>
      <c r="C35" s="210"/>
      <c r="D35" s="214"/>
      <c r="E35" s="215"/>
      <c r="F35" s="216"/>
      <c r="G35" s="223"/>
      <c r="H35" s="223"/>
      <c r="I35" s="223"/>
      <c r="J35" s="223"/>
      <c r="K35" s="223"/>
      <c r="L35" s="223"/>
      <c r="M35" s="223"/>
      <c r="N35" s="223"/>
      <c r="O35" s="223">
        <f>SUM(H35:N36)</f>
        <v>0</v>
      </c>
      <c r="P35" s="106"/>
      <c r="Q35" s="237"/>
      <c r="R35" s="227"/>
      <c r="S35" s="227"/>
      <c r="T35" s="227"/>
      <c r="U35" s="227"/>
      <c r="V35" s="227"/>
      <c r="W35" s="227"/>
      <c r="X35" s="230"/>
    </row>
    <row r="36" spans="1:24">
      <c r="A36" s="224"/>
      <c r="B36" s="225"/>
      <c r="C36" s="210"/>
      <c r="D36" s="217"/>
      <c r="E36" s="218"/>
      <c r="F36" s="219"/>
      <c r="G36" s="223"/>
      <c r="H36" s="223"/>
      <c r="I36" s="223"/>
      <c r="J36" s="223"/>
      <c r="K36" s="223"/>
      <c r="L36" s="223"/>
      <c r="M36" s="223"/>
      <c r="N36" s="223"/>
      <c r="O36" s="223"/>
      <c r="P36" s="104"/>
      <c r="Q36" s="237"/>
      <c r="R36" s="228"/>
      <c r="S36" s="228"/>
      <c r="T36" s="228"/>
      <c r="U36" s="228"/>
      <c r="V36" s="228"/>
      <c r="W36" s="228"/>
      <c r="X36" s="231"/>
    </row>
    <row r="37" spans="1:24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</row>
    <row r="38" spans="1:24" ht="15.75" customHeight="1">
      <c r="A38" s="18" t="s">
        <v>58</v>
      </c>
      <c r="B38" s="101">
        <f>N10</f>
        <v>42414</v>
      </c>
      <c r="C38" s="20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 t="s">
        <v>82</v>
      </c>
      <c r="R38" s="18"/>
      <c r="S38" s="18"/>
      <c r="T38" s="18"/>
      <c r="U38" s="3"/>
      <c r="V38" s="3"/>
      <c r="W38" s="3"/>
    </row>
    <row r="39" spans="1:24" ht="18.75" customHeight="1">
      <c r="A39" s="29" t="s">
        <v>59</v>
      </c>
      <c r="B39" s="35" t="s">
        <v>83</v>
      </c>
      <c r="C39" s="31"/>
      <c r="D39" s="31"/>
      <c r="E39" s="31"/>
      <c r="F39" s="31"/>
      <c r="G39" s="31"/>
      <c r="H39" s="96" t="s">
        <v>75</v>
      </c>
      <c r="I39" s="96"/>
      <c r="J39" s="96"/>
      <c r="K39" s="27"/>
      <c r="L39" s="27"/>
      <c r="M39" s="25"/>
      <c r="N39" s="25"/>
      <c r="O39" s="25"/>
      <c r="P39" s="18"/>
      <c r="Q39" s="13" t="s">
        <v>90</v>
      </c>
      <c r="S39" s="18"/>
      <c r="T39" s="18"/>
      <c r="U39" s="3"/>
      <c r="V39" s="3"/>
      <c r="W39" s="3"/>
    </row>
    <row r="40" spans="1:24" ht="14.25" customHeight="1">
      <c r="A40" s="29"/>
      <c r="B40" s="21" t="s">
        <v>62</v>
      </c>
      <c r="C40" s="21"/>
      <c r="D40" s="21"/>
      <c r="E40" s="21"/>
      <c r="F40" s="31"/>
      <c r="G40" s="58"/>
      <c r="H40" s="21" t="s">
        <v>63</v>
      </c>
      <c r="I40" s="58"/>
      <c r="J40" s="21"/>
      <c r="K40" s="21"/>
      <c r="L40" s="24"/>
      <c r="M40" s="24"/>
      <c r="N40" s="24"/>
      <c r="O40" s="25"/>
      <c r="P40" s="17" t="s">
        <v>10</v>
      </c>
      <c r="R40" s="18"/>
      <c r="S40" s="18"/>
      <c r="T40" s="3"/>
      <c r="U40" s="3"/>
      <c r="V40" s="3"/>
    </row>
    <row r="41" spans="1:24" ht="12" customHeight="1">
      <c r="A41" s="17"/>
      <c r="F41" s="23"/>
      <c r="L41" s="95"/>
      <c r="M41" s="18"/>
      <c r="N41" s="18"/>
      <c r="O41" s="18"/>
      <c r="P41" s="18" t="s">
        <v>11</v>
      </c>
      <c r="R41" s="18"/>
      <c r="S41" s="18"/>
      <c r="T41" s="3"/>
      <c r="U41" s="3"/>
      <c r="V41" s="3"/>
    </row>
    <row r="42" spans="1:24" ht="12" customHeight="1">
      <c r="A42" s="17" t="s">
        <v>60</v>
      </c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 t="s">
        <v>12</v>
      </c>
      <c r="R42" s="18"/>
      <c r="S42" s="18"/>
      <c r="T42" s="3"/>
      <c r="U42" s="3"/>
      <c r="V42" s="3"/>
    </row>
    <row r="43" spans="1:24" ht="12" customHeight="1">
      <c r="A43" s="18"/>
      <c r="B43" s="18" t="s">
        <v>61</v>
      </c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25" t="s">
        <v>13</v>
      </c>
      <c r="R43" s="25"/>
      <c r="S43" s="25"/>
      <c r="T43" s="34"/>
      <c r="U43" s="34"/>
      <c r="V43" s="34"/>
    </row>
    <row r="44" spans="1:24" s="19" customFormat="1" ht="16.5" customHeight="1">
      <c r="A44" s="29"/>
      <c r="B44" s="25"/>
      <c r="C44" s="31" t="str">
        <f>C50</f>
        <v>Evankoff LLC</v>
      </c>
      <c r="D44" s="36"/>
      <c r="E44" s="36"/>
      <c r="F44" s="25"/>
      <c r="G44" s="25"/>
      <c r="H44" s="25"/>
      <c r="I44" s="25"/>
      <c r="J44" s="25"/>
      <c r="K44" s="25"/>
      <c r="L44" s="25"/>
      <c r="M44" s="25"/>
      <c r="N44" s="25"/>
      <c r="O44" s="25" t="s">
        <v>64</v>
      </c>
      <c r="P44" s="25"/>
    </row>
    <row r="45" spans="1:24">
      <c r="A45" s="24"/>
      <c r="B45" s="24"/>
      <c r="C45" s="24" t="s">
        <v>65</v>
      </c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5"/>
      <c r="P45" s="25"/>
      <c r="Q45" s="36" t="s">
        <v>16</v>
      </c>
      <c r="S45" s="19"/>
      <c r="T45" s="19"/>
      <c r="U45" s="19"/>
    </row>
    <row r="46" spans="1:24" s="19" customFormat="1" ht="15" thickBot="1">
      <c r="A46" s="31" t="s">
        <v>105</v>
      </c>
      <c r="B46" s="31"/>
      <c r="C46" s="31"/>
      <c r="D46" s="31"/>
      <c r="E46" s="31"/>
      <c r="F46" s="31"/>
      <c r="G46" s="25" t="s">
        <v>67</v>
      </c>
      <c r="H46" s="25"/>
      <c r="I46" s="25"/>
      <c r="J46" s="25"/>
      <c r="K46" s="25"/>
      <c r="L46" s="25"/>
      <c r="M46" s="25"/>
      <c r="N46" s="25"/>
      <c r="O46" s="25"/>
      <c r="P46" s="25"/>
      <c r="Q46" s="25"/>
    </row>
    <row r="47" spans="1:24">
      <c r="A47" s="24"/>
      <c r="B47" s="24" t="s">
        <v>66</v>
      </c>
      <c r="C47" s="24"/>
      <c r="D47" s="24"/>
      <c r="E47" s="24"/>
      <c r="F47" s="24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94"/>
      <c r="R47" s="70" t="s">
        <v>14</v>
      </c>
      <c r="S47" s="71"/>
      <c r="T47" s="72"/>
      <c r="U47" s="37"/>
      <c r="V47" s="73" t="s">
        <v>15</v>
      </c>
      <c r="W47" s="74" t="s">
        <v>93</v>
      </c>
      <c r="X47" s="75"/>
    </row>
    <row r="48" spans="1:24">
      <c r="A48" s="99">
        <f>H10</f>
        <v>42408</v>
      </c>
      <c r="B48" s="26" t="s">
        <v>68</v>
      </c>
      <c r="C48" s="244">
        <f>F7</f>
        <v>42414</v>
      </c>
      <c r="D48" s="244"/>
      <c r="E48" s="98"/>
      <c r="F48" s="33" t="s">
        <v>73</v>
      </c>
      <c r="J48" s="32"/>
      <c r="L48" s="25"/>
      <c r="M48" s="25"/>
      <c r="N48" s="25"/>
      <c r="O48" s="25"/>
      <c r="P48" s="25"/>
      <c r="Q48" s="76"/>
      <c r="R48" s="77"/>
      <c r="S48" s="77"/>
      <c r="T48" s="78"/>
      <c r="U48" s="79"/>
      <c r="V48" s="80"/>
      <c r="W48" s="80"/>
      <c r="X48" s="81"/>
    </row>
    <row r="49" spans="1:24" ht="14.25" customHeight="1" thickBot="1">
      <c r="A49" s="24" t="s">
        <v>74</v>
      </c>
      <c r="B49" s="25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5"/>
      <c r="Q49" s="82"/>
      <c r="R49" s="83"/>
      <c r="S49" s="83"/>
      <c r="T49" s="84"/>
      <c r="U49" s="85"/>
      <c r="V49" s="86"/>
      <c r="W49" s="86"/>
      <c r="X49" s="87"/>
    </row>
    <row r="50" spans="1:24" ht="18.75" customHeight="1">
      <c r="A50" s="25"/>
      <c r="B50" s="25"/>
      <c r="C50" s="31" t="str">
        <f>A5</f>
        <v>Evankoff LLC</v>
      </c>
      <c r="D50" s="25"/>
      <c r="E50" s="25"/>
      <c r="F50" s="25"/>
      <c r="G50" s="25"/>
      <c r="H50" s="25"/>
      <c r="I50" s="25"/>
      <c r="J50" s="25"/>
      <c r="K50" s="25"/>
      <c r="L50" s="25"/>
      <c r="M50" s="25" t="s">
        <v>69</v>
      </c>
      <c r="N50" s="25"/>
      <c r="O50" s="25"/>
      <c r="P50" s="25"/>
      <c r="Q50" s="107" t="s">
        <v>94</v>
      </c>
      <c r="R50" s="108"/>
      <c r="S50" s="240" t="s">
        <v>97</v>
      </c>
      <c r="T50" s="240"/>
      <c r="U50" s="240"/>
      <c r="V50" s="240"/>
      <c r="W50" s="240"/>
      <c r="X50" s="241"/>
    </row>
    <row r="51" spans="1:24">
      <c r="A51" s="24"/>
      <c r="B51" s="24"/>
      <c r="C51" s="24" t="s">
        <v>65</v>
      </c>
      <c r="D51" s="24"/>
      <c r="E51" s="24"/>
      <c r="F51" s="24"/>
      <c r="G51" s="24"/>
      <c r="H51" s="24"/>
      <c r="I51" s="24"/>
      <c r="J51" s="24"/>
      <c r="K51" s="24"/>
      <c r="L51" s="24"/>
      <c r="M51" s="25"/>
      <c r="N51" s="25"/>
      <c r="O51" s="25"/>
      <c r="P51" s="25"/>
      <c r="Q51" s="109"/>
      <c r="R51" s="110"/>
      <c r="S51" s="242"/>
      <c r="T51" s="242"/>
      <c r="U51" s="242"/>
      <c r="V51" s="242"/>
      <c r="W51" s="242"/>
      <c r="X51" s="243"/>
    </row>
    <row r="52" spans="1:24" ht="12.75" customHeight="1" thickBot="1">
      <c r="A52" s="25" t="s">
        <v>70</v>
      </c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39"/>
      <c r="R52" s="88"/>
      <c r="S52" s="88"/>
      <c r="T52" s="89"/>
      <c r="U52" s="41"/>
      <c r="V52" s="40"/>
      <c r="W52" s="40"/>
      <c r="X52" s="42"/>
    </row>
    <row r="53" spans="1:24" ht="12.75" customHeight="1">
      <c r="A53" s="25" t="s">
        <v>71</v>
      </c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107" t="s">
        <v>94</v>
      </c>
      <c r="R53" s="108"/>
      <c r="S53" s="240" t="s">
        <v>95</v>
      </c>
      <c r="T53" s="240"/>
      <c r="U53" s="240"/>
      <c r="V53" s="240"/>
      <c r="W53" s="240"/>
      <c r="X53" s="241"/>
    </row>
    <row r="54" spans="1:24" ht="12.75" customHeight="1">
      <c r="A54" s="25" t="s">
        <v>72</v>
      </c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109"/>
      <c r="R54" s="110"/>
      <c r="S54" s="242"/>
      <c r="T54" s="242"/>
      <c r="U54" s="242"/>
      <c r="V54" s="242"/>
      <c r="W54" s="242"/>
      <c r="X54" s="243"/>
    </row>
    <row r="55" spans="1:24" ht="12.75" customHeight="1" thickBot="1">
      <c r="A55" s="25" t="s">
        <v>0</v>
      </c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43"/>
      <c r="R55" s="44"/>
      <c r="S55" s="44"/>
      <c r="T55" s="44"/>
      <c r="U55" s="45"/>
      <c r="V55" s="46"/>
      <c r="W55" s="46"/>
      <c r="X55" s="47"/>
    </row>
    <row r="56" spans="1:24" ht="18" customHeight="1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48"/>
      <c r="R56" s="49"/>
      <c r="S56" s="49"/>
      <c r="T56" s="49"/>
      <c r="U56" s="50"/>
      <c r="V56" s="51"/>
      <c r="W56" s="51"/>
      <c r="X56" s="52"/>
    </row>
    <row r="57" spans="1:24" ht="18" customHeight="1" thickBot="1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5"/>
      <c r="Q57" s="53"/>
      <c r="R57" s="54"/>
      <c r="S57" s="54"/>
      <c r="T57" s="54"/>
      <c r="U57" s="55"/>
      <c r="V57" s="10"/>
      <c r="W57" s="10"/>
      <c r="X57" s="56"/>
    </row>
    <row r="58" spans="1:24" ht="18" customHeight="1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5"/>
      <c r="Q58" s="48"/>
      <c r="R58" s="49"/>
      <c r="S58" s="49"/>
      <c r="T58" s="49"/>
      <c r="U58" s="50"/>
      <c r="V58" s="51"/>
      <c r="W58" s="51"/>
      <c r="X58" s="52"/>
    </row>
    <row r="59" spans="1:24" ht="21" customHeight="1" thickBot="1">
      <c r="A59" s="24"/>
      <c r="B59" s="28" t="s">
        <v>2</v>
      </c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5"/>
      <c r="Q59" s="53"/>
      <c r="R59" s="54"/>
      <c r="S59" s="54"/>
      <c r="T59" s="54"/>
      <c r="U59" s="55"/>
      <c r="V59" s="10"/>
      <c r="W59" s="10"/>
      <c r="X59" s="56"/>
    </row>
    <row r="60" spans="1:24" ht="12" customHeight="1">
      <c r="A60" s="30" t="s">
        <v>3</v>
      </c>
      <c r="B60" s="30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5"/>
      <c r="Q60" s="48" t="s">
        <v>17</v>
      </c>
      <c r="R60" s="49"/>
      <c r="S60" s="49"/>
      <c r="T60" s="49"/>
      <c r="U60" s="49"/>
      <c r="V60" s="51"/>
      <c r="W60" s="51"/>
      <c r="X60" s="52"/>
    </row>
    <row r="61" spans="1:24" ht="12" customHeight="1">
      <c r="A61" s="27" t="s">
        <v>4</v>
      </c>
      <c r="B61" s="30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5"/>
      <c r="Q61" s="111" t="s">
        <v>96</v>
      </c>
      <c r="R61" s="44"/>
      <c r="S61" s="44"/>
      <c r="T61" s="44"/>
      <c r="U61" s="44"/>
      <c r="V61" s="46"/>
      <c r="W61" s="46"/>
      <c r="X61" s="47"/>
    </row>
    <row r="62" spans="1:24" ht="12" customHeight="1">
      <c r="A62" s="27" t="s">
        <v>5</v>
      </c>
      <c r="B62" s="30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5"/>
      <c r="Q62" s="121"/>
      <c r="R62" s="122"/>
      <c r="S62" s="44"/>
      <c r="T62" s="44"/>
      <c r="U62" s="44"/>
      <c r="V62" s="46"/>
      <c r="W62" s="46"/>
      <c r="X62" s="47"/>
    </row>
    <row r="63" spans="1:24" ht="12" customHeight="1">
      <c r="A63" s="27"/>
      <c r="B63" s="30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5"/>
      <c r="Q63" s="121"/>
      <c r="R63" s="122"/>
      <c r="S63" s="44"/>
      <c r="T63" s="44"/>
      <c r="U63" s="44"/>
      <c r="V63" s="46"/>
      <c r="W63" s="46"/>
      <c r="X63" s="47"/>
    </row>
    <row r="64" spans="1:24" ht="12" customHeight="1">
      <c r="A64" s="29" t="s">
        <v>7</v>
      </c>
      <c r="B64" s="29" t="s">
        <v>6</v>
      </c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121"/>
      <c r="R64" s="122"/>
      <c r="S64" s="44"/>
      <c r="T64" s="44"/>
      <c r="U64" s="44"/>
      <c r="V64" s="46"/>
      <c r="W64" s="46"/>
      <c r="X64" s="47"/>
    </row>
    <row r="65" spans="1:24" ht="12" customHeight="1">
      <c r="A65" s="25" t="s">
        <v>8</v>
      </c>
      <c r="B65" s="29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43"/>
      <c r="R65" s="44"/>
      <c r="S65" s="44"/>
      <c r="T65" s="44"/>
      <c r="U65" s="44"/>
      <c r="V65" s="46"/>
      <c r="W65" s="46"/>
      <c r="X65" s="47"/>
    </row>
    <row r="66" spans="1:24" ht="12" customHeight="1">
      <c r="A66" s="25" t="s">
        <v>9</v>
      </c>
      <c r="B66" s="29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43"/>
      <c r="R66" s="44"/>
      <c r="S66" s="44"/>
      <c r="T66" s="44"/>
      <c r="U66" s="44"/>
      <c r="V66" s="46"/>
      <c r="W66" s="46"/>
      <c r="X66" s="47"/>
    </row>
    <row r="67" spans="1:24" ht="12" customHeight="1" thickBot="1">
      <c r="A67" s="25"/>
      <c r="B67" s="29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53"/>
      <c r="R67" s="54"/>
      <c r="S67" s="54"/>
      <c r="T67" s="54"/>
      <c r="U67" s="54"/>
      <c r="V67" s="10"/>
      <c r="W67" s="10"/>
      <c r="X67" s="56"/>
    </row>
    <row r="68" spans="1:24" ht="12" customHeight="1">
      <c r="A68" s="25"/>
      <c r="B68" s="25" t="s">
        <v>57</v>
      </c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</row>
    <row r="69" spans="1:24" ht="12" customHeight="1">
      <c r="A69" s="25"/>
      <c r="B69" s="25" t="s">
        <v>1</v>
      </c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12" t="s">
        <v>50</v>
      </c>
      <c r="R69" s="22"/>
      <c r="S69" s="22"/>
      <c r="T69" s="67"/>
      <c r="U69" s="57" t="s">
        <v>51</v>
      </c>
      <c r="V69" s="58"/>
      <c r="W69" s="58"/>
      <c r="X69" s="59"/>
    </row>
    <row r="70" spans="1:24" ht="11.25" customHeight="1">
      <c r="A70" s="25"/>
      <c r="B70" s="25" t="s">
        <v>81</v>
      </c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63"/>
      <c r="T70" s="68"/>
      <c r="U70" s="61"/>
      <c r="V70" s="38"/>
      <c r="W70" s="38"/>
      <c r="X70" s="60"/>
    </row>
    <row r="71" spans="1:24" ht="13.5" customHeight="1">
      <c r="A71" s="25"/>
      <c r="B71" s="97" t="s">
        <v>80</v>
      </c>
      <c r="C71" s="29" t="s">
        <v>76</v>
      </c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93" t="str">
        <f>B39</f>
        <v>Eric Coffie</v>
      </c>
      <c r="R71" s="90"/>
      <c r="S71" s="90" t="str">
        <f>H39</f>
        <v>President</v>
      </c>
      <c r="T71" s="68"/>
      <c r="U71" s="61"/>
      <c r="V71" s="38"/>
      <c r="W71" s="38"/>
      <c r="X71" s="60"/>
    </row>
    <row r="72" spans="1:24" ht="10.5" customHeight="1">
      <c r="A72" s="19"/>
      <c r="B72" s="25"/>
      <c r="C72" s="25" t="s">
        <v>77</v>
      </c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19"/>
      <c r="Q72" s="91"/>
      <c r="R72" s="92"/>
      <c r="S72" s="92"/>
      <c r="T72" s="69"/>
      <c r="U72" s="62"/>
      <c r="V72" s="116"/>
      <c r="W72" s="116"/>
      <c r="X72" s="117"/>
    </row>
    <row r="73" spans="1:24" ht="10.5" customHeight="1">
      <c r="A73" s="19"/>
      <c r="B73" s="19"/>
      <c r="C73" s="25" t="s">
        <v>78</v>
      </c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</row>
    <row r="74" spans="1:24" ht="10.5" customHeight="1">
      <c r="B74" s="19"/>
      <c r="C74" s="25" t="s">
        <v>79</v>
      </c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Q74" s="64" t="s">
        <v>86</v>
      </c>
      <c r="R74" s="58"/>
      <c r="S74" s="58"/>
      <c r="T74" s="58"/>
      <c r="U74" s="58"/>
      <c r="V74" s="58"/>
      <c r="W74" s="58"/>
      <c r="X74" s="59"/>
    </row>
    <row r="75" spans="1:24" ht="10.5" customHeight="1">
      <c r="Q75" s="66" t="s">
        <v>87</v>
      </c>
      <c r="R75" s="38"/>
      <c r="S75" s="38"/>
      <c r="T75" s="38"/>
      <c r="U75" s="38"/>
      <c r="V75" s="38"/>
      <c r="W75" s="38"/>
      <c r="X75" s="60"/>
    </row>
    <row r="76" spans="1:24" ht="10.5" customHeight="1">
      <c r="Q76" s="66" t="s">
        <v>88</v>
      </c>
      <c r="R76" s="38"/>
      <c r="S76" s="38"/>
      <c r="T76" s="38"/>
      <c r="U76" s="38"/>
      <c r="V76" s="38"/>
      <c r="W76" s="38"/>
      <c r="X76" s="60"/>
    </row>
    <row r="77" spans="1:24" ht="10.5" customHeight="1">
      <c r="Q77" s="65" t="s">
        <v>89</v>
      </c>
      <c r="R77" s="116"/>
      <c r="S77" s="116"/>
      <c r="T77" s="116"/>
      <c r="U77" s="116"/>
      <c r="V77" s="116"/>
      <c r="W77" s="116"/>
      <c r="X77" s="117"/>
    </row>
  </sheetData>
  <mergeCells count="235">
    <mergeCell ref="A1:D3"/>
    <mergeCell ref="F1:U3"/>
    <mergeCell ref="A4:C4"/>
    <mergeCell ref="D4:G4"/>
    <mergeCell ref="H4:N4"/>
    <mergeCell ref="O4:V4"/>
    <mergeCell ref="W4:X5"/>
    <mergeCell ref="A5:N5"/>
    <mergeCell ref="O5:V5"/>
    <mergeCell ref="A6:D6"/>
    <mergeCell ref="F6:N6"/>
    <mergeCell ref="A7:D7"/>
    <mergeCell ref="F7:N7"/>
    <mergeCell ref="O7:S7"/>
    <mergeCell ref="T7:X7"/>
    <mergeCell ref="A8:B8"/>
    <mergeCell ref="D8:F8"/>
    <mergeCell ref="G8:G12"/>
    <mergeCell ref="H8:N8"/>
    <mergeCell ref="R8:W9"/>
    <mergeCell ref="X8:X12"/>
    <mergeCell ref="A9:B12"/>
    <mergeCell ref="C9:C12"/>
    <mergeCell ref="D9:F12"/>
    <mergeCell ref="O10:O12"/>
    <mergeCell ref="V10:V12"/>
    <mergeCell ref="W10:W12"/>
    <mergeCell ref="H12:N12"/>
    <mergeCell ref="R10:R12"/>
    <mergeCell ref="S10:S12"/>
    <mergeCell ref="T10:T12"/>
    <mergeCell ref="U10:U12"/>
    <mergeCell ref="A13:B13"/>
    <mergeCell ref="C13:C16"/>
    <mergeCell ref="D13:F16"/>
    <mergeCell ref="G13:G14"/>
    <mergeCell ref="H13:H14"/>
    <mergeCell ref="I13:I14"/>
    <mergeCell ref="J13:J14"/>
    <mergeCell ref="P10:P12"/>
    <mergeCell ref="Q10:Q12"/>
    <mergeCell ref="Q15:Q16"/>
    <mergeCell ref="A16:B16"/>
    <mergeCell ref="X13:X16"/>
    <mergeCell ref="A14:B14"/>
    <mergeCell ref="A15:B15"/>
    <mergeCell ref="G15:G16"/>
    <mergeCell ref="H15:H16"/>
    <mergeCell ref="I15:I16"/>
    <mergeCell ref="J15:J16"/>
    <mergeCell ref="K15:K16"/>
    <mergeCell ref="L15:L16"/>
    <mergeCell ref="M15:M16"/>
    <mergeCell ref="R13:R16"/>
    <mergeCell ref="S13:S16"/>
    <mergeCell ref="T13:T16"/>
    <mergeCell ref="U13:U16"/>
    <mergeCell ref="V13:V16"/>
    <mergeCell ref="W13:W16"/>
    <mergeCell ref="K13:K14"/>
    <mergeCell ref="L13:L14"/>
    <mergeCell ref="M13:M14"/>
    <mergeCell ref="N13:N14"/>
    <mergeCell ref="O13:O14"/>
    <mergeCell ref="Q13:Q14"/>
    <mergeCell ref="N15:N16"/>
    <mergeCell ref="O15:O16"/>
    <mergeCell ref="A17:B17"/>
    <mergeCell ref="C17:C20"/>
    <mergeCell ref="D17:F20"/>
    <mergeCell ref="G17:G18"/>
    <mergeCell ref="H17:H18"/>
    <mergeCell ref="I17:I18"/>
    <mergeCell ref="W17:W20"/>
    <mergeCell ref="X17:X20"/>
    <mergeCell ref="A18:B18"/>
    <mergeCell ref="A19:B19"/>
    <mergeCell ref="G19:G20"/>
    <mergeCell ref="H19:H20"/>
    <mergeCell ref="I19:I20"/>
    <mergeCell ref="J19:J20"/>
    <mergeCell ref="K19:K20"/>
    <mergeCell ref="L19:L20"/>
    <mergeCell ref="Q17:Q18"/>
    <mergeCell ref="R17:R20"/>
    <mergeCell ref="S17:S20"/>
    <mergeCell ref="T17:T20"/>
    <mergeCell ref="U17:U20"/>
    <mergeCell ref="V17:V20"/>
    <mergeCell ref="J17:J18"/>
    <mergeCell ref="K17:K18"/>
    <mergeCell ref="L17:L18"/>
    <mergeCell ref="M17:M18"/>
    <mergeCell ref="N17:N18"/>
    <mergeCell ref="O17:O18"/>
    <mergeCell ref="K21:K22"/>
    <mergeCell ref="L21:L22"/>
    <mergeCell ref="M21:M22"/>
    <mergeCell ref="N21:N22"/>
    <mergeCell ref="M19:M20"/>
    <mergeCell ref="N19:N20"/>
    <mergeCell ref="O19:O20"/>
    <mergeCell ref="Q19:Q20"/>
    <mergeCell ref="A20:B20"/>
    <mergeCell ref="A21:B21"/>
    <mergeCell ref="C21:C24"/>
    <mergeCell ref="D21:F24"/>
    <mergeCell ref="G21:G22"/>
    <mergeCell ref="H21:H22"/>
    <mergeCell ref="L23:L24"/>
    <mergeCell ref="M23:M24"/>
    <mergeCell ref="N23:N24"/>
    <mergeCell ref="O23:O24"/>
    <mergeCell ref="Q23:Q24"/>
    <mergeCell ref="A24:B24"/>
    <mergeCell ref="V21:V24"/>
    <mergeCell ref="W21:W24"/>
    <mergeCell ref="X21:X24"/>
    <mergeCell ref="A22:B22"/>
    <mergeCell ref="A23:B23"/>
    <mergeCell ref="G23:G24"/>
    <mergeCell ref="H23:H24"/>
    <mergeCell ref="I23:I24"/>
    <mergeCell ref="J23:J24"/>
    <mergeCell ref="K23:K24"/>
    <mergeCell ref="O21:O22"/>
    <mergeCell ref="Q21:Q22"/>
    <mergeCell ref="R21:R24"/>
    <mergeCell ref="S21:S24"/>
    <mergeCell ref="T21:T24"/>
    <mergeCell ref="U21:U24"/>
    <mergeCell ref="I21:I22"/>
    <mergeCell ref="J21:J22"/>
    <mergeCell ref="W25:W28"/>
    <mergeCell ref="X25:X28"/>
    <mergeCell ref="A26:B26"/>
    <mergeCell ref="A27:B27"/>
    <mergeCell ref="G27:G28"/>
    <mergeCell ref="H27:H28"/>
    <mergeCell ref="I27:I28"/>
    <mergeCell ref="J27:J28"/>
    <mergeCell ref="K27:K28"/>
    <mergeCell ref="L27:L28"/>
    <mergeCell ref="Q25:Q26"/>
    <mergeCell ref="R25:R28"/>
    <mergeCell ref="S25:S28"/>
    <mergeCell ref="T25:T28"/>
    <mergeCell ref="U25:U28"/>
    <mergeCell ref="V25:V28"/>
    <mergeCell ref="J25:J26"/>
    <mergeCell ref="K25:K26"/>
    <mergeCell ref="L25:L26"/>
    <mergeCell ref="M25:M26"/>
    <mergeCell ref="N25:N26"/>
    <mergeCell ref="O25:O26"/>
    <mergeCell ref="A25:B25"/>
    <mergeCell ref="C25:C28"/>
    <mergeCell ref="M27:M28"/>
    <mergeCell ref="N27:N28"/>
    <mergeCell ref="O27:O28"/>
    <mergeCell ref="Q27:Q28"/>
    <mergeCell ref="A28:B28"/>
    <mergeCell ref="A29:B29"/>
    <mergeCell ref="C29:C32"/>
    <mergeCell ref="D29:F32"/>
    <mergeCell ref="G29:G30"/>
    <mergeCell ref="H29:H30"/>
    <mergeCell ref="D25:F28"/>
    <mergeCell ref="G25:G26"/>
    <mergeCell ref="H25:H26"/>
    <mergeCell ref="I25:I26"/>
    <mergeCell ref="L31:L32"/>
    <mergeCell ref="M31:M32"/>
    <mergeCell ref="N31:N32"/>
    <mergeCell ref="O31:O32"/>
    <mergeCell ref="Q31:Q32"/>
    <mergeCell ref="A32:B32"/>
    <mergeCell ref="V29:V32"/>
    <mergeCell ref="W29:W32"/>
    <mergeCell ref="X29:X32"/>
    <mergeCell ref="A30:B30"/>
    <mergeCell ref="A31:B31"/>
    <mergeCell ref="G31:G32"/>
    <mergeCell ref="H31:H32"/>
    <mergeCell ref="I31:I32"/>
    <mergeCell ref="J31:J32"/>
    <mergeCell ref="K31:K32"/>
    <mergeCell ref="O29:O30"/>
    <mergeCell ref="Q29:Q30"/>
    <mergeCell ref="R29:R32"/>
    <mergeCell ref="S29:S32"/>
    <mergeCell ref="T29:T32"/>
    <mergeCell ref="U29:U32"/>
    <mergeCell ref="I29:I30"/>
    <mergeCell ref="J29:J30"/>
    <mergeCell ref="K29:K30"/>
    <mergeCell ref="L29:L30"/>
    <mergeCell ref="M29:M30"/>
    <mergeCell ref="N29:N30"/>
    <mergeCell ref="J33:J34"/>
    <mergeCell ref="K33:K34"/>
    <mergeCell ref="L33:L34"/>
    <mergeCell ref="M33:M34"/>
    <mergeCell ref="N33:N34"/>
    <mergeCell ref="O33:O34"/>
    <mergeCell ref="A33:B33"/>
    <mergeCell ref="C33:C36"/>
    <mergeCell ref="D33:F36"/>
    <mergeCell ref="G33:G34"/>
    <mergeCell ref="H33:H34"/>
    <mergeCell ref="I33:I34"/>
    <mergeCell ref="S50:X51"/>
    <mergeCell ref="S53:X54"/>
    <mergeCell ref="M35:M36"/>
    <mergeCell ref="N35:N36"/>
    <mergeCell ref="O35:O36"/>
    <mergeCell ref="Q35:Q36"/>
    <mergeCell ref="A36:B36"/>
    <mergeCell ref="C48:D48"/>
    <mergeCell ref="W33:W36"/>
    <mergeCell ref="X33:X36"/>
    <mergeCell ref="A34:B34"/>
    <mergeCell ref="A35:B35"/>
    <mergeCell ref="G35:G36"/>
    <mergeCell ref="H35:H36"/>
    <mergeCell ref="I35:I36"/>
    <mergeCell ref="J35:J36"/>
    <mergeCell ref="K35:K36"/>
    <mergeCell ref="L35:L36"/>
    <mergeCell ref="Q33:Q34"/>
    <mergeCell ref="R33:R36"/>
    <mergeCell ref="S33:S36"/>
    <mergeCell ref="T33:T36"/>
    <mergeCell ref="U33:U36"/>
    <mergeCell ref="V33:V36"/>
  </mergeCells>
  <phoneticPr fontId="11" type="noConversion"/>
  <pageMargins left="0.7" right="0.7" top="0.75" bottom="0.75" header="0.3" footer="0.3"/>
  <pageSetup scale="77" orientation="landscape" horizontalDpi="4294967292" verticalDpi="4294967292"/>
  <rowBreaks count="1" manualBreakCount="1">
    <brk id="36" max="16383" man="1"/>
  </rowBreaks>
  <colBreaks count="1" manualBreakCount="1">
    <brk id="24" max="1048575" man="1"/>
  </colBreaks>
  <extLst>
    <ext xmlns:mx="http://schemas.microsoft.com/office/mac/excel/2008/main" uri="{64002731-A6B0-56B0-2670-7721B7C09600}">
      <mx:PLV Mode="1" OnePage="0" WScale="77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77"/>
  <sheetViews>
    <sheetView view="pageLayout" zoomScaleNormal="125" zoomScalePageLayoutView="125" workbookViewId="0">
      <selection activeCell="D8" sqref="D8:F8"/>
    </sheetView>
  </sheetViews>
  <sheetFormatPr baseColWidth="10" defaultColWidth="8.83203125" defaultRowHeight="14" x14ac:dyDescent="0"/>
  <cols>
    <col min="1" max="1" width="10.33203125" customWidth="1"/>
    <col min="2" max="2" width="11.1640625" customWidth="1"/>
    <col min="3" max="3" width="5" customWidth="1"/>
    <col min="4" max="4" width="5.1640625" customWidth="1"/>
    <col min="5" max="5" width="4.6640625" customWidth="1"/>
    <col min="6" max="6" width="4.83203125" customWidth="1"/>
    <col min="7" max="7" width="3.6640625" customWidth="1"/>
    <col min="8" max="8" width="5" customWidth="1"/>
    <col min="9" max="9" width="4.6640625" customWidth="1"/>
    <col min="10" max="11" width="5.33203125" customWidth="1"/>
    <col min="12" max="12" width="4.83203125" customWidth="1"/>
    <col min="13" max="13" width="5.5" customWidth="1"/>
    <col min="14" max="14" width="5.1640625" customWidth="1"/>
    <col min="16" max="17" width="9.83203125" bestFit="1" customWidth="1"/>
    <col min="18" max="18" width="7.6640625" customWidth="1"/>
    <col min="19" max="19" width="9.5" customWidth="1"/>
    <col min="20" max="20" width="6" hidden="1" customWidth="1"/>
    <col min="21" max="21" width="4.33203125" hidden="1" customWidth="1"/>
    <col min="22" max="22" width="7.6640625" hidden="1" customWidth="1"/>
    <col min="23" max="23" width="9.33203125" customWidth="1"/>
    <col min="24" max="24" width="12.6640625" customWidth="1"/>
  </cols>
  <sheetData>
    <row r="1" spans="1:24" ht="15" customHeight="1">
      <c r="A1" s="149" t="s">
        <v>22</v>
      </c>
      <c r="B1" s="149"/>
      <c r="C1" s="149"/>
      <c r="D1" s="149"/>
      <c r="E1" s="124"/>
      <c r="F1" s="151" t="s">
        <v>55</v>
      </c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9"/>
      <c r="W1" s="9"/>
      <c r="X1" s="9"/>
    </row>
    <row r="2" spans="1:24">
      <c r="A2" s="149"/>
      <c r="B2" s="149"/>
      <c r="C2" s="149"/>
      <c r="D2" s="149"/>
      <c r="E2" s="124"/>
      <c r="F2" s="151"/>
      <c r="G2" s="151"/>
      <c r="H2" s="151"/>
      <c r="I2" s="151"/>
      <c r="J2" s="151"/>
      <c r="K2" s="151"/>
      <c r="L2" s="151"/>
      <c r="M2" s="151"/>
      <c r="N2" s="151"/>
      <c r="O2" s="151"/>
      <c r="P2" s="151"/>
      <c r="Q2" s="151"/>
      <c r="R2" s="151"/>
      <c r="S2" s="151"/>
      <c r="T2" s="151"/>
      <c r="U2" s="151"/>
      <c r="V2" s="9"/>
      <c r="W2" s="9"/>
      <c r="X2" s="9"/>
    </row>
    <row r="3" spans="1:24" ht="15" customHeight="1" thickBot="1">
      <c r="A3" s="150"/>
      <c r="B3" s="150"/>
      <c r="C3" s="150"/>
      <c r="D3" s="150"/>
      <c r="E3" s="125"/>
      <c r="F3" s="152"/>
      <c r="G3" s="152"/>
      <c r="H3" s="152"/>
      <c r="I3" s="152"/>
      <c r="J3" s="152"/>
      <c r="K3" s="152"/>
      <c r="L3" s="152"/>
      <c r="M3" s="152"/>
      <c r="N3" s="152"/>
      <c r="O3" s="152"/>
      <c r="P3" s="152"/>
      <c r="Q3" s="152"/>
      <c r="R3" s="152"/>
      <c r="S3" s="152"/>
      <c r="T3" s="152"/>
      <c r="U3" s="152"/>
      <c r="V3" s="10"/>
      <c r="W3" s="10"/>
      <c r="X3" s="10"/>
    </row>
    <row r="4" spans="1:24" s="11" customFormat="1">
      <c r="A4" s="153" t="s">
        <v>56</v>
      </c>
      <c r="B4" s="154"/>
      <c r="C4" s="154"/>
      <c r="D4" s="154" t="s">
        <v>52</v>
      </c>
      <c r="E4" s="154"/>
      <c r="F4" s="154"/>
      <c r="G4" s="154"/>
      <c r="H4" s="155"/>
      <c r="I4" s="155"/>
      <c r="J4" s="155"/>
      <c r="K4" s="155"/>
      <c r="L4" s="155"/>
      <c r="M4" s="155"/>
      <c r="N4" s="156"/>
      <c r="O4" s="157" t="s">
        <v>126</v>
      </c>
      <c r="P4" s="158"/>
      <c r="Q4" s="158"/>
      <c r="R4" s="158"/>
      <c r="S4" s="158"/>
      <c r="T4" s="158"/>
      <c r="U4" s="158"/>
      <c r="V4" s="158"/>
      <c r="W4" s="159"/>
      <c r="X4" s="160"/>
    </row>
    <row r="5" spans="1:24" s="1" customFormat="1" ht="12">
      <c r="A5" s="163" t="s">
        <v>125</v>
      </c>
      <c r="B5" s="164"/>
      <c r="C5" s="164"/>
      <c r="D5" s="164"/>
      <c r="E5" s="164"/>
      <c r="F5" s="164"/>
      <c r="G5" s="164"/>
      <c r="H5" s="164"/>
      <c r="I5" s="164"/>
      <c r="J5" s="164"/>
      <c r="K5" s="164"/>
      <c r="L5" s="164"/>
      <c r="M5" s="164"/>
      <c r="N5" s="165"/>
      <c r="O5" s="166" t="s">
        <v>108</v>
      </c>
      <c r="P5" s="167"/>
      <c r="Q5" s="167"/>
      <c r="R5" s="167"/>
      <c r="S5" s="167"/>
      <c r="T5" s="167"/>
      <c r="U5" s="167"/>
      <c r="V5" s="167"/>
      <c r="W5" s="161"/>
      <c r="X5" s="162"/>
    </row>
    <row r="6" spans="1:24" s="13" customFormat="1" ht="11">
      <c r="A6" s="168" t="s">
        <v>18</v>
      </c>
      <c r="B6" s="169"/>
      <c r="C6" s="169"/>
      <c r="D6" s="170"/>
      <c r="E6" s="115"/>
      <c r="F6" s="168" t="s">
        <v>19</v>
      </c>
      <c r="G6" s="169"/>
      <c r="H6" s="169"/>
      <c r="I6" s="169"/>
      <c r="J6" s="169"/>
      <c r="K6" s="169"/>
      <c r="L6" s="169"/>
      <c r="M6" s="169"/>
      <c r="N6" s="170"/>
      <c r="O6" s="102" t="s">
        <v>20</v>
      </c>
      <c r="P6" s="15"/>
      <c r="Q6" s="15"/>
      <c r="R6" s="15"/>
      <c r="S6" s="102" t="s">
        <v>91</v>
      </c>
      <c r="T6" s="15" t="s">
        <v>21</v>
      </c>
      <c r="U6" s="15"/>
      <c r="V6" s="15"/>
      <c r="X6" s="16"/>
    </row>
    <row r="7" spans="1:24" s="1" customFormat="1" ht="16.5" customHeight="1">
      <c r="A7" s="171">
        <v>6</v>
      </c>
      <c r="B7" s="172"/>
      <c r="C7" s="172"/>
      <c r="D7" s="173"/>
      <c r="E7" s="123"/>
      <c r="F7" s="174">
        <v>42421</v>
      </c>
      <c r="G7" s="175"/>
      <c r="H7" s="175"/>
      <c r="I7" s="175"/>
      <c r="J7" s="175"/>
      <c r="K7" s="175"/>
      <c r="L7" s="175"/>
      <c r="M7" s="175"/>
      <c r="N7" s="176"/>
      <c r="O7" s="166" t="s">
        <v>107</v>
      </c>
      <c r="P7" s="167"/>
      <c r="Q7" s="167"/>
      <c r="R7" s="167"/>
      <c r="S7" s="167"/>
      <c r="T7" s="167" t="s">
        <v>109</v>
      </c>
      <c r="U7" s="167"/>
      <c r="V7" s="167"/>
      <c r="W7" s="167"/>
      <c r="X7" s="177"/>
    </row>
    <row r="8" spans="1:24" s="2" customFormat="1" ht="11.25" customHeight="1">
      <c r="A8" s="178" t="s">
        <v>23</v>
      </c>
      <c r="B8" s="179"/>
      <c r="C8" s="7" t="s">
        <v>24</v>
      </c>
      <c r="D8" s="178" t="s">
        <v>25</v>
      </c>
      <c r="E8" s="180"/>
      <c r="F8" s="179"/>
      <c r="G8" s="181" t="s">
        <v>29</v>
      </c>
      <c r="H8" s="184" t="s">
        <v>54</v>
      </c>
      <c r="I8" s="185"/>
      <c r="J8" s="185"/>
      <c r="K8" s="185"/>
      <c r="L8" s="185"/>
      <c r="M8" s="185"/>
      <c r="N8" s="186"/>
      <c r="O8" s="7" t="s">
        <v>30</v>
      </c>
      <c r="P8" s="7" t="s">
        <v>31</v>
      </c>
      <c r="Q8" s="7" t="s">
        <v>32</v>
      </c>
      <c r="R8" s="187" t="s">
        <v>33</v>
      </c>
      <c r="S8" s="187"/>
      <c r="T8" s="187"/>
      <c r="U8" s="187"/>
      <c r="V8" s="187"/>
      <c r="W8" s="187"/>
      <c r="X8" s="187" t="s">
        <v>53</v>
      </c>
    </row>
    <row r="9" spans="1:24" ht="17.25" customHeight="1">
      <c r="A9" s="188" t="s">
        <v>26</v>
      </c>
      <c r="B9" s="189"/>
      <c r="C9" s="192" t="s">
        <v>27</v>
      </c>
      <c r="D9" s="194" t="s">
        <v>28</v>
      </c>
      <c r="E9" s="195"/>
      <c r="F9" s="196"/>
      <c r="G9" s="182"/>
      <c r="H9" s="132" t="s">
        <v>36</v>
      </c>
      <c r="I9" s="133" t="s">
        <v>37</v>
      </c>
      <c r="J9" s="133" t="s">
        <v>38</v>
      </c>
      <c r="K9" s="133" t="s">
        <v>111</v>
      </c>
      <c r="L9" s="133" t="s">
        <v>39</v>
      </c>
      <c r="M9" s="133" t="s">
        <v>41</v>
      </c>
      <c r="N9" s="133" t="s">
        <v>42</v>
      </c>
      <c r="O9" s="6"/>
      <c r="P9" s="8"/>
      <c r="Q9" s="8"/>
      <c r="R9" s="187"/>
      <c r="S9" s="187"/>
      <c r="T9" s="187"/>
      <c r="U9" s="187"/>
      <c r="V9" s="187"/>
      <c r="W9" s="187"/>
      <c r="X9" s="187"/>
    </row>
    <row r="10" spans="1:24" ht="19.5" customHeight="1">
      <c r="A10" s="188"/>
      <c r="B10" s="189"/>
      <c r="C10" s="192"/>
      <c r="D10" s="194"/>
      <c r="E10" s="195"/>
      <c r="F10" s="196"/>
      <c r="G10" s="182"/>
      <c r="H10" s="100">
        <f t="shared" ref="H10:L10" si="0">I10-1</f>
        <v>42415</v>
      </c>
      <c r="I10" s="100">
        <f t="shared" si="0"/>
        <v>42416</v>
      </c>
      <c r="J10" s="100">
        <f t="shared" si="0"/>
        <v>42417</v>
      </c>
      <c r="K10" s="100">
        <f t="shared" si="0"/>
        <v>42418</v>
      </c>
      <c r="L10" s="100">
        <f t="shared" si="0"/>
        <v>42419</v>
      </c>
      <c r="M10" s="100">
        <f>N10-1</f>
        <v>42420</v>
      </c>
      <c r="N10" s="100">
        <f>F7</f>
        <v>42421</v>
      </c>
      <c r="O10" s="200" t="s">
        <v>46</v>
      </c>
      <c r="P10" s="200" t="s">
        <v>47</v>
      </c>
      <c r="Q10" s="200" t="s">
        <v>48</v>
      </c>
      <c r="R10" s="206" t="s">
        <v>44</v>
      </c>
      <c r="S10" s="206" t="s">
        <v>45</v>
      </c>
      <c r="T10" s="207"/>
      <c r="U10" s="207"/>
      <c r="V10" s="202" t="s">
        <v>35</v>
      </c>
      <c r="W10" s="203" t="s">
        <v>34</v>
      </c>
      <c r="X10" s="187"/>
    </row>
    <row r="11" spans="1:24" ht="18.75" hidden="1" customHeight="1">
      <c r="A11" s="188"/>
      <c r="B11" s="189"/>
      <c r="C11" s="192"/>
      <c r="D11" s="194"/>
      <c r="E11" s="195"/>
      <c r="F11" s="196"/>
      <c r="G11" s="182"/>
      <c r="H11" s="5"/>
      <c r="I11" s="4"/>
      <c r="J11" s="4"/>
      <c r="K11" s="4"/>
      <c r="L11" s="4"/>
      <c r="M11" s="4"/>
      <c r="N11" s="4"/>
      <c r="O11" s="200"/>
      <c r="P11" s="200"/>
      <c r="Q11" s="200"/>
      <c r="R11" s="206"/>
      <c r="S11" s="206"/>
      <c r="T11" s="207"/>
      <c r="U11" s="207"/>
      <c r="V11" s="202"/>
      <c r="W11" s="203"/>
      <c r="X11" s="187"/>
    </row>
    <row r="12" spans="1:24">
      <c r="A12" s="190"/>
      <c r="B12" s="191"/>
      <c r="C12" s="193"/>
      <c r="D12" s="197"/>
      <c r="E12" s="198"/>
      <c r="F12" s="199"/>
      <c r="G12" s="183"/>
      <c r="H12" s="204" t="s">
        <v>43</v>
      </c>
      <c r="I12" s="204"/>
      <c r="J12" s="204"/>
      <c r="K12" s="204"/>
      <c r="L12" s="204"/>
      <c r="M12" s="204"/>
      <c r="N12" s="205"/>
      <c r="O12" s="201"/>
      <c r="P12" s="201"/>
      <c r="Q12" s="201"/>
      <c r="R12" s="206"/>
      <c r="S12" s="206"/>
      <c r="T12" s="207"/>
      <c r="U12" s="207"/>
      <c r="V12" s="202"/>
      <c r="W12" s="203"/>
      <c r="X12" s="187"/>
    </row>
    <row r="13" spans="1:24" ht="15" customHeight="1">
      <c r="A13" s="208" t="s">
        <v>98</v>
      </c>
      <c r="B13" s="209"/>
      <c r="C13" s="210">
        <v>2</v>
      </c>
      <c r="D13" s="249" t="s">
        <v>123</v>
      </c>
      <c r="E13" s="250"/>
      <c r="F13" s="251"/>
      <c r="G13" s="220" t="s">
        <v>49</v>
      </c>
      <c r="H13" s="220"/>
      <c r="I13" s="220"/>
      <c r="J13" s="220"/>
      <c r="K13" s="220"/>
      <c r="L13" s="220"/>
      <c r="M13" s="220">
        <v>0</v>
      </c>
      <c r="N13" s="220"/>
      <c r="O13" s="232">
        <f>SUM(H13:N14)</f>
        <v>0</v>
      </c>
      <c r="P13" s="105" t="s">
        <v>110</v>
      </c>
      <c r="Q13" s="238">
        <f>P14*O13</f>
        <v>0</v>
      </c>
      <c r="R13" s="226">
        <f>32.66</f>
        <v>32.659999999999997</v>
      </c>
      <c r="S13" s="226">
        <f>29.53+6.91+9.79</f>
        <v>46.23</v>
      </c>
      <c r="T13" s="226"/>
      <c r="U13" s="226"/>
      <c r="V13" s="226"/>
      <c r="W13" s="226">
        <f>S13+R13</f>
        <v>78.889999999999986</v>
      </c>
      <c r="X13" s="229">
        <f>Q15-W13</f>
        <v>397.36</v>
      </c>
    </row>
    <row r="14" spans="1:24">
      <c r="A14" s="221"/>
      <c r="B14" s="222"/>
      <c r="C14" s="210"/>
      <c r="D14" s="252"/>
      <c r="E14" s="253"/>
      <c r="F14" s="254"/>
      <c r="G14" s="220"/>
      <c r="H14" s="220"/>
      <c r="I14" s="220"/>
      <c r="J14" s="220"/>
      <c r="K14" s="220"/>
      <c r="L14" s="220"/>
      <c r="M14" s="220"/>
      <c r="N14" s="220"/>
      <c r="O14" s="233"/>
      <c r="P14" s="103">
        <f>P16/2+P16</f>
        <v>22.5</v>
      </c>
      <c r="Q14" s="239"/>
      <c r="R14" s="227"/>
      <c r="S14" s="227"/>
      <c r="T14" s="227"/>
      <c r="U14" s="227"/>
      <c r="V14" s="227"/>
      <c r="W14" s="227"/>
      <c r="X14" s="230"/>
    </row>
    <row r="15" spans="1:24">
      <c r="A15" s="221" t="s">
        <v>103</v>
      </c>
      <c r="B15" s="222"/>
      <c r="C15" s="210"/>
      <c r="D15" s="252"/>
      <c r="E15" s="253"/>
      <c r="F15" s="254"/>
      <c r="G15" s="223" t="s">
        <v>40</v>
      </c>
      <c r="H15" s="223">
        <v>0</v>
      </c>
      <c r="I15" s="223">
        <v>2.5</v>
      </c>
      <c r="J15" s="223">
        <v>3.25</v>
      </c>
      <c r="K15" s="223">
        <v>8.5</v>
      </c>
      <c r="L15" s="223">
        <v>10</v>
      </c>
      <c r="M15" s="223">
        <v>5.5</v>
      </c>
      <c r="N15" s="223">
        <v>2</v>
      </c>
      <c r="O15" s="234">
        <f>SUM(H15:N16)</f>
        <v>31.75</v>
      </c>
      <c r="P15" s="106" t="s">
        <v>110</v>
      </c>
      <c r="Q15" s="236">
        <f>P16*O15</f>
        <v>476.25</v>
      </c>
      <c r="R15" s="227"/>
      <c r="S15" s="227"/>
      <c r="T15" s="227"/>
      <c r="U15" s="227"/>
      <c r="V15" s="227"/>
      <c r="W15" s="227"/>
      <c r="X15" s="230"/>
    </row>
    <row r="16" spans="1:24">
      <c r="A16" s="224"/>
      <c r="B16" s="225"/>
      <c r="C16" s="210"/>
      <c r="D16" s="255"/>
      <c r="E16" s="256"/>
      <c r="F16" s="257"/>
      <c r="G16" s="223"/>
      <c r="H16" s="223"/>
      <c r="I16" s="223"/>
      <c r="J16" s="223"/>
      <c r="K16" s="223"/>
      <c r="L16" s="223"/>
      <c r="M16" s="223"/>
      <c r="N16" s="223"/>
      <c r="O16" s="235"/>
      <c r="P16" s="104">
        <v>15</v>
      </c>
      <c r="Q16" s="237"/>
      <c r="R16" s="228"/>
      <c r="S16" s="228"/>
      <c r="T16" s="228"/>
      <c r="U16" s="228"/>
      <c r="V16" s="228"/>
      <c r="W16" s="228"/>
      <c r="X16" s="231"/>
    </row>
    <row r="17" spans="1:24" ht="15" customHeight="1">
      <c r="A17" s="208" t="s">
        <v>99</v>
      </c>
      <c r="B17" s="209"/>
      <c r="C17" s="210">
        <v>2</v>
      </c>
      <c r="D17" s="249" t="s">
        <v>123</v>
      </c>
      <c r="E17" s="250"/>
      <c r="F17" s="251"/>
      <c r="G17" s="220" t="s">
        <v>49</v>
      </c>
      <c r="H17" s="220"/>
      <c r="I17" s="220"/>
      <c r="J17" s="220"/>
      <c r="K17" s="220"/>
      <c r="L17" s="220"/>
      <c r="M17" s="220"/>
      <c r="N17" s="220"/>
      <c r="O17" s="232">
        <f>SUM(H17:N18)</f>
        <v>0</v>
      </c>
      <c r="P17" s="105" t="s">
        <v>110</v>
      </c>
      <c r="Q17" s="238">
        <f>P18*O17</f>
        <v>0</v>
      </c>
      <c r="R17" s="226">
        <v>5.6</v>
      </c>
      <c r="S17" s="226">
        <f>15.81+3.69+2.99</f>
        <v>22.490000000000002</v>
      </c>
      <c r="T17" s="226"/>
      <c r="U17" s="226"/>
      <c r="V17" s="226"/>
      <c r="W17" s="226">
        <f>S17+R17</f>
        <v>28.090000000000003</v>
      </c>
      <c r="X17" s="229">
        <f>Q19-W17</f>
        <v>226.91</v>
      </c>
    </row>
    <row r="18" spans="1:24">
      <c r="A18" s="221"/>
      <c r="B18" s="222"/>
      <c r="C18" s="210"/>
      <c r="D18" s="252"/>
      <c r="E18" s="253"/>
      <c r="F18" s="254"/>
      <c r="G18" s="220"/>
      <c r="H18" s="220"/>
      <c r="I18" s="220"/>
      <c r="J18" s="220"/>
      <c r="K18" s="220"/>
      <c r="L18" s="220"/>
      <c r="M18" s="220"/>
      <c r="N18" s="220"/>
      <c r="O18" s="233"/>
      <c r="P18" s="103">
        <f>P20/2+P20</f>
        <v>22.5</v>
      </c>
      <c r="Q18" s="239"/>
      <c r="R18" s="227"/>
      <c r="S18" s="227"/>
      <c r="T18" s="227"/>
      <c r="U18" s="227"/>
      <c r="V18" s="227"/>
      <c r="W18" s="227"/>
      <c r="X18" s="230"/>
    </row>
    <row r="19" spans="1:24">
      <c r="A19" s="221" t="s">
        <v>102</v>
      </c>
      <c r="B19" s="222"/>
      <c r="C19" s="210"/>
      <c r="D19" s="252"/>
      <c r="E19" s="253"/>
      <c r="F19" s="254"/>
      <c r="G19" s="223" t="s">
        <v>40</v>
      </c>
      <c r="H19" s="223">
        <v>0</v>
      </c>
      <c r="I19" s="223">
        <v>0</v>
      </c>
      <c r="J19" s="223">
        <v>0</v>
      </c>
      <c r="K19" s="223">
        <v>7.5</v>
      </c>
      <c r="L19" s="223">
        <v>7.5</v>
      </c>
      <c r="M19" s="223"/>
      <c r="N19" s="223">
        <v>2</v>
      </c>
      <c r="O19" s="223">
        <f>SUM(H19:N20)</f>
        <v>17</v>
      </c>
      <c r="P19" s="106" t="s">
        <v>110</v>
      </c>
      <c r="Q19" s="236">
        <f>P20*O19</f>
        <v>255</v>
      </c>
      <c r="R19" s="227"/>
      <c r="S19" s="227"/>
      <c r="T19" s="227"/>
      <c r="U19" s="227"/>
      <c r="V19" s="227"/>
      <c r="W19" s="227"/>
      <c r="X19" s="230"/>
    </row>
    <row r="20" spans="1:24">
      <c r="A20" s="224"/>
      <c r="B20" s="225"/>
      <c r="C20" s="210"/>
      <c r="D20" s="255"/>
      <c r="E20" s="256"/>
      <c r="F20" s="257"/>
      <c r="G20" s="223"/>
      <c r="H20" s="223"/>
      <c r="I20" s="223"/>
      <c r="J20" s="223"/>
      <c r="K20" s="223"/>
      <c r="L20" s="223"/>
      <c r="M20" s="223"/>
      <c r="N20" s="223"/>
      <c r="O20" s="223"/>
      <c r="P20" s="104">
        <v>15</v>
      </c>
      <c r="Q20" s="237"/>
      <c r="R20" s="228"/>
      <c r="S20" s="228"/>
      <c r="T20" s="228"/>
      <c r="U20" s="228"/>
      <c r="V20" s="228"/>
      <c r="W20" s="228"/>
      <c r="X20" s="231"/>
    </row>
    <row r="21" spans="1:24" ht="14" customHeight="1">
      <c r="A21" s="208" t="s">
        <v>112</v>
      </c>
      <c r="B21" s="209"/>
      <c r="C21" s="210">
        <v>3</v>
      </c>
      <c r="D21" s="211" t="s">
        <v>116</v>
      </c>
      <c r="E21" s="212"/>
      <c r="F21" s="213"/>
      <c r="G21" s="220" t="s">
        <v>49</v>
      </c>
      <c r="H21" s="220"/>
      <c r="I21" s="220"/>
      <c r="J21" s="220"/>
      <c r="K21" s="220"/>
      <c r="L21" s="220"/>
      <c r="M21" s="220"/>
      <c r="N21" s="220"/>
      <c r="O21" s="232">
        <f>SUM(H21:N22)</f>
        <v>0</v>
      </c>
      <c r="P21" s="105" t="s">
        <v>110</v>
      </c>
      <c r="Q21" s="238">
        <f>P22*O21</f>
        <v>0</v>
      </c>
      <c r="R21" s="226">
        <f>2.51</f>
        <v>2.5099999999999998</v>
      </c>
      <c r="S21" s="226">
        <f>9.06+2.12+1.22</f>
        <v>12.4</v>
      </c>
      <c r="T21" s="226"/>
      <c r="U21" s="226"/>
      <c r="V21" s="226"/>
      <c r="W21" s="226">
        <f>S21+R21</f>
        <v>14.91</v>
      </c>
      <c r="X21" s="229">
        <f>Q23-W21</f>
        <v>131.34</v>
      </c>
    </row>
    <row r="22" spans="1:24">
      <c r="A22" s="221" t="s">
        <v>120</v>
      </c>
      <c r="B22" s="222"/>
      <c r="C22" s="210"/>
      <c r="D22" s="214"/>
      <c r="E22" s="215"/>
      <c r="F22" s="216"/>
      <c r="G22" s="220"/>
      <c r="H22" s="220"/>
      <c r="I22" s="220"/>
      <c r="J22" s="220"/>
      <c r="K22" s="220"/>
      <c r="L22" s="220"/>
      <c r="M22" s="220"/>
      <c r="N22" s="220"/>
      <c r="O22" s="233"/>
      <c r="P22" s="103">
        <f>P24/2+P24</f>
        <v>19.5</v>
      </c>
      <c r="Q22" s="239"/>
      <c r="R22" s="227"/>
      <c r="S22" s="227"/>
      <c r="T22" s="227"/>
      <c r="U22" s="227"/>
      <c r="V22" s="227"/>
      <c r="W22" s="227"/>
      <c r="X22" s="230"/>
    </row>
    <row r="23" spans="1:24">
      <c r="A23" s="221"/>
      <c r="B23" s="222"/>
      <c r="C23" s="210"/>
      <c r="D23" s="214"/>
      <c r="E23" s="215"/>
      <c r="F23" s="216"/>
      <c r="G23" s="223" t="s">
        <v>40</v>
      </c>
      <c r="H23" s="223">
        <v>0</v>
      </c>
      <c r="I23" s="223">
        <v>0</v>
      </c>
      <c r="J23" s="223">
        <v>3.25</v>
      </c>
      <c r="K23" s="223">
        <v>8</v>
      </c>
      <c r="L23" s="223">
        <v>0</v>
      </c>
      <c r="M23" s="223">
        <v>0</v>
      </c>
      <c r="N23" s="223">
        <v>0</v>
      </c>
      <c r="O23" s="223">
        <f>SUM(H23:N24)</f>
        <v>11.25</v>
      </c>
      <c r="P23" s="106" t="s">
        <v>110</v>
      </c>
      <c r="Q23" s="236">
        <f>P24*O23</f>
        <v>146.25</v>
      </c>
      <c r="R23" s="227"/>
      <c r="S23" s="227"/>
      <c r="T23" s="227"/>
      <c r="U23" s="227"/>
      <c r="V23" s="227"/>
      <c r="W23" s="227"/>
      <c r="X23" s="230"/>
    </row>
    <row r="24" spans="1:24">
      <c r="A24" s="224"/>
      <c r="B24" s="225"/>
      <c r="C24" s="210"/>
      <c r="D24" s="217"/>
      <c r="E24" s="218"/>
      <c r="F24" s="219"/>
      <c r="G24" s="223"/>
      <c r="H24" s="223"/>
      <c r="I24" s="223"/>
      <c r="J24" s="223"/>
      <c r="K24" s="223"/>
      <c r="L24" s="223"/>
      <c r="M24" s="223"/>
      <c r="N24" s="223"/>
      <c r="O24" s="223"/>
      <c r="P24" s="104">
        <v>13</v>
      </c>
      <c r="Q24" s="237"/>
      <c r="R24" s="228"/>
      <c r="S24" s="228"/>
      <c r="T24" s="228"/>
      <c r="U24" s="228"/>
      <c r="V24" s="228"/>
      <c r="W24" s="228"/>
      <c r="X24" s="231"/>
    </row>
    <row r="25" spans="1:24" ht="14" customHeight="1">
      <c r="A25" s="208" t="s">
        <v>113</v>
      </c>
      <c r="B25" s="209"/>
      <c r="C25" s="210"/>
      <c r="D25" s="211" t="s">
        <v>116</v>
      </c>
      <c r="E25" s="212"/>
      <c r="F25" s="213"/>
      <c r="G25" s="220" t="s">
        <v>49</v>
      </c>
      <c r="H25" s="220"/>
      <c r="I25" s="220"/>
      <c r="J25" s="220"/>
      <c r="K25" s="220"/>
      <c r="L25" s="220"/>
      <c r="M25" s="220"/>
      <c r="N25" s="220"/>
      <c r="O25" s="232">
        <f>SUM(H25:N26)</f>
        <v>0</v>
      </c>
      <c r="P25" s="105" t="s">
        <v>110</v>
      </c>
      <c r="Q25" s="248"/>
      <c r="R25" s="258">
        <v>11.28</v>
      </c>
      <c r="S25" s="258">
        <v>21.49</v>
      </c>
      <c r="T25" s="226"/>
      <c r="U25" s="226"/>
      <c r="V25" s="226"/>
      <c r="W25" s="226">
        <f>S25+R25</f>
        <v>32.769999999999996</v>
      </c>
      <c r="X25" s="229">
        <f>Q27-W25</f>
        <v>201.23000000000002</v>
      </c>
    </row>
    <row r="26" spans="1:24">
      <c r="A26" s="221" t="s">
        <v>119</v>
      </c>
      <c r="B26" s="222"/>
      <c r="C26" s="210"/>
      <c r="D26" s="214"/>
      <c r="E26" s="215"/>
      <c r="F26" s="216"/>
      <c r="G26" s="220"/>
      <c r="H26" s="220"/>
      <c r="I26" s="220"/>
      <c r="J26" s="220"/>
      <c r="K26" s="220"/>
      <c r="L26" s="220"/>
      <c r="M26" s="220"/>
      <c r="N26" s="220"/>
      <c r="O26" s="233"/>
      <c r="P26" s="103">
        <f>P28/2+P28</f>
        <v>19.5</v>
      </c>
      <c r="Q26" s="248"/>
      <c r="R26" s="259"/>
      <c r="S26" s="259"/>
      <c r="T26" s="227"/>
      <c r="U26" s="227"/>
      <c r="V26" s="227"/>
      <c r="W26" s="227"/>
      <c r="X26" s="230"/>
    </row>
    <row r="27" spans="1:24">
      <c r="A27" s="221"/>
      <c r="B27" s="222"/>
      <c r="C27" s="210"/>
      <c r="D27" s="214"/>
      <c r="E27" s="215"/>
      <c r="F27" s="216"/>
      <c r="G27" s="223" t="s">
        <v>40</v>
      </c>
      <c r="H27" s="223">
        <v>0</v>
      </c>
      <c r="I27" s="223">
        <v>0</v>
      </c>
      <c r="J27" s="223">
        <v>0</v>
      </c>
      <c r="K27" s="223">
        <v>8</v>
      </c>
      <c r="L27" s="223">
        <v>10</v>
      </c>
      <c r="M27" s="223">
        <v>0</v>
      </c>
      <c r="N27" s="223">
        <v>0</v>
      </c>
      <c r="O27" s="223">
        <f>SUM(H27:N28)</f>
        <v>18</v>
      </c>
      <c r="P27" s="106" t="s">
        <v>110</v>
      </c>
      <c r="Q27" s="236">
        <f>P28*O27</f>
        <v>234</v>
      </c>
      <c r="R27" s="259"/>
      <c r="S27" s="259"/>
      <c r="T27" s="227"/>
      <c r="U27" s="227"/>
      <c r="V27" s="227"/>
      <c r="W27" s="227"/>
      <c r="X27" s="230"/>
    </row>
    <row r="28" spans="1:24">
      <c r="A28" s="224"/>
      <c r="B28" s="225"/>
      <c r="C28" s="210"/>
      <c r="D28" s="217"/>
      <c r="E28" s="218"/>
      <c r="F28" s="219"/>
      <c r="G28" s="223"/>
      <c r="H28" s="223"/>
      <c r="I28" s="223"/>
      <c r="J28" s="223"/>
      <c r="K28" s="223"/>
      <c r="L28" s="223"/>
      <c r="M28" s="223"/>
      <c r="N28" s="223"/>
      <c r="O28" s="223"/>
      <c r="P28" s="104">
        <v>13</v>
      </c>
      <c r="Q28" s="237"/>
      <c r="R28" s="260"/>
      <c r="S28" s="260"/>
      <c r="T28" s="228"/>
      <c r="U28" s="228"/>
      <c r="V28" s="228"/>
      <c r="W28" s="228"/>
      <c r="X28" s="231"/>
    </row>
    <row r="29" spans="1:24" ht="14" customHeight="1">
      <c r="A29" s="208" t="s">
        <v>114</v>
      </c>
      <c r="B29" s="209"/>
      <c r="C29" s="210"/>
      <c r="D29" s="211" t="s">
        <v>116</v>
      </c>
      <c r="E29" s="212"/>
      <c r="F29" s="213"/>
      <c r="G29" s="220" t="s">
        <v>49</v>
      </c>
      <c r="H29" s="220"/>
      <c r="I29" s="220"/>
      <c r="J29" s="220"/>
      <c r="K29" s="220"/>
      <c r="L29" s="220"/>
      <c r="M29" s="220"/>
      <c r="N29" s="220"/>
      <c r="O29" s="232">
        <f>SUM(H29:N30)</f>
        <v>0</v>
      </c>
      <c r="P29" s="105" t="s">
        <v>110</v>
      </c>
      <c r="Q29" s="248"/>
      <c r="R29" s="226">
        <v>11.28</v>
      </c>
      <c r="S29" s="226">
        <f>14.51+3.39+3.59</f>
        <v>21.49</v>
      </c>
      <c r="T29" s="226"/>
      <c r="U29" s="226"/>
      <c r="V29" s="226"/>
      <c r="W29" s="226">
        <f>S29+R29</f>
        <v>32.769999999999996</v>
      </c>
      <c r="X29" s="229">
        <f>Q31-W29</f>
        <v>201.23000000000002</v>
      </c>
    </row>
    <row r="30" spans="1:24">
      <c r="A30" s="221" t="s">
        <v>118</v>
      </c>
      <c r="B30" s="222"/>
      <c r="C30" s="210"/>
      <c r="D30" s="214"/>
      <c r="E30" s="215"/>
      <c r="F30" s="216"/>
      <c r="G30" s="220"/>
      <c r="H30" s="220"/>
      <c r="I30" s="220"/>
      <c r="J30" s="220"/>
      <c r="K30" s="220"/>
      <c r="L30" s="220"/>
      <c r="M30" s="220"/>
      <c r="N30" s="220"/>
      <c r="O30" s="233"/>
      <c r="P30" s="103">
        <f>P32/2+P32</f>
        <v>19.5</v>
      </c>
      <c r="Q30" s="248"/>
      <c r="R30" s="227"/>
      <c r="S30" s="227"/>
      <c r="T30" s="227"/>
      <c r="U30" s="227"/>
      <c r="V30" s="227"/>
      <c r="W30" s="227"/>
      <c r="X30" s="230"/>
    </row>
    <row r="31" spans="1:24">
      <c r="A31" s="221"/>
      <c r="B31" s="222"/>
      <c r="C31" s="210"/>
      <c r="D31" s="214"/>
      <c r="E31" s="215"/>
      <c r="F31" s="216"/>
      <c r="G31" s="223" t="s">
        <v>40</v>
      </c>
      <c r="H31" s="223">
        <v>0</v>
      </c>
      <c r="I31" s="234">
        <v>0</v>
      </c>
      <c r="J31" s="234">
        <v>0</v>
      </c>
      <c r="K31" s="234">
        <v>8</v>
      </c>
      <c r="L31" s="234">
        <v>10</v>
      </c>
      <c r="M31" s="234">
        <v>0</v>
      </c>
      <c r="N31" s="234">
        <v>0</v>
      </c>
      <c r="O31" s="223">
        <f>SUM(H31:N32)</f>
        <v>18</v>
      </c>
      <c r="P31" s="106" t="s">
        <v>110</v>
      </c>
      <c r="Q31" s="236">
        <f>P32*O31</f>
        <v>234</v>
      </c>
      <c r="R31" s="227"/>
      <c r="S31" s="227"/>
      <c r="T31" s="227"/>
      <c r="U31" s="227"/>
      <c r="V31" s="227"/>
      <c r="W31" s="227"/>
      <c r="X31" s="230"/>
    </row>
    <row r="32" spans="1:24">
      <c r="A32" s="224"/>
      <c r="B32" s="225"/>
      <c r="C32" s="210"/>
      <c r="D32" s="217"/>
      <c r="E32" s="218"/>
      <c r="F32" s="219"/>
      <c r="G32" s="223"/>
      <c r="H32" s="223"/>
      <c r="I32" s="235"/>
      <c r="J32" s="235"/>
      <c r="K32" s="235"/>
      <c r="L32" s="235"/>
      <c r="M32" s="235"/>
      <c r="N32" s="235"/>
      <c r="O32" s="223"/>
      <c r="P32" s="104">
        <v>13</v>
      </c>
      <c r="Q32" s="237"/>
      <c r="R32" s="228"/>
      <c r="S32" s="228"/>
      <c r="T32" s="228"/>
      <c r="U32" s="228"/>
      <c r="V32" s="228"/>
      <c r="W32" s="228"/>
      <c r="X32" s="231"/>
    </row>
    <row r="33" spans="1:24" ht="14" customHeight="1">
      <c r="A33" s="208" t="s">
        <v>115</v>
      </c>
      <c r="B33" s="209"/>
      <c r="C33" s="210"/>
      <c r="D33" s="211" t="s">
        <v>116</v>
      </c>
      <c r="E33" s="212"/>
      <c r="F33" s="213"/>
      <c r="G33" s="220" t="s">
        <v>49</v>
      </c>
      <c r="H33" s="220"/>
      <c r="I33" s="220"/>
      <c r="J33" s="220"/>
      <c r="K33" s="220"/>
      <c r="L33" s="220"/>
      <c r="M33" s="220"/>
      <c r="N33" s="220"/>
      <c r="O33" s="232">
        <f>SUM(H33:N34)</f>
        <v>0</v>
      </c>
      <c r="P33" s="105" t="s">
        <v>110</v>
      </c>
      <c r="Q33" s="248"/>
      <c r="R33" s="226">
        <v>11.28</v>
      </c>
      <c r="S33" s="226">
        <f>14.51+3.39+3.59</f>
        <v>21.49</v>
      </c>
      <c r="T33" s="226"/>
      <c r="U33" s="226"/>
      <c r="V33" s="226"/>
      <c r="W33" s="226">
        <f>S33+R33</f>
        <v>32.769999999999996</v>
      </c>
      <c r="X33" s="229">
        <f>Q35-W33</f>
        <v>201.23000000000002</v>
      </c>
    </row>
    <row r="34" spans="1:24">
      <c r="A34" s="221" t="s">
        <v>117</v>
      </c>
      <c r="B34" s="222"/>
      <c r="C34" s="210"/>
      <c r="D34" s="214"/>
      <c r="E34" s="215"/>
      <c r="F34" s="216"/>
      <c r="G34" s="220"/>
      <c r="H34" s="220"/>
      <c r="I34" s="220"/>
      <c r="J34" s="220"/>
      <c r="K34" s="220"/>
      <c r="L34" s="220"/>
      <c r="M34" s="220"/>
      <c r="N34" s="220"/>
      <c r="O34" s="233"/>
      <c r="P34" s="103">
        <f>P36/2+P36</f>
        <v>19.5</v>
      </c>
      <c r="Q34" s="248"/>
      <c r="R34" s="227"/>
      <c r="S34" s="227"/>
      <c r="T34" s="227"/>
      <c r="U34" s="227"/>
      <c r="V34" s="227"/>
      <c r="W34" s="227"/>
      <c r="X34" s="230"/>
    </row>
    <row r="35" spans="1:24">
      <c r="A35" s="221"/>
      <c r="B35" s="222"/>
      <c r="C35" s="210"/>
      <c r="D35" s="214"/>
      <c r="E35" s="215"/>
      <c r="F35" s="216"/>
      <c r="G35" s="223" t="s">
        <v>40</v>
      </c>
      <c r="H35" s="223">
        <v>0</v>
      </c>
      <c r="I35" s="234">
        <v>0</v>
      </c>
      <c r="J35" s="234">
        <v>0</v>
      </c>
      <c r="K35" s="234">
        <v>8</v>
      </c>
      <c r="L35" s="234">
        <v>10</v>
      </c>
      <c r="M35" s="234">
        <v>0</v>
      </c>
      <c r="N35" s="234">
        <v>0</v>
      </c>
      <c r="O35" s="223">
        <f>SUM(H35:N36)</f>
        <v>18</v>
      </c>
      <c r="P35" s="106" t="s">
        <v>110</v>
      </c>
      <c r="Q35" s="236">
        <f>P36*O35</f>
        <v>234</v>
      </c>
      <c r="R35" s="227"/>
      <c r="S35" s="227"/>
      <c r="T35" s="227"/>
      <c r="U35" s="227"/>
      <c r="V35" s="227"/>
      <c r="W35" s="227"/>
      <c r="X35" s="230"/>
    </row>
    <row r="36" spans="1:24">
      <c r="A36" s="224"/>
      <c r="B36" s="225"/>
      <c r="C36" s="210"/>
      <c r="D36" s="217"/>
      <c r="E36" s="218"/>
      <c r="F36" s="219"/>
      <c r="G36" s="223"/>
      <c r="H36" s="223"/>
      <c r="I36" s="235"/>
      <c r="J36" s="235"/>
      <c r="K36" s="235"/>
      <c r="L36" s="235"/>
      <c r="M36" s="235"/>
      <c r="N36" s="235"/>
      <c r="O36" s="223"/>
      <c r="P36" s="104">
        <v>13</v>
      </c>
      <c r="Q36" s="237"/>
      <c r="R36" s="228"/>
      <c r="S36" s="228"/>
      <c r="T36" s="228"/>
      <c r="U36" s="228"/>
      <c r="V36" s="228"/>
      <c r="W36" s="228"/>
      <c r="X36" s="231"/>
    </row>
    <row r="37" spans="1:24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</row>
    <row r="38" spans="1:24" ht="15.75" customHeight="1">
      <c r="A38" s="18" t="s">
        <v>58</v>
      </c>
      <c r="B38" s="101">
        <f>N10</f>
        <v>42421</v>
      </c>
      <c r="C38" s="20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 t="s">
        <v>82</v>
      </c>
      <c r="R38" s="18"/>
      <c r="S38" s="18"/>
      <c r="T38" s="18"/>
      <c r="U38" s="3"/>
      <c r="V38" s="3"/>
      <c r="W38" s="3"/>
    </row>
    <row r="39" spans="1:24" ht="18.75" customHeight="1">
      <c r="A39" s="29" t="s">
        <v>59</v>
      </c>
      <c r="B39" s="35" t="s">
        <v>83</v>
      </c>
      <c r="C39" s="31"/>
      <c r="D39" s="31"/>
      <c r="E39" s="31"/>
      <c r="F39" s="31"/>
      <c r="G39" s="31"/>
      <c r="H39" s="96" t="s">
        <v>75</v>
      </c>
      <c r="I39" s="96"/>
      <c r="J39" s="96"/>
      <c r="K39" s="27"/>
      <c r="L39" s="27"/>
      <c r="M39" s="25"/>
      <c r="N39" s="25"/>
      <c r="O39" s="25"/>
      <c r="P39" s="18"/>
      <c r="Q39" s="13" t="s">
        <v>90</v>
      </c>
      <c r="S39" s="18"/>
      <c r="T39" s="18"/>
      <c r="U39" s="3"/>
      <c r="V39" s="3"/>
      <c r="W39" s="3"/>
    </row>
    <row r="40" spans="1:24" ht="14.25" customHeight="1">
      <c r="A40" s="29"/>
      <c r="B40" s="21" t="s">
        <v>62</v>
      </c>
      <c r="C40" s="21"/>
      <c r="D40" s="21"/>
      <c r="E40" s="21"/>
      <c r="F40" s="31"/>
      <c r="G40" s="58"/>
      <c r="H40" s="21" t="s">
        <v>63</v>
      </c>
      <c r="I40" s="58"/>
      <c r="J40" s="21"/>
      <c r="K40" s="21"/>
      <c r="L40" s="24"/>
      <c r="M40" s="24"/>
      <c r="N40" s="24"/>
      <c r="O40" s="25"/>
      <c r="P40" s="17" t="s">
        <v>10</v>
      </c>
      <c r="R40" s="18"/>
      <c r="S40" s="18"/>
      <c r="T40" s="3"/>
      <c r="U40" s="3"/>
      <c r="V40" s="3"/>
    </row>
    <row r="41" spans="1:24" ht="12" customHeight="1">
      <c r="A41" s="17"/>
      <c r="F41" s="23"/>
      <c r="L41" s="95"/>
      <c r="M41" s="18"/>
      <c r="N41" s="18"/>
      <c r="O41" s="18"/>
      <c r="P41" s="18" t="s">
        <v>11</v>
      </c>
      <c r="R41" s="18"/>
      <c r="S41" s="18"/>
      <c r="T41" s="3"/>
      <c r="U41" s="3"/>
      <c r="V41" s="3"/>
    </row>
    <row r="42" spans="1:24" ht="12" customHeight="1">
      <c r="A42" s="17" t="s">
        <v>60</v>
      </c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 t="s">
        <v>12</v>
      </c>
      <c r="R42" s="18"/>
      <c r="S42" s="18"/>
      <c r="T42" s="3"/>
      <c r="U42" s="3"/>
      <c r="V42" s="3"/>
    </row>
    <row r="43" spans="1:24" ht="12" customHeight="1">
      <c r="A43" s="18"/>
      <c r="B43" s="18" t="s">
        <v>61</v>
      </c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25" t="s">
        <v>13</v>
      </c>
      <c r="R43" s="25"/>
      <c r="S43" s="25"/>
      <c r="T43" s="34"/>
      <c r="U43" s="34"/>
      <c r="V43" s="34"/>
    </row>
    <row r="44" spans="1:24" s="19" customFormat="1" ht="16.5" customHeight="1">
      <c r="A44" s="29"/>
      <c r="B44" s="25"/>
      <c r="C44" s="31" t="str">
        <f>C50</f>
        <v>Evankoff LLC</v>
      </c>
      <c r="D44" s="36"/>
      <c r="E44" s="36"/>
      <c r="F44" s="25"/>
      <c r="G44" s="25"/>
      <c r="H44" s="25"/>
      <c r="I44" s="25"/>
      <c r="J44" s="25"/>
      <c r="K44" s="25"/>
      <c r="L44" s="25"/>
      <c r="M44" s="25"/>
      <c r="N44" s="25"/>
      <c r="O44" s="25" t="s">
        <v>64</v>
      </c>
      <c r="P44" s="25"/>
    </row>
    <row r="45" spans="1:24">
      <c r="A45" s="24"/>
      <c r="B45" s="24"/>
      <c r="C45" s="24" t="s">
        <v>65</v>
      </c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5"/>
      <c r="P45" s="25"/>
      <c r="Q45" s="36" t="s">
        <v>16</v>
      </c>
      <c r="S45" s="19"/>
      <c r="T45" s="19"/>
      <c r="U45" s="19"/>
    </row>
    <row r="46" spans="1:24" s="19" customFormat="1" ht="15" thickBot="1">
      <c r="A46" s="31" t="s">
        <v>105</v>
      </c>
      <c r="B46" s="31"/>
      <c r="C46" s="31"/>
      <c r="D46" s="31"/>
      <c r="E46" s="31"/>
      <c r="F46" s="31"/>
      <c r="G46" s="25" t="s">
        <v>67</v>
      </c>
      <c r="H46" s="25"/>
      <c r="I46" s="25"/>
      <c r="J46" s="25"/>
      <c r="K46" s="25"/>
      <c r="L46" s="25"/>
      <c r="M46" s="25"/>
      <c r="N46" s="25"/>
      <c r="O46" s="25"/>
      <c r="P46" s="25"/>
      <c r="Q46" s="25"/>
    </row>
    <row r="47" spans="1:24">
      <c r="A47" s="24"/>
      <c r="B47" s="24" t="s">
        <v>66</v>
      </c>
      <c r="C47" s="24"/>
      <c r="D47" s="24"/>
      <c r="E47" s="24"/>
      <c r="F47" s="24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94"/>
      <c r="R47" s="70" t="s">
        <v>14</v>
      </c>
      <c r="S47" s="71"/>
      <c r="T47" s="72"/>
      <c r="U47" s="37"/>
      <c r="V47" s="73" t="s">
        <v>15</v>
      </c>
      <c r="W47" s="74" t="s">
        <v>93</v>
      </c>
      <c r="X47" s="75"/>
    </row>
    <row r="48" spans="1:24">
      <c r="A48" s="99">
        <f>H10</f>
        <v>42415</v>
      </c>
      <c r="B48" s="26" t="s">
        <v>68</v>
      </c>
      <c r="C48" s="244">
        <f>F7</f>
        <v>42421</v>
      </c>
      <c r="D48" s="244"/>
      <c r="E48" s="98"/>
      <c r="F48" s="33" t="s">
        <v>73</v>
      </c>
      <c r="J48" s="32"/>
      <c r="L48" s="25"/>
      <c r="M48" s="25"/>
      <c r="N48" s="25"/>
      <c r="O48" s="25"/>
      <c r="P48" s="25"/>
      <c r="Q48" s="76"/>
      <c r="R48" s="77"/>
      <c r="S48" s="77"/>
      <c r="T48" s="78"/>
      <c r="U48" s="79"/>
      <c r="V48" s="80"/>
      <c r="W48" s="80"/>
      <c r="X48" s="81"/>
    </row>
    <row r="49" spans="1:24" ht="14.25" customHeight="1" thickBot="1">
      <c r="A49" s="24" t="s">
        <v>74</v>
      </c>
      <c r="B49" s="25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5"/>
      <c r="Q49" s="82"/>
      <c r="R49" s="83"/>
      <c r="S49" s="83"/>
      <c r="T49" s="84"/>
      <c r="U49" s="85"/>
      <c r="V49" s="86"/>
      <c r="W49" s="86"/>
      <c r="X49" s="87"/>
    </row>
    <row r="50" spans="1:24" ht="18.75" customHeight="1">
      <c r="A50" s="25"/>
      <c r="B50" s="25"/>
      <c r="C50" s="31" t="str">
        <f>A5</f>
        <v>Evankoff LLC</v>
      </c>
      <c r="D50" s="25"/>
      <c r="E50" s="25"/>
      <c r="F50" s="25"/>
      <c r="G50" s="25"/>
      <c r="H50" s="25"/>
      <c r="I50" s="25"/>
      <c r="J50" s="25"/>
      <c r="K50" s="25"/>
      <c r="L50" s="25"/>
      <c r="M50" s="25" t="s">
        <v>69</v>
      </c>
      <c r="N50" s="25"/>
      <c r="O50" s="25"/>
      <c r="P50" s="25"/>
      <c r="Q50" s="107" t="s">
        <v>94</v>
      </c>
      <c r="R50" s="108"/>
      <c r="S50" s="240" t="s">
        <v>97</v>
      </c>
      <c r="T50" s="240"/>
      <c r="U50" s="240"/>
      <c r="V50" s="240"/>
      <c r="W50" s="240"/>
      <c r="X50" s="241"/>
    </row>
    <row r="51" spans="1:24">
      <c r="A51" s="24"/>
      <c r="B51" s="24"/>
      <c r="C51" s="24" t="s">
        <v>65</v>
      </c>
      <c r="D51" s="24"/>
      <c r="E51" s="24"/>
      <c r="F51" s="24"/>
      <c r="G51" s="24"/>
      <c r="H51" s="24"/>
      <c r="I51" s="24"/>
      <c r="J51" s="24"/>
      <c r="K51" s="24"/>
      <c r="L51" s="24"/>
      <c r="M51" s="25"/>
      <c r="N51" s="25"/>
      <c r="O51" s="25"/>
      <c r="P51" s="25"/>
      <c r="Q51" s="109"/>
      <c r="R51" s="110"/>
      <c r="S51" s="242"/>
      <c r="T51" s="242"/>
      <c r="U51" s="242"/>
      <c r="V51" s="242"/>
      <c r="W51" s="242"/>
      <c r="X51" s="243"/>
    </row>
    <row r="52" spans="1:24" ht="12.75" customHeight="1" thickBot="1">
      <c r="A52" s="25" t="s">
        <v>70</v>
      </c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39"/>
      <c r="R52" s="88"/>
      <c r="S52" s="88"/>
      <c r="T52" s="89"/>
      <c r="U52" s="41"/>
      <c r="V52" s="40"/>
      <c r="W52" s="40"/>
      <c r="X52" s="42"/>
    </row>
    <row r="53" spans="1:24" ht="12.75" customHeight="1">
      <c r="A53" s="25" t="s">
        <v>71</v>
      </c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107" t="s">
        <v>94</v>
      </c>
      <c r="R53" s="108"/>
      <c r="S53" s="240" t="s">
        <v>95</v>
      </c>
      <c r="T53" s="240"/>
      <c r="U53" s="240"/>
      <c r="V53" s="240"/>
      <c r="W53" s="240"/>
      <c r="X53" s="241"/>
    </row>
    <row r="54" spans="1:24" ht="12.75" customHeight="1">
      <c r="A54" s="25" t="s">
        <v>72</v>
      </c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109"/>
      <c r="R54" s="110"/>
      <c r="S54" s="242"/>
      <c r="T54" s="242"/>
      <c r="U54" s="242"/>
      <c r="V54" s="242"/>
      <c r="W54" s="242"/>
      <c r="X54" s="243"/>
    </row>
    <row r="55" spans="1:24" ht="12.75" customHeight="1" thickBot="1">
      <c r="A55" s="25" t="s">
        <v>0</v>
      </c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43"/>
      <c r="R55" s="44"/>
      <c r="S55" s="44"/>
      <c r="T55" s="44"/>
      <c r="U55" s="45"/>
      <c r="V55" s="46"/>
      <c r="W55" s="46"/>
      <c r="X55" s="47"/>
    </row>
    <row r="56" spans="1:24" ht="18" customHeight="1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48"/>
      <c r="R56" s="49"/>
      <c r="S56" s="49"/>
      <c r="T56" s="49"/>
      <c r="U56" s="50"/>
      <c r="V56" s="51"/>
      <c r="W56" s="51"/>
      <c r="X56" s="52"/>
    </row>
    <row r="57" spans="1:24" ht="18" customHeight="1" thickBot="1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5"/>
      <c r="Q57" s="53"/>
      <c r="R57" s="54"/>
      <c r="S57" s="54"/>
      <c r="T57" s="54"/>
      <c r="U57" s="55"/>
      <c r="V57" s="10"/>
      <c r="W57" s="10"/>
      <c r="X57" s="56"/>
    </row>
    <row r="58" spans="1:24" ht="18" customHeight="1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5"/>
      <c r="Q58" s="48"/>
      <c r="R58" s="49"/>
      <c r="S58" s="49"/>
      <c r="T58" s="49"/>
      <c r="U58" s="50"/>
      <c r="V58" s="51"/>
      <c r="W58" s="51"/>
      <c r="X58" s="52"/>
    </row>
    <row r="59" spans="1:24" ht="21" customHeight="1" thickBot="1">
      <c r="A59" s="24"/>
      <c r="B59" s="28" t="s">
        <v>2</v>
      </c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5"/>
      <c r="Q59" s="53"/>
      <c r="R59" s="54"/>
      <c r="S59" s="54"/>
      <c r="T59" s="54"/>
      <c r="U59" s="55"/>
      <c r="V59" s="10"/>
      <c r="W59" s="10"/>
      <c r="X59" s="56"/>
    </row>
    <row r="60" spans="1:24" ht="12" customHeight="1">
      <c r="A60" s="30" t="s">
        <v>3</v>
      </c>
      <c r="B60" s="30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5"/>
      <c r="Q60" s="48" t="s">
        <v>17</v>
      </c>
      <c r="R60" s="49"/>
      <c r="S60" s="49"/>
      <c r="T60" s="49"/>
      <c r="U60" s="49"/>
      <c r="V60" s="51"/>
      <c r="W60" s="51"/>
      <c r="X60" s="52"/>
    </row>
    <row r="61" spans="1:24" ht="12" customHeight="1">
      <c r="A61" s="27" t="s">
        <v>4</v>
      </c>
      <c r="B61" s="30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5"/>
      <c r="Q61" s="111" t="s">
        <v>96</v>
      </c>
      <c r="R61" s="44"/>
      <c r="S61" s="44"/>
      <c r="T61" s="44"/>
      <c r="U61" s="44"/>
      <c r="V61" s="46"/>
      <c r="W61" s="46"/>
      <c r="X61" s="47"/>
    </row>
    <row r="62" spans="1:24" ht="12" customHeight="1">
      <c r="A62" s="27" t="s">
        <v>5</v>
      </c>
      <c r="B62" s="30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5"/>
      <c r="Q62" s="121"/>
      <c r="R62" s="122"/>
      <c r="S62" s="44"/>
      <c r="T62" s="44"/>
      <c r="U62" s="44"/>
      <c r="V62" s="46"/>
      <c r="W62" s="46"/>
      <c r="X62" s="47"/>
    </row>
    <row r="63" spans="1:24" ht="12" customHeight="1">
      <c r="A63" s="27"/>
      <c r="B63" s="30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5"/>
      <c r="Q63" s="121"/>
      <c r="R63" s="122"/>
      <c r="S63" s="44"/>
      <c r="T63" s="44"/>
      <c r="U63" s="44"/>
      <c r="V63" s="46"/>
      <c r="W63" s="46"/>
      <c r="X63" s="47"/>
    </row>
    <row r="64" spans="1:24" ht="12" customHeight="1">
      <c r="A64" s="29" t="s">
        <v>7</v>
      </c>
      <c r="B64" s="29" t="s">
        <v>6</v>
      </c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121"/>
      <c r="R64" s="122"/>
      <c r="S64" s="44"/>
      <c r="T64" s="44"/>
      <c r="U64" s="44"/>
      <c r="V64" s="46"/>
      <c r="W64" s="46"/>
      <c r="X64" s="47"/>
    </row>
    <row r="65" spans="1:24" ht="12" customHeight="1">
      <c r="A65" s="25" t="s">
        <v>8</v>
      </c>
      <c r="B65" s="29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43"/>
      <c r="R65" s="44"/>
      <c r="S65" s="44"/>
      <c r="T65" s="44"/>
      <c r="U65" s="44"/>
      <c r="V65" s="46"/>
      <c r="W65" s="46"/>
      <c r="X65" s="47"/>
    </row>
    <row r="66" spans="1:24" ht="12" customHeight="1">
      <c r="A66" s="25" t="s">
        <v>9</v>
      </c>
      <c r="B66" s="29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43"/>
      <c r="R66" s="44"/>
      <c r="S66" s="44"/>
      <c r="T66" s="44"/>
      <c r="U66" s="44"/>
      <c r="V66" s="46"/>
      <c r="W66" s="46"/>
      <c r="X66" s="47"/>
    </row>
    <row r="67" spans="1:24" ht="12" customHeight="1" thickBot="1">
      <c r="A67" s="25"/>
      <c r="B67" s="29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53"/>
      <c r="R67" s="54"/>
      <c r="S67" s="54"/>
      <c r="T67" s="54"/>
      <c r="U67" s="54"/>
      <c r="V67" s="10"/>
      <c r="W67" s="10"/>
      <c r="X67" s="56"/>
    </row>
    <row r="68" spans="1:24" ht="12" customHeight="1">
      <c r="A68" s="25"/>
      <c r="B68" s="25" t="s">
        <v>57</v>
      </c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</row>
    <row r="69" spans="1:24" ht="12" customHeight="1">
      <c r="A69" s="25"/>
      <c r="B69" s="25" t="s">
        <v>1</v>
      </c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12" t="s">
        <v>50</v>
      </c>
      <c r="R69" s="22"/>
      <c r="S69" s="22"/>
      <c r="T69" s="67"/>
      <c r="U69" s="57" t="s">
        <v>51</v>
      </c>
      <c r="V69" s="58"/>
      <c r="W69" s="58"/>
      <c r="X69" s="59"/>
    </row>
    <row r="70" spans="1:24" ht="11.25" customHeight="1">
      <c r="A70" s="25"/>
      <c r="B70" s="25" t="s">
        <v>81</v>
      </c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63"/>
      <c r="T70" s="68"/>
      <c r="U70" s="61"/>
      <c r="V70" s="38"/>
      <c r="W70" s="38"/>
      <c r="X70" s="60"/>
    </row>
    <row r="71" spans="1:24" ht="13.5" customHeight="1">
      <c r="A71" s="25"/>
      <c r="B71" s="97" t="s">
        <v>80</v>
      </c>
      <c r="C71" s="29" t="s">
        <v>76</v>
      </c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93" t="str">
        <f>B39</f>
        <v>Eric Coffie</v>
      </c>
      <c r="R71" s="90"/>
      <c r="S71" s="90" t="str">
        <f>H39</f>
        <v>President</v>
      </c>
      <c r="T71" s="68"/>
      <c r="U71" s="61"/>
      <c r="V71" s="38"/>
      <c r="W71" s="38"/>
      <c r="X71" s="60"/>
    </row>
    <row r="72" spans="1:24" ht="10.5" customHeight="1">
      <c r="A72" s="19"/>
      <c r="B72" s="25"/>
      <c r="C72" s="25" t="s">
        <v>77</v>
      </c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19"/>
      <c r="Q72" s="91"/>
      <c r="R72" s="92"/>
      <c r="S72" s="92"/>
      <c r="T72" s="69"/>
      <c r="U72" s="62"/>
      <c r="V72" s="116"/>
      <c r="W72" s="116"/>
      <c r="X72" s="117"/>
    </row>
    <row r="73" spans="1:24" ht="10.5" customHeight="1">
      <c r="A73" s="19"/>
      <c r="B73" s="19"/>
      <c r="C73" s="25" t="s">
        <v>78</v>
      </c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</row>
    <row r="74" spans="1:24" ht="10.5" customHeight="1">
      <c r="B74" s="19"/>
      <c r="C74" s="25" t="s">
        <v>79</v>
      </c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Q74" s="64" t="s">
        <v>86</v>
      </c>
      <c r="R74" s="58"/>
      <c r="S74" s="58"/>
      <c r="T74" s="58"/>
      <c r="U74" s="58"/>
      <c r="V74" s="58"/>
      <c r="W74" s="58"/>
      <c r="X74" s="59"/>
    </row>
    <row r="75" spans="1:24" ht="10.5" customHeight="1">
      <c r="Q75" s="66" t="s">
        <v>87</v>
      </c>
      <c r="R75" s="38"/>
      <c r="S75" s="38"/>
      <c r="T75" s="38"/>
      <c r="U75" s="38"/>
      <c r="V75" s="38"/>
      <c r="W75" s="38"/>
      <c r="X75" s="60"/>
    </row>
    <row r="76" spans="1:24" ht="10.5" customHeight="1">
      <c r="Q76" s="66" t="s">
        <v>88</v>
      </c>
      <c r="R76" s="38"/>
      <c r="S76" s="38"/>
      <c r="T76" s="38"/>
      <c r="U76" s="38"/>
      <c r="V76" s="38"/>
      <c r="W76" s="38"/>
      <c r="X76" s="60"/>
    </row>
    <row r="77" spans="1:24" ht="10.5" customHeight="1">
      <c r="Q77" s="65" t="s">
        <v>89</v>
      </c>
      <c r="R77" s="116"/>
      <c r="S77" s="116"/>
      <c r="T77" s="116"/>
      <c r="U77" s="116"/>
      <c r="V77" s="116"/>
      <c r="W77" s="116"/>
      <c r="X77" s="117"/>
    </row>
  </sheetData>
  <mergeCells count="235">
    <mergeCell ref="S50:X51"/>
    <mergeCell ref="S53:X54"/>
    <mergeCell ref="M35:M36"/>
    <mergeCell ref="N35:N36"/>
    <mergeCell ref="O35:O36"/>
    <mergeCell ref="Q35:Q36"/>
    <mergeCell ref="A36:B36"/>
    <mergeCell ref="C48:D48"/>
    <mergeCell ref="W33:W36"/>
    <mergeCell ref="X33:X36"/>
    <mergeCell ref="A34:B34"/>
    <mergeCell ref="A35:B35"/>
    <mergeCell ref="G35:G36"/>
    <mergeCell ref="H35:H36"/>
    <mergeCell ref="I35:I36"/>
    <mergeCell ref="J35:J36"/>
    <mergeCell ref="K35:K36"/>
    <mergeCell ref="L35:L36"/>
    <mergeCell ref="Q33:Q34"/>
    <mergeCell ref="R33:R36"/>
    <mergeCell ref="S33:S36"/>
    <mergeCell ref="T33:T36"/>
    <mergeCell ref="U33:U36"/>
    <mergeCell ref="V33:V36"/>
    <mergeCell ref="J33:J34"/>
    <mergeCell ref="K33:K34"/>
    <mergeCell ref="L33:L34"/>
    <mergeCell ref="M33:M34"/>
    <mergeCell ref="N33:N34"/>
    <mergeCell ref="O33:O34"/>
    <mergeCell ref="A33:B33"/>
    <mergeCell ref="C33:C36"/>
    <mergeCell ref="D33:F36"/>
    <mergeCell ref="G33:G34"/>
    <mergeCell ref="H33:H34"/>
    <mergeCell ref="I33:I34"/>
    <mergeCell ref="V29:V32"/>
    <mergeCell ref="W29:W32"/>
    <mergeCell ref="X29:X32"/>
    <mergeCell ref="A30:B30"/>
    <mergeCell ref="A31:B31"/>
    <mergeCell ref="G31:G32"/>
    <mergeCell ref="H31:H32"/>
    <mergeCell ref="I31:I32"/>
    <mergeCell ref="J31:J32"/>
    <mergeCell ref="K31:K32"/>
    <mergeCell ref="O29:O30"/>
    <mergeCell ref="Q29:Q30"/>
    <mergeCell ref="R29:R32"/>
    <mergeCell ref="S29:S32"/>
    <mergeCell ref="T29:T32"/>
    <mergeCell ref="U29:U32"/>
    <mergeCell ref="I29:I30"/>
    <mergeCell ref="J29:J30"/>
    <mergeCell ref="K29:K30"/>
    <mergeCell ref="L29:L30"/>
    <mergeCell ref="M29:M30"/>
    <mergeCell ref="N29:N30"/>
    <mergeCell ref="M27:M28"/>
    <mergeCell ref="N27:N28"/>
    <mergeCell ref="O27:O28"/>
    <mergeCell ref="Q27:Q28"/>
    <mergeCell ref="A28:B28"/>
    <mergeCell ref="A29:B29"/>
    <mergeCell ref="C29:C32"/>
    <mergeCell ref="D29:F32"/>
    <mergeCell ref="G29:G30"/>
    <mergeCell ref="H29:H30"/>
    <mergeCell ref="D25:F28"/>
    <mergeCell ref="G25:G26"/>
    <mergeCell ref="H25:H26"/>
    <mergeCell ref="I25:I26"/>
    <mergeCell ref="L31:L32"/>
    <mergeCell ref="M31:M32"/>
    <mergeCell ref="N31:N32"/>
    <mergeCell ref="O31:O32"/>
    <mergeCell ref="Q31:Q32"/>
    <mergeCell ref="A32:B32"/>
    <mergeCell ref="W25:W28"/>
    <mergeCell ref="X25:X28"/>
    <mergeCell ref="A26:B26"/>
    <mergeCell ref="A27:B27"/>
    <mergeCell ref="G27:G28"/>
    <mergeCell ref="H27:H28"/>
    <mergeCell ref="I27:I28"/>
    <mergeCell ref="J27:J28"/>
    <mergeCell ref="K27:K28"/>
    <mergeCell ref="L27:L28"/>
    <mergeCell ref="Q25:Q26"/>
    <mergeCell ref="R25:R28"/>
    <mergeCell ref="S25:S28"/>
    <mergeCell ref="T25:T28"/>
    <mergeCell ref="U25:U28"/>
    <mergeCell ref="V25:V28"/>
    <mergeCell ref="J25:J26"/>
    <mergeCell ref="K25:K26"/>
    <mergeCell ref="L25:L26"/>
    <mergeCell ref="M25:M26"/>
    <mergeCell ref="N25:N26"/>
    <mergeCell ref="O25:O26"/>
    <mergeCell ref="A25:B25"/>
    <mergeCell ref="C25:C28"/>
    <mergeCell ref="V21:V24"/>
    <mergeCell ref="W21:W24"/>
    <mergeCell ref="X21:X24"/>
    <mergeCell ref="A22:B22"/>
    <mergeCell ref="A23:B23"/>
    <mergeCell ref="G23:G24"/>
    <mergeCell ref="H23:H24"/>
    <mergeCell ref="I23:I24"/>
    <mergeCell ref="J23:J24"/>
    <mergeCell ref="K23:K24"/>
    <mergeCell ref="O21:O22"/>
    <mergeCell ref="Q21:Q22"/>
    <mergeCell ref="R21:R24"/>
    <mergeCell ref="S21:S24"/>
    <mergeCell ref="T21:T24"/>
    <mergeCell ref="U21:U24"/>
    <mergeCell ref="I21:I22"/>
    <mergeCell ref="J21:J22"/>
    <mergeCell ref="Q19:Q20"/>
    <mergeCell ref="A20:B20"/>
    <mergeCell ref="A21:B21"/>
    <mergeCell ref="C21:C24"/>
    <mergeCell ref="D21:F24"/>
    <mergeCell ref="G21:G22"/>
    <mergeCell ref="H21:H22"/>
    <mergeCell ref="L23:L24"/>
    <mergeCell ref="M23:M24"/>
    <mergeCell ref="N23:N24"/>
    <mergeCell ref="O23:O24"/>
    <mergeCell ref="Q23:Q24"/>
    <mergeCell ref="A24:B24"/>
    <mergeCell ref="L17:L18"/>
    <mergeCell ref="M17:M18"/>
    <mergeCell ref="N17:N18"/>
    <mergeCell ref="O17:O18"/>
    <mergeCell ref="K21:K22"/>
    <mergeCell ref="L21:L22"/>
    <mergeCell ref="M21:M22"/>
    <mergeCell ref="N21:N22"/>
    <mergeCell ref="M19:M20"/>
    <mergeCell ref="N19:N20"/>
    <mergeCell ref="O19:O20"/>
    <mergeCell ref="A17:B17"/>
    <mergeCell ref="C17:C20"/>
    <mergeCell ref="D17:F20"/>
    <mergeCell ref="G17:G18"/>
    <mergeCell ref="H17:H18"/>
    <mergeCell ref="I17:I18"/>
    <mergeCell ref="W17:W20"/>
    <mergeCell ref="X17:X20"/>
    <mergeCell ref="A18:B18"/>
    <mergeCell ref="A19:B19"/>
    <mergeCell ref="G19:G20"/>
    <mergeCell ref="H19:H20"/>
    <mergeCell ref="I19:I20"/>
    <mergeCell ref="J19:J20"/>
    <mergeCell ref="K19:K20"/>
    <mergeCell ref="L19:L20"/>
    <mergeCell ref="Q17:Q18"/>
    <mergeCell ref="R17:R20"/>
    <mergeCell ref="S17:S20"/>
    <mergeCell ref="T17:T20"/>
    <mergeCell ref="U17:U20"/>
    <mergeCell ref="V17:V20"/>
    <mergeCell ref="J17:J18"/>
    <mergeCell ref="K17:K18"/>
    <mergeCell ref="X13:X16"/>
    <mergeCell ref="A14:B14"/>
    <mergeCell ref="A15:B15"/>
    <mergeCell ref="G15:G16"/>
    <mergeCell ref="H15:H16"/>
    <mergeCell ref="I15:I16"/>
    <mergeCell ref="J15:J16"/>
    <mergeCell ref="K15:K16"/>
    <mergeCell ref="L15:L16"/>
    <mergeCell ref="M15:M16"/>
    <mergeCell ref="R13:R16"/>
    <mergeCell ref="S13:S16"/>
    <mergeCell ref="T13:T16"/>
    <mergeCell ref="U13:U16"/>
    <mergeCell ref="V13:V16"/>
    <mergeCell ref="W13:W16"/>
    <mergeCell ref="K13:K14"/>
    <mergeCell ref="L13:L14"/>
    <mergeCell ref="M13:M14"/>
    <mergeCell ref="N13:N14"/>
    <mergeCell ref="O13:O14"/>
    <mergeCell ref="Q13:Q14"/>
    <mergeCell ref="N15:N16"/>
    <mergeCell ref="O15:O16"/>
    <mergeCell ref="A13:B13"/>
    <mergeCell ref="C13:C16"/>
    <mergeCell ref="D13:F16"/>
    <mergeCell ref="G13:G14"/>
    <mergeCell ref="H13:H14"/>
    <mergeCell ref="I13:I14"/>
    <mergeCell ref="J13:J14"/>
    <mergeCell ref="P10:P12"/>
    <mergeCell ref="Q10:Q12"/>
    <mergeCell ref="Q15:Q16"/>
    <mergeCell ref="A16:B16"/>
    <mergeCell ref="A6:D6"/>
    <mergeCell ref="F6:N6"/>
    <mergeCell ref="A7:D7"/>
    <mergeCell ref="F7:N7"/>
    <mergeCell ref="O7:S7"/>
    <mergeCell ref="T7:X7"/>
    <mergeCell ref="A8:B8"/>
    <mergeCell ref="D8:F8"/>
    <mergeCell ref="G8:G12"/>
    <mergeCell ref="H8:N8"/>
    <mergeCell ref="R8:W9"/>
    <mergeCell ref="X8:X12"/>
    <mergeCell ref="A9:B12"/>
    <mergeCell ref="C9:C12"/>
    <mergeCell ref="D9:F12"/>
    <mergeCell ref="O10:O12"/>
    <mergeCell ref="V10:V12"/>
    <mergeCell ref="W10:W12"/>
    <mergeCell ref="H12:N12"/>
    <mergeCell ref="R10:R12"/>
    <mergeCell ref="S10:S12"/>
    <mergeCell ref="T10:T12"/>
    <mergeCell ref="U10:U12"/>
    <mergeCell ref="A1:D3"/>
    <mergeCell ref="F1:U3"/>
    <mergeCell ref="A4:C4"/>
    <mergeCell ref="D4:G4"/>
    <mergeCell ref="H4:N4"/>
    <mergeCell ref="O4:V4"/>
    <mergeCell ref="W4:X5"/>
    <mergeCell ref="A5:N5"/>
    <mergeCell ref="O5:V5"/>
  </mergeCells>
  <phoneticPr fontId="11" type="noConversion"/>
  <pageMargins left="0.7" right="0.7" top="0.75" bottom="0.75" header="0.3" footer="0.3"/>
  <pageSetup scale="77" orientation="landscape" horizontalDpi="4294967292" verticalDpi="4294967292"/>
  <rowBreaks count="1" manualBreakCount="1">
    <brk id="36" max="16383" man="1"/>
  </rowBreaks>
  <colBreaks count="1" manualBreakCount="1">
    <brk id="24" max="1048575" man="1"/>
  </colBreaks>
  <extLst>
    <ext xmlns:mx="http://schemas.microsoft.com/office/mac/excel/2008/main" uri="{64002731-A6B0-56B0-2670-7721B7C09600}">
      <mx:PLV Mode="1" OnePage="0" WScale="77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77"/>
  <sheetViews>
    <sheetView view="pageLayout" zoomScaleNormal="125" zoomScalePageLayoutView="125" workbookViewId="0">
      <selection activeCell="D8" sqref="D8:F8"/>
    </sheetView>
  </sheetViews>
  <sheetFormatPr baseColWidth="10" defaultColWidth="8.83203125" defaultRowHeight="14" x14ac:dyDescent="0"/>
  <cols>
    <col min="1" max="1" width="10.33203125" customWidth="1"/>
    <col min="2" max="2" width="11.1640625" customWidth="1"/>
    <col min="3" max="3" width="5" customWidth="1"/>
    <col min="4" max="4" width="5.1640625" customWidth="1"/>
    <col min="5" max="5" width="4.6640625" customWidth="1"/>
    <col min="6" max="6" width="4.83203125" customWidth="1"/>
    <col min="7" max="7" width="3.6640625" customWidth="1"/>
    <col min="8" max="8" width="5" customWidth="1"/>
    <col min="9" max="9" width="4.6640625" customWidth="1"/>
    <col min="10" max="11" width="5.33203125" customWidth="1"/>
    <col min="12" max="12" width="4.83203125" customWidth="1"/>
    <col min="13" max="13" width="5.5" customWidth="1"/>
    <col min="14" max="14" width="5.1640625" customWidth="1"/>
    <col min="16" max="17" width="9.83203125" bestFit="1" customWidth="1"/>
    <col min="18" max="18" width="7.6640625" customWidth="1"/>
    <col min="19" max="19" width="9.5" customWidth="1"/>
    <col min="20" max="20" width="6" hidden="1" customWidth="1"/>
    <col min="21" max="21" width="4.33203125" hidden="1" customWidth="1"/>
    <col min="22" max="22" width="7.6640625" hidden="1" customWidth="1"/>
    <col min="23" max="23" width="9.33203125" customWidth="1"/>
    <col min="24" max="24" width="12.6640625" customWidth="1"/>
  </cols>
  <sheetData>
    <row r="1" spans="1:24" ht="15" customHeight="1">
      <c r="A1" s="149" t="s">
        <v>22</v>
      </c>
      <c r="B1" s="149"/>
      <c r="C1" s="149"/>
      <c r="D1" s="149"/>
      <c r="E1" s="127"/>
      <c r="F1" s="151" t="s">
        <v>55</v>
      </c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9"/>
      <c r="W1" s="9"/>
      <c r="X1" s="9"/>
    </row>
    <row r="2" spans="1:24">
      <c r="A2" s="149"/>
      <c r="B2" s="149"/>
      <c r="C2" s="149"/>
      <c r="D2" s="149"/>
      <c r="E2" s="127"/>
      <c r="F2" s="151"/>
      <c r="G2" s="151"/>
      <c r="H2" s="151"/>
      <c r="I2" s="151"/>
      <c r="J2" s="151"/>
      <c r="K2" s="151"/>
      <c r="L2" s="151"/>
      <c r="M2" s="151"/>
      <c r="N2" s="151"/>
      <c r="O2" s="151"/>
      <c r="P2" s="151"/>
      <c r="Q2" s="151"/>
      <c r="R2" s="151"/>
      <c r="S2" s="151"/>
      <c r="T2" s="151"/>
      <c r="U2" s="151"/>
      <c r="V2" s="9"/>
      <c r="W2" s="9"/>
      <c r="X2" s="9"/>
    </row>
    <row r="3" spans="1:24" ht="15" customHeight="1" thickBot="1">
      <c r="A3" s="150"/>
      <c r="B3" s="150"/>
      <c r="C3" s="150"/>
      <c r="D3" s="150"/>
      <c r="E3" s="128"/>
      <c r="F3" s="152"/>
      <c r="G3" s="152"/>
      <c r="H3" s="152"/>
      <c r="I3" s="152"/>
      <c r="J3" s="152"/>
      <c r="K3" s="152"/>
      <c r="L3" s="152"/>
      <c r="M3" s="152"/>
      <c r="N3" s="152"/>
      <c r="O3" s="152"/>
      <c r="P3" s="152"/>
      <c r="Q3" s="152"/>
      <c r="R3" s="152"/>
      <c r="S3" s="152"/>
      <c r="T3" s="152"/>
      <c r="U3" s="152"/>
      <c r="V3" s="10"/>
      <c r="W3" s="10"/>
      <c r="X3" s="10"/>
    </row>
    <row r="4" spans="1:24" s="11" customFormat="1">
      <c r="A4" s="153" t="s">
        <v>56</v>
      </c>
      <c r="B4" s="154"/>
      <c r="C4" s="154"/>
      <c r="D4" s="154" t="s">
        <v>52</v>
      </c>
      <c r="E4" s="154"/>
      <c r="F4" s="154"/>
      <c r="G4" s="154"/>
      <c r="H4" s="155"/>
      <c r="I4" s="155"/>
      <c r="J4" s="155"/>
      <c r="K4" s="155"/>
      <c r="L4" s="155"/>
      <c r="M4" s="155"/>
      <c r="N4" s="156"/>
      <c r="O4" s="157" t="s">
        <v>126</v>
      </c>
      <c r="P4" s="158"/>
      <c r="Q4" s="158"/>
      <c r="R4" s="158"/>
      <c r="S4" s="158"/>
      <c r="T4" s="158"/>
      <c r="U4" s="158"/>
      <c r="V4" s="158"/>
      <c r="W4" s="159"/>
      <c r="X4" s="160"/>
    </row>
    <row r="5" spans="1:24" s="1" customFormat="1" ht="12">
      <c r="A5" s="163" t="s">
        <v>125</v>
      </c>
      <c r="B5" s="164"/>
      <c r="C5" s="164"/>
      <c r="D5" s="164"/>
      <c r="E5" s="164"/>
      <c r="F5" s="164"/>
      <c r="G5" s="164"/>
      <c r="H5" s="164"/>
      <c r="I5" s="164"/>
      <c r="J5" s="164"/>
      <c r="K5" s="164"/>
      <c r="L5" s="164"/>
      <c r="M5" s="164"/>
      <c r="N5" s="165"/>
      <c r="O5" s="166" t="s">
        <v>108</v>
      </c>
      <c r="P5" s="167"/>
      <c r="Q5" s="167"/>
      <c r="R5" s="167"/>
      <c r="S5" s="167"/>
      <c r="T5" s="167"/>
      <c r="U5" s="167"/>
      <c r="V5" s="167"/>
      <c r="W5" s="161"/>
      <c r="X5" s="162"/>
    </row>
    <row r="6" spans="1:24" s="13" customFormat="1" ht="11">
      <c r="A6" s="168" t="s">
        <v>18</v>
      </c>
      <c r="B6" s="169"/>
      <c r="C6" s="169"/>
      <c r="D6" s="170"/>
      <c r="E6" s="115"/>
      <c r="F6" s="168" t="s">
        <v>19</v>
      </c>
      <c r="G6" s="169"/>
      <c r="H6" s="169"/>
      <c r="I6" s="169"/>
      <c r="J6" s="169"/>
      <c r="K6" s="169"/>
      <c r="L6" s="169"/>
      <c r="M6" s="169"/>
      <c r="N6" s="170"/>
      <c r="O6" s="102" t="s">
        <v>20</v>
      </c>
      <c r="P6" s="15"/>
      <c r="Q6" s="15"/>
      <c r="R6" s="15"/>
      <c r="S6" s="102" t="s">
        <v>91</v>
      </c>
      <c r="T6" s="15" t="s">
        <v>21</v>
      </c>
      <c r="U6" s="15"/>
      <c r="V6" s="15"/>
      <c r="X6" s="16"/>
    </row>
    <row r="7" spans="1:24" s="1" customFormat="1" ht="16.5" customHeight="1">
      <c r="A7" s="171">
        <v>7</v>
      </c>
      <c r="B7" s="172"/>
      <c r="C7" s="172"/>
      <c r="D7" s="173"/>
      <c r="E7" s="126"/>
      <c r="F7" s="174">
        <v>42428</v>
      </c>
      <c r="G7" s="175"/>
      <c r="H7" s="175"/>
      <c r="I7" s="175"/>
      <c r="J7" s="175"/>
      <c r="K7" s="175"/>
      <c r="L7" s="175"/>
      <c r="M7" s="175"/>
      <c r="N7" s="176"/>
      <c r="O7" s="166" t="s">
        <v>107</v>
      </c>
      <c r="P7" s="167"/>
      <c r="Q7" s="167"/>
      <c r="R7" s="167"/>
      <c r="S7" s="167"/>
      <c r="T7" s="167" t="s">
        <v>109</v>
      </c>
      <c r="U7" s="167"/>
      <c r="V7" s="167"/>
      <c r="W7" s="167"/>
      <c r="X7" s="177"/>
    </row>
    <row r="8" spans="1:24" s="2" customFormat="1" ht="11.25" customHeight="1">
      <c r="A8" s="178" t="s">
        <v>23</v>
      </c>
      <c r="B8" s="179"/>
      <c r="C8" s="7" t="s">
        <v>24</v>
      </c>
      <c r="D8" s="178" t="s">
        <v>25</v>
      </c>
      <c r="E8" s="180"/>
      <c r="F8" s="179"/>
      <c r="G8" s="181" t="s">
        <v>29</v>
      </c>
      <c r="H8" s="184" t="s">
        <v>54</v>
      </c>
      <c r="I8" s="185"/>
      <c r="J8" s="185"/>
      <c r="K8" s="185"/>
      <c r="L8" s="185"/>
      <c r="M8" s="185"/>
      <c r="N8" s="186"/>
      <c r="O8" s="7" t="s">
        <v>30</v>
      </c>
      <c r="P8" s="7" t="s">
        <v>31</v>
      </c>
      <c r="Q8" s="7" t="s">
        <v>32</v>
      </c>
      <c r="R8" s="187" t="s">
        <v>33</v>
      </c>
      <c r="S8" s="187"/>
      <c r="T8" s="187"/>
      <c r="U8" s="187"/>
      <c r="V8" s="187"/>
      <c r="W8" s="187"/>
      <c r="X8" s="187" t="s">
        <v>53</v>
      </c>
    </row>
    <row r="9" spans="1:24" ht="17.25" customHeight="1">
      <c r="A9" s="188" t="s">
        <v>26</v>
      </c>
      <c r="B9" s="189"/>
      <c r="C9" s="192" t="s">
        <v>27</v>
      </c>
      <c r="D9" s="194" t="s">
        <v>28</v>
      </c>
      <c r="E9" s="195"/>
      <c r="F9" s="196"/>
      <c r="G9" s="182"/>
      <c r="H9" s="132" t="s">
        <v>36</v>
      </c>
      <c r="I9" s="133" t="s">
        <v>37</v>
      </c>
      <c r="J9" s="133" t="s">
        <v>38</v>
      </c>
      <c r="K9" s="133" t="s">
        <v>111</v>
      </c>
      <c r="L9" s="133" t="s">
        <v>39</v>
      </c>
      <c r="M9" s="133" t="s">
        <v>41</v>
      </c>
      <c r="N9" s="133" t="s">
        <v>42</v>
      </c>
      <c r="O9" s="6"/>
      <c r="P9" s="8"/>
      <c r="Q9" s="8"/>
      <c r="R9" s="187"/>
      <c r="S9" s="187"/>
      <c r="T9" s="187"/>
      <c r="U9" s="187"/>
      <c r="V9" s="187"/>
      <c r="W9" s="187"/>
      <c r="X9" s="187"/>
    </row>
    <row r="10" spans="1:24" ht="19.5" customHeight="1">
      <c r="A10" s="188"/>
      <c r="B10" s="189"/>
      <c r="C10" s="192"/>
      <c r="D10" s="194"/>
      <c r="E10" s="195"/>
      <c r="F10" s="196"/>
      <c r="G10" s="182"/>
      <c r="H10" s="100">
        <f t="shared" ref="H10:L10" si="0">I10-1</f>
        <v>42422</v>
      </c>
      <c r="I10" s="100">
        <f t="shared" si="0"/>
        <v>42423</v>
      </c>
      <c r="J10" s="100">
        <f t="shared" si="0"/>
        <v>42424</v>
      </c>
      <c r="K10" s="100">
        <f t="shared" si="0"/>
        <v>42425</v>
      </c>
      <c r="L10" s="100">
        <f t="shared" si="0"/>
        <v>42426</v>
      </c>
      <c r="M10" s="100">
        <f>N10-1</f>
        <v>42427</v>
      </c>
      <c r="N10" s="100">
        <f>F7</f>
        <v>42428</v>
      </c>
      <c r="O10" s="200" t="s">
        <v>46</v>
      </c>
      <c r="P10" s="200" t="s">
        <v>47</v>
      </c>
      <c r="Q10" s="200" t="s">
        <v>48</v>
      </c>
      <c r="R10" s="206" t="s">
        <v>44</v>
      </c>
      <c r="S10" s="206" t="s">
        <v>45</v>
      </c>
      <c r="T10" s="207"/>
      <c r="U10" s="207"/>
      <c r="V10" s="202" t="s">
        <v>35</v>
      </c>
      <c r="W10" s="203" t="s">
        <v>34</v>
      </c>
      <c r="X10" s="187"/>
    </row>
    <row r="11" spans="1:24" ht="18.75" hidden="1" customHeight="1">
      <c r="A11" s="188"/>
      <c r="B11" s="189"/>
      <c r="C11" s="192"/>
      <c r="D11" s="194"/>
      <c r="E11" s="195"/>
      <c r="F11" s="196"/>
      <c r="G11" s="182"/>
      <c r="H11" s="5"/>
      <c r="I11" s="4"/>
      <c r="J11" s="4"/>
      <c r="K11" s="4"/>
      <c r="L11" s="4"/>
      <c r="M11" s="4"/>
      <c r="N11" s="4"/>
      <c r="O11" s="200"/>
      <c r="P11" s="200"/>
      <c r="Q11" s="200"/>
      <c r="R11" s="206"/>
      <c r="S11" s="206"/>
      <c r="T11" s="207"/>
      <c r="U11" s="207"/>
      <c r="V11" s="202"/>
      <c r="W11" s="203"/>
      <c r="X11" s="187"/>
    </row>
    <row r="12" spans="1:24">
      <c r="A12" s="190"/>
      <c r="B12" s="191"/>
      <c r="C12" s="193"/>
      <c r="D12" s="197"/>
      <c r="E12" s="198"/>
      <c r="F12" s="199"/>
      <c r="G12" s="183"/>
      <c r="H12" s="204" t="s">
        <v>43</v>
      </c>
      <c r="I12" s="204"/>
      <c r="J12" s="204"/>
      <c r="K12" s="204"/>
      <c r="L12" s="204"/>
      <c r="M12" s="204"/>
      <c r="N12" s="205"/>
      <c r="O12" s="201"/>
      <c r="P12" s="201"/>
      <c r="Q12" s="201"/>
      <c r="R12" s="206"/>
      <c r="S12" s="206"/>
      <c r="T12" s="207"/>
      <c r="U12" s="207"/>
      <c r="V12" s="202"/>
      <c r="W12" s="203"/>
      <c r="X12" s="187"/>
    </row>
    <row r="13" spans="1:24" ht="15" customHeight="1">
      <c r="A13" s="208" t="s">
        <v>98</v>
      </c>
      <c r="B13" s="209"/>
      <c r="C13" s="210">
        <v>2</v>
      </c>
      <c r="D13" s="249" t="s">
        <v>123</v>
      </c>
      <c r="E13" s="250"/>
      <c r="F13" s="251"/>
      <c r="G13" s="220" t="s">
        <v>49</v>
      </c>
      <c r="H13" s="220"/>
      <c r="I13" s="220"/>
      <c r="J13" s="220"/>
      <c r="K13" s="220"/>
      <c r="L13" s="220"/>
      <c r="M13" s="220">
        <v>0</v>
      </c>
      <c r="N13" s="220"/>
      <c r="O13" s="232">
        <f>SUM(H13:N14)</f>
        <v>0</v>
      </c>
      <c r="P13" s="105" t="s">
        <v>110</v>
      </c>
      <c r="Q13" s="238">
        <f>P14*O13</f>
        <v>0</v>
      </c>
      <c r="R13" s="226">
        <v>42.79</v>
      </c>
      <c r="S13" s="226">
        <f>33.71+7.88+12.9</f>
        <v>54.49</v>
      </c>
      <c r="T13" s="226"/>
      <c r="U13" s="226"/>
      <c r="V13" s="226"/>
      <c r="W13" s="226">
        <f>S13+R13</f>
        <v>97.28</v>
      </c>
      <c r="X13" s="229">
        <f>Q15-W13</f>
        <v>446.47</v>
      </c>
    </row>
    <row r="14" spans="1:24">
      <c r="A14" s="221" t="s">
        <v>103</v>
      </c>
      <c r="B14" s="222"/>
      <c r="C14" s="210"/>
      <c r="D14" s="252"/>
      <c r="E14" s="253"/>
      <c r="F14" s="254"/>
      <c r="G14" s="220"/>
      <c r="H14" s="220"/>
      <c r="I14" s="220"/>
      <c r="J14" s="220"/>
      <c r="K14" s="220"/>
      <c r="L14" s="220"/>
      <c r="M14" s="220"/>
      <c r="N14" s="220"/>
      <c r="O14" s="233"/>
      <c r="P14" s="103">
        <f>P16/2+P16</f>
        <v>22.5</v>
      </c>
      <c r="Q14" s="239"/>
      <c r="R14" s="227"/>
      <c r="S14" s="227"/>
      <c r="T14" s="227"/>
      <c r="U14" s="227"/>
      <c r="V14" s="227"/>
      <c r="W14" s="227"/>
      <c r="X14" s="230"/>
    </row>
    <row r="15" spans="1:24">
      <c r="A15" s="261"/>
      <c r="B15" s="262"/>
      <c r="C15" s="210"/>
      <c r="D15" s="252"/>
      <c r="E15" s="253"/>
      <c r="F15" s="254"/>
      <c r="G15" s="223" t="s">
        <v>40</v>
      </c>
      <c r="H15" s="223">
        <v>0</v>
      </c>
      <c r="I15" s="223">
        <v>0</v>
      </c>
      <c r="J15" s="223">
        <v>3.25</v>
      </c>
      <c r="K15" s="223">
        <v>6</v>
      </c>
      <c r="L15" s="223">
        <v>9.5</v>
      </c>
      <c r="M15" s="223">
        <v>9</v>
      </c>
      <c r="N15" s="223">
        <v>8.5</v>
      </c>
      <c r="O15" s="234">
        <f>SUM(H15:N16)</f>
        <v>36.25</v>
      </c>
      <c r="P15" s="106" t="s">
        <v>110</v>
      </c>
      <c r="Q15" s="236">
        <f>P16*O15</f>
        <v>543.75</v>
      </c>
      <c r="R15" s="227"/>
      <c r="S15" s="227"/>
      <c r="T15" s="227"/>
      <c r="U15" s="227"/>
      <c r="V15" s="227"/>
      <c r="W15" s="227"/>
      <c r="X15" s="230"/>
    </row>
    <row r="16" spans="1:24">
      <c r="A16" s="224"/>
      <c r="B16" s="225"/>
      <c r="C16" s="210"/>
      <c r="D16" s="255"/>
      <c r="E16" s="256"/>
      <c r="F16" s="257"/>
      <c r="G16" s="223"/>
      <c r="H16" s="223"/>
      <c r="I16" s="223"/>
      <c r="J16" s="223"/>
      <c r="K16" s="223"/>
      <c r="L16" s="223"/>
      <c r="M16" s="223"/>
      <c r="N16" s="223"/>
      <c r="O16" s="235"/>
      <c r="P16" s="104">
        <v>15</v>
      </c>
      <c r="Q16" s="237"/>
      <c r="R16" s="228"/>
      <c r="S16" s="228"/>
      <c r="T16" s="228"/>
      <c r="U16" s="228"/>
      <c r="V16" s="228"/>
      <c r="W16" s="228"/>
      <c r="X16" s="231"/>
    </row>
    <row r="17" spans="1:24" ht="15" customHeight="1">
      <c r="A17" s="208" t="s">
        <v>99</v>
      </c>
      <c r="B17" s="209"/>
      <c r="C17" s="210">
        <v>2</v>
      </c>
      <c r="D17" s="249" t="s">
        <v>123</v>
      </c>
      <c r="E17" s="250"/>
      <c r="F17" s="251"/>
      <c r="G17" s="220" t="s">
        <v>49</v>
      </c>
      <c r="H17" s="220"/>
      <c r="I17" s="220"/>
      <c r="J17" s="220"/>
      <c r="K17" s="220"/>
      <c r="L17" s="220"/>
      <c r="M17" s="220"/>
      <c r="N17" s="220"/>
      <c r="O17" s="232">
        <f>SUM(H17:N18)</f>
        <v>0</v>
      </c>
      <c r="P17" s="105" t="s">
        <v>110</v>
      </c>
      <c r="Q17" s="238">
        <f>P18*O17</f>
        <v>0</v>
      </c>
      <c r="R17" s="226">
        <v>37.729999999999997</v>
      </c>
      <c r="S17" s="226">
        <f>31.62+7.4+11.34</f>
        <v>50.36</v>
      </c>
      <c r="T17" s="226"/>
      <c r="U17" s="226"/>
      <c r="V17" s="226"/>
      <c r="W17" s="226">
        <f>S17+R17</f>
        <v>88.09</v>
      </c>
      <c r="X17" s="229">
        <f>Q19-W17</f>
        <v>421.90999999999997</v>
      </c>
    </row>
    <row r="18" spans="1:24">
      <c r="A18" s="221" t="s">
        <v>102</v>
      </c>
      <c r="B18" s="222"/>
      <c r="C18" s="210"/>
      <c r="D18" s="252"/>
      <c r="E18" s="253"/>
      <c r="F18" s="254"/>
      <c r="G18" s="220"/>
      <c r="H18" s="220"/>
      <c r="I18" s="220"/>
      <c r="J18" s="220"/>
      <c r="K18" s="220"/>
      <c r="L18" s="220"/>
      <c r="M18" s="220"/>
      <c r="N18" s="220"/>
      <c r="O18" s="233"/>
      <c r="P18" s="103">
        <f>P20/2+P20</f>
        <v>22.5</v>
      </c>
      <c r="Q18" s="239"/>
      <c r="R18" s="227"/>
      <c r="S18" s="227"/>
      <c r="T18" s="227"/>
      <c r="U18" s="227"/>
      <c r="V18" s="227"/>
      <c r="W18" s="227"/>
      <c r="X18" s="230"/>
    </row>
    <row r="19" spans="1:24">
      <c r="A19" s="261"/>
      <c r="B19" s="262"/>
      <c r="C19" s="210"/>
      <c r="D19" s="252"/>
      <c r="E19" s="253"/>
      <c r="F19" s="254"/>
      <c r="G19" s="223" t="s">
        <v>40</v>
      </c>
      <c r="H19" s="223">
        <v>0</v>
      </c>
      <c r="I19" s="223">
        <v>7</v>
      </c>
      <c r="J19" s="223">
        <v>0</v>
      </c>
      <c r="K19" s="223">
        <v>5</v>
      </c>
      <c r="L19" s="223">
        <v>8</v>
      </c>
      <c r="M19" s="223">
        <v>6</v>
      </c>
      <c r="N19" s="223">
        <v>8</v>
      </c>
      <c r="O19" s="223">
        <f>SUM(H19:N20)</f>
        <v>34</v>
      </c>
      <c r="P19" s="106" t="s">
        <v>110</v>
      </c>
      <c r="Q19" s="236">
        <f>P20*O19</f>
        <v>510</v>
      </c>
      <c r="R19" s="227"/>
      <c r="S19" s="227"/>
      <c r="T19" s="227"/>
      <c r="U19" s="227"/>
      <c r="V19" s="227"/>
      <c r="W19" s="227"/>
      <c r="X19" s="230"/>
    </row>
    <row r="20" spans="1:24">
      <c r="A20" s="224"/>
      <c r="B20" s="225"/>
      <c r="C20" s="210"/>
      <c r="D20" s="255"/>
      <c r="E20" s="256"/>
      <c r="F20" s="257"/>
      <c r="G20" s="223"/>
      <c r="H20" s="223"/>
      <c r="I20" s="223"/>
      <c r="J20" s="223"/>
      <c r="K20" s="223"/>
      <c r="L20" s="223"/>
      <c r="M20" s="223"/>
      <c r="N20" s="223"/>
      <c r="O20" s="223"/>
      <c r="P20" s="104">
        <v>15</v>
      </c>
      <c r="Q20" s="237"/>
      <c r="R20" s="228"/>
      <c r="S20" s="228"/>
      <c r="T20" s="228"/>
      <c r="U20" s="228"/>
      <c r="V20" s="228"/>
      <c r="W20" s="228"/>
      <c r="X20" s="231"/>
    </row>
    <row r="21" spans="1:24" ht="14" customHeight="1">
      <c r="A21" s="208" t="s">
        <v>121</v>
      </c>
      <c r="B21" s="209"/>
      <c r="C21" s="210"/>
      <c r="D21" s="211" t="s">
        <v>116</v>
      </c>
      <c r="E21" s="212"/>
      <c r="F21" s="213"/>
      <c r="G21" s="220" t="s">
        <v>49</v>
      </c>
      <c r="H21" s="220"/>
      <c r="I21" s="220"/>
      <c r="J21" s="220"/>
      <c r="K21" s="220"/>
      <c r="L21" s="220"/>
      <c r="M21" s="220"/>
      <c r="N21" s="220"/>
      <c r="O21" s="232">
        <f>SUM(H21:N22)</f>
        <v>0</v>
      </c>
      <c r="P21" s="105" t="s">
        <v>110</v>
      </c>
      <c r="Q21" s="248"/>
      <c r="R21" s="226">
        <v>0</v>
      </c>
      <c r="S21" s="226">
        <f>7.44+1.74+0.51</f>
        <v>9.69</v>
      </c>
      <c r="T21" s="226"/>
      <c r="U21" s="226"/>
      <c r="V21" s="226"/>
      <c r="W21" s="226">
        <f>S21+R21</f>
        <v>9.69</v>
      </c>
      <c r="X21" s="229">
        <f>Q23-W21</f>
        <v>110.31</v>
      </c>
    </row>
    <row r="22" spans="1:24">
      <c r="A22" s="221" t="s">
        <v>122</v>
      </c>
      <c r="B22" s="222"/>
      <c r="C22" s="210"/>
      <c r="D22" s="214"/>
      <c r="E22" s="215"/>
      <c r="F22" s="216"/>
      <c r="G22" s="220"/>
      <c r="H22" s="220"/>
      <c r="I22" s="220"/>
      <c r="J22" s="220"/>
      <c r="K22" s="220"/>
      <c r="L22" s="220"/>
      <c r="M22" s="220"/>
      <c r="N22" s="220"/>
      <c r="O22" s="233"/>
      <c r="P22" s="103">
        <f>P24/2+P24</f>
        <v>15</v>
      </c>
      <c r="Q22" s="248"/>
      <c r="R22" s="227"/>
      <c r="S22" s="227"/>
      <c r="T22" s="227"/>
      <c r="U22" s="227"/>
      <c r="V22" s="227"/>
      <c r="W22" s="227"/>
      <c r="X22" s="230"/>
    </row>
    <row r="23" spans="1:24">
      <c r="A23" s="221"/>
      <c r="B23" s="222"/>
      <c r="C23" s="210"/>
      <c r="D23" s="214"/>
      <c r="E23" s="215"/>
      <c r="F23" s="216"/>
      <c r="G23" s="223" t="s">
        <v>40</v>
      </c>
      <c r="H23" s="223">
        <v>0</v>
      </c>
      <c r="I23" s="234">
        <v>7</v>
      </c>
      <c r="J23" s="234">
        <v>0</v>
      </c>
      <c r="K23" s="234">
        <v>5</v>
      </c>
      <c r="L23" s="234">
        <v>0</v>
      </c>
      <c r="M23" s="234">
        <v>0</v>
      </c>
      <c r="N23" s="234">
        <v>0</v>
      </c>
      <c r="O23" s="223">
        <f>SUM(H23:N24)</f>
        <v>12</v>
      </c>
      <c r="P23" s="106" t="s">
        <v>110</v>
      </c>
      <c r="Q23" s="236">
        <f>P24*O23</f>
        <v>120</v>
      </c>
      <c r="R23" s="227"/>
      <c r="S23" s="227"/>
      <c r="T23" s="227"/>
      <c r="U23" s="227"/>
      <c r="V23" s="227"/>
      <c r="W23" s="227"/>
      <c r="X23" s="230"/>
    </row>
    <row r="24" spans="1:24">
      <c r="A24" s="224"/>
      <c r="B24" s="225"/>
      <c r="C24" s="210"/>
      <c r="D24" s="217"/>
      <c r="E24" s="218"/>
      <c r="F24" s="219"/>
      <c r="G24" s="223"/>
      <c r="H24" s="223"/>
      <c r="I24" s="235"/>
      <c r="J24" s="235"/>
      <c r="K24" s="235"/>
      <c r="L24" s="235"/>
      <c r="M24" s="235"/>
      <c r="N24" s="235"/>
      <c r="O24" s="223"/>
      <c r="P24" s="104">
        <v>10</v>
      </c>
      <c r="Q24" s="237"/>
      <c r="R24" s="228"/>
      <c r="S24" s="228"/>
      <c r="T24" s="228"/>
      <c r="U24" s="228"/>
      <c r="V24" s="228"/>
      <c r="W24" s="228"/>
      <c r="X24" s="231"/>
    </row>
    <row r="25" spans="1:24" ht="14" customHeight="1">
      <c r="A25" s="208"/>
      <c r="B25" s="209"/>
      <c r="C25" s="263"/>
      <c r="D25" s="211" t="s">
        <v>116</v>
      </c>
      <c r="E25" s="212"/>
      <c r="F25" s="213"/>
      <c r="G25" s="232" t="s">
        <v>49</v>
      </c>
      <c r="H25" s="232"/>
      <c r="I25" s="232"/>
      <c r="J25" s="232"/>
      <c r="K25" s="232"/>
      <c r="L25" s="232"/>
      <c r="M25" s="232"/>
      <c r="N25" s="232"/>
      <c r="O25" s="232">
        <f>SUM(H25:N26)</f>
        <v>0</v>
      </c>
      <c r="P25" s="105" t="s">
        <v>110</v>
      </c>
      <c r="Q25" s="238"/>
      <c r="R25" s="229"/>
      <c r="S25" s="229"/>
      <c r="T25" s="229"/>
      <c r="U25" s="229"/>
      <c r="V25" s="229"/>
      <c r="W25" s="229"/>
      <c r="X25" s="229"/>
    </row>
    <row r="26" spans="1:24">
      <c r="A26" s="221"/>
      <c r="B26" s="222"/>
      <c r="C26" s="264"/>
      <c r="D26" s="214"/>
      <c r="E26" s="215"/>
      <c r="F26" s="216"/>
      <c r="G26" s="233"/>
      <c r="H26" s="233"/>
      <c r="I26" s="233"/>
      <c r="J26" s="233"/>
      <c r="K26" s="233"/>
      <c r="L26" s="233"/>
      <c r="M26" s="233"/>
      <c r="N26" s="233"/>
      <c r="O26" s="233"/>
      <c r="P26" s="103">
        <v>0</v>
      </c>
      <c r="Q26" s="239"/>
      <c r="R26" s="230"/>
      <c r="S26" s="230"/>
      <c r="T26" s="230"/>
      <c r="U26" s="230"/>
      <c r="V26" s="230"/>
      <c r="W26" s="230"/>
      <c r="X26" s="230"/>
    </row>
    <row r="27" spans="1:24">
      <c r="A27" s="221"/>
      <c r="B27" s="222"/>
      <c r="C27" s="264"/>
      <c r="D27" s="214"/>
      <c r="E27" s="215"/>
      <c r="F27" s="216"/>
      <c r="G27" s="234" t="s">
        <v>40</v>
      </c>
      <c r="H27" s="234">
        <v>0</v>
      </c>
      <c r="I27" s="234">
        <v>0</v>
      </c>
      <c r="J27" s="234">
        <v>0</v>
      </c>
      <c r="K27" s="234">
        <v>0</v>
      </c>
      <c r="L27" s="234">
        <v>0</v>
      </c>
      <c r="M27" s="234">
        <v>0</v>
      </c>
      <c r="N27" s="234">
        <v>0</v>
      </c>
      <c r="O27" s="234">
        <f>SUM(H27:N28)</f>
        <v>0</v>
      </c>
      <c r="P27" s="106" t="s">
        <v>110</v>
      </c>
      <c r="Q27" s="266">
        <f>P28*O27</f>
        <v>0</v>
      </c>
      <c r="R27" s="230"/>
      <c r="S27" s="230"/>
      <c r="T27" s="230"/>
      <c r="U27" s="230"/>
      <c r="V27" s="230"/>
      <c r="W27" s="230"/>
      <c r="X27" s="230"/>
    </row>
    <row r="28" spans="1:24">
      <c r="A28" s="224"/>
      <c r="B28" s="225"/>
      <c r="C28" s="265"/>
      <c r="D28" s="217"/>
      <c r="E28" s="218"/>
      <c r="F28" s="219"/>
      <c r="G28" s="235"/>
      <c r="H28" s="235"/>
      <c r="I28" s="235"/>
      <c r="J28" s="235"/>
      <c r="K28" s="235"/>
      <c r="L28" s="235"/>
      <c r="M28" s="235"/>
      <c r="N28" s="235"/>
      <c r="O28" s="235"/>
      <c r="P28" s="104">
        <v>50</v>
      </c>
      <c r="Q28" s="267"/>
      <c r="R28" s="231"/>
      <c r="S28" s="231"/>
      <c r="T28" s="231"/>
      <c r="U28" s="231"/>
      <c r="V28" s="231"/>
      <c r="W28" s="231"/>
      <c r="X28" s="231"/>
    </row>
    <row r="29" spans="1:24" ht="14" customHeight="1">
      <c r="A29" s="208"/>
      <c r="B29" s="209"/>
      <c r="C29" s="263"/>
      <c r="D29" s="211" t="s">
        <v>116</v>
      </c>
      <c r="E29" s="212"/>
      <c r="F29" s="213"/>
      <c r="G29" s="232" t="s">
        <v>49</v>
      </c>
      <c r="H29" s="232"/>
      <c r="I29" s="232"/>
      <c r="J29" s="232"/>
      <c r="K29" s="232"/>
      <c r="L29" s="232"/>
      <c r="M29" s="232"/>
      <c r="N29" s="232"/>
      <c r="O29" s="232">
        <f>SUM(H29:N30)</f>
        <v>0</v>
      </c>
      <c r="P29" s="105" t="s">
        <v>110</v>
      </c>
      <c r="Q29" s="238"/>
      <c r="R29" s="229"/>
      <c r="S29" s="229"/>
      <c r="T29" s="229"/>
      <c r="U29" s="229"/>
      <c r="V29" s="229"/>
      <c r="W29" s="229"/>
      <c r="X29" s="229"/>
    </row>
    <row r="30" spans="1:24">
      <c r="A30" s="221"/>
      <c r="B30" s="222"/>
      <c r="C30" s="264"/>
      <c r="D30" s="214"/>
      <c r="E30" s="215"/>
      <c r="F30" s="216"/>
      <c r="G30" s="233"/>
      <c r="H30" s="233"/>
      <c r="I30" s="233"/>
      <c r="J30" s="233"/>
      <c r="K30" s="233"/>
      <c r="L30" s="233"/>
      <c r="M30" s="233"/>
      <c r="N30" s="233"/>
      <c r="O30" s="233"/>
      <c r="P30" s="103">
        <v>0</v>
      </c>
      <c r="Q30" s="239"/>
      <c r="R30" s="230"/>
      <c r="S30" s="230"/>
      <c r="T30" s="230"/>
      <c r="U30" s="230"/>
      <c r="V30" s="230"/>
      <c r="W30" s="230"/>
      <c r="X30" s="230"/>
    </row>
    <row r="31" spans="1:24">
      <c r="A31" s="221"/>
      <c r="B31" s="222"/>
      <c r="C31" s="264"/>
      <c r="D31" s="214"/>
      <c r="E31" s="215"/>
      <c r="F31" s="216"/>
      <c r="G31" s="234" t="s">
        <v>40</v>
      </c>
      <c r="H31" s="234">
        <v>0</v>
      </c>
      <c r="I31" s="234">
        <v>0</v>
      </c>
      <c r="J31" s="234">
        <v>0</v>
      </c>
      <c r="K31" s="234">
        <v>0</v>
      </c>
      <c r="L31" s="234">
        <v>0</v>
      </c>
      <c r="M31" s="234">
        <v>0</v>
      </c>
      <c r="N31" s="234">
        <v>0</v>
      </c>
      <c r="O31" s="234">
        <f>SUM(H31:N32)</f>
        <v>0</v>
      </c>
      <c r="P31" s="106" t="s">
        <v>110</v>
      </c>
      <c r="Q31" s="266">
        <f>P32*O31</f>
        <v>0</v>
      </c>
      <c r="R31" s="230"/>
      <c r="S31" s="230"/>
      <c r="T31" s="230"/>
      <c r="U31" s="230"/>
      <c r="V31" s="230"/>
      <c r="W31" s="230"/>
      <c r="X31" s="230"/>
    </row>
    <row r="32" spans="1:24">
      <c r="A32" s="224"/>
      <c r="B32" s="225"/>
      <c r="C32" s="265"/>
      <c r="D32" s="217"/>
      <c r="E32" s="218"/>
      <c r="F32" s="219"/>
      <c r="G32" s="235"/>
      <c r="H32" s="235"/>
      <c r="I32" s="235"/>
      <c r="J32" s="235"/>
      <c r="K32" s="235"/>
      <c r="L32" s="235"/>
      <c r="M32" s="235"/>
      <c r="N32" s="235"/>
      <c r="O32" s="235"/>
      <c r="P32" s="104">
        <v>50</v>
      </c>
      <c r="Q32" s="267"/>
      <c r="R32" s="231"/>
      <c r="S32" s="231"/>
      <c r="T32" s="231"/>
      <c r="U32" s="231"/>
      <c r="V32" s="231"/>
      <c r="W32" s="231"/>
      <c r="X32" s="231"/>
    </row>
    <row r="33" spans="1:24" ht="14" customHeight="1">
      <c r="A33" s="208"/>
      <c r="B33" s="209"/>
      <c r="C33" s="210"/>
      <c r="D33" s="211" t="s">
        <v>116</v>
      </c>
      <c r="E33" s="212"/>
      <c r="F33" s="213"/>
      <c r="G33" s="220" t="s">
        <v>49</v>
      </c>
      <c r="H33" s="220"/>
      <c r="I33" s="220"/>
      <c r="J33" s="220"/>
      <c r="K33" s="220"/>
      <c r="L33" s="220"/>
      <c r="M33" s="220"/>
      <c r="N33" s="220"/>
      <c r="O33" s="232">
        <f>SUM(H33:N34)</f>
        <v>0</v>
      </c>
      <c r="P33" s="105" t="s">
        <v>110</v>
      </c>
      <c r="Q33" s="248"/>
      <c r="R33" s="229"/>
      <c r="S33" s="226"/>
      <c r="T33" s="226"/>
      <c r="U33" s="226"/>
      <c r="V33" s="226"/>
      <c r="W33" s="226"/>
      <c r="X33" s="229"/>
    </row>
    <row r="34" spans="1:24">
      <c r="A34" s="221"/>
      <c r="B34" s="222"/>
      <c r="C34" s="210"/>
      <c r="D34" s="214"/>
      <c r="E34" s="215"/>
      <c r="F34" s="216"/>
      <c r="G34" s="220"/>
      <c r="H34" s="220"/>
      <c r="I34" s="220"/>
      <c r="J34" s="220"/>
      <c r="K34" s="220"/>
      <c r="L34" s="220"/>
      <c r="M34" s="220"/>
      <c r="N34" s="220"/>
      <c r="O34" s="233"/>
      <c r="P34" s="103">
        <v>0</v>
      </c>
      <c r="Q34" s="248"/>
      <c r="R34" s="230"/>
      <c r="S34" s="227"/>
      <c r="T34" s="227"/>
      <c r="U34" s="227"/>
      <c r="V34" s="227"/>
      <c r="W34" s="227"/>
      <c r="X34" s="230"/>
    </row>
    <row r="35" spans="1:24">
      <c r="A35" s="221"/>
      <c r="B35" s="222"/>
      <c r="C35" s="210"/>
      <c r="D35" s="214"/>
      <c r="E35" s="215"/>
      <c r="F35" s="216"/>
      <c r="G35" s="223" t="s">
        <v>40</v>
      </c>
      <c r="H35" s="223">
        <v>0</v>
      </c>
      <c r="I35" s="223">
        <v>0</v>
      </c>
      <c r="J35" s="223">
        <v>0</v>
      </c>
      <c r="K35" s="223">
        <v>0</v>
      </c>
      <c r="L35" s="223">
        <v>0</v>
      </c>
      <c r="M35" s="223">
        <v>0</v>
      </c>
      <c r="N35" s="223">
        <v>0</v>
      </c>
      <c r="O35" s="223">
        <f>SUM(H35:N36)</f>
        <v>0</v>
      </c>
      <c r="P35" s="106" t="s">
        <v>110</v>
      </c>
      <c r="Q35" s="236">
        <f>P36*O35</f>
        <v>0</v>
      </c>
      <c r="R35" s="230"/>
      <c r="S35" s="227"/>
      <c r="T35" s="227"/>
      <c r="U35" s="227"/>
      <c r="V35" s="227"/>
      <c r="W35" s="227"/>
      <c r="X35" s="230"/>
    </row>
    <row r="36" spans="1:24">
      <c r="A36" s="224"/>
      <c r="B36" s="225"/>
      <c r="C36" s="210"/>
      <c r="D36" s="217"/>
      <c r="E36" s="218"/>
      <c r="F36" s="219"/>
      <c r="G36" s="223"/>
      <c r="H36" s="223"/>
      <c r="I36" s="223"/>
      <c r="J36" s="223"/>
      <c r="K36" s="223"/>
      <c r="L36" s="223"/>
      <c r="M36" s="223"/>
      <c r="N36" s="223"/>
      <c r="O36" s="223"/>
      <c r="P36" s="104">
        <v>10</v>
      </c>
      <c r="Q36" s="237"/>
      <c r="R36" s="231"/>
      <c r="S36" s="228"/>
      <c r="T36" s="228"/>
      <c r="U36" s="228"/>
      <c r="V36" s="228"/>
      <c r="W36" s="228"/>
      <c r="X36" s="231"/>
    </row>
    <row r="37" spans="1:24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</row>
    <row r="38" spans="1:24" ht="15.75" customHeight="1">
      <c r="A38" s="18" t="s">
        <v>58</v>
      </c>
      <c r="B38" s="101">
        <f>N10</f>
        <v>42428</v>
      </c>
      <c r="C38" s="20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 t="s">
        <v>82</v>
      </c>
      <c r="R38" s="18"/>
      <c r="S38" s="18"/>
      <c r="T38" s="18"/>
      <c r="U38" s="3"/>
      <c r="V38" s="3"/>
      <c r="W38" s="3"/>
    </row>
    <row r="39" spans="1:24" ht="18.75" customHeight="1">
      <c r="A39" s="29" t="s">
        <v>59</v>
      </c>
      <c r="B39" s="35" t="s">
        <v>83</v>
      </c>
      <c r="C39" s="31"/>
      <c r="D39" s="31"/>
      <c r="E39" s="31"/>
      <c r="F39" s="31"/>
      <c r="G39" s="31"/>
      <c r="H39" s="96" t="s">
        <v>75</v>
      </c>
      <c r="I39" s="96"/>
      <c r="J39" s="96"/>
      <c r="K39" s="27"/>
      <c r="L39" s="27"/>
      <c r="M39" s="25"/>
      <c r="N39" s="25"/>
      <c r="O39" s="25"/>
      <c r="P39" s="18"/>
      <c r="Q39" s="13" t="s">
        <v>90</v>
      </c>
      <c r="S39" s="18"/>
      <c r="T39" s="18"/>
      <c r="U39" s="3"/>
      <c r="V39" s="3"/>
      <c r="W39" s="3"/>
    </row>
    <row r="40" spans="1:24" ht="14.25" customHeight="1">
      <c r="A40" s="29"/>
      <c r="B40" s="21" t="s">
        <v>62</v>
      </c>
      <c r="C40" s="21"/>
      <c r="D40" s="21"/>
      <c r="E40" s="21"/>
      <c r="F40" s="31"/>
      <c r="G40" s="58"/>
      <c r="H40" s="21" t="s">
        <v>63</v>
      </c>
      <c r="I40" s="58"/>
      <c r="J40" s="21"/>
      <c r="K40" s="21"/>
      <c r="L40" s="24"/>
      <c r="M40" s="24"/>
      <c r="N40" s="24"/>
      <c r="O40" s="25"/>
      <c r="P40" s="17" t="s">
        <v>10</v>
      </c>
      <c r="R40" s="18"/>
      <c r="S40" s="18"/>
      <c r="T40" s="3"/>
      <c r="U40" s="3"/>
      <c r="V40" s="3"/>
    </row>
    <row r="41" spans="1:24" ht="12" customHeight="1">
      <c r="A41" s="17"/>
      <c r="F41" s="23"/>
      <c r="L41" s="95"/>
      <c r="M41" s="18"/>
      <c r="N41" s="18"/>
      <c r="O41" s="18"/>
      <c r="P41" s="18" t="s">
        <v>11</v>
      </c>
      <c r="R41" s="18"/>
      <c r="S41" s="18"/>
      <c r="T41" s="3"/>
      <c r="U41" s="3"/>
      <c r="V41" s="3"/>
    </row>
    <row r="42" spans="1:24" ht="12" customHeight="1">
      <c r="A42" s="17" t="s">
        <v>60</v>
      </c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 t="s">
        <v>12</v>
      </c>
      <c r="R42" s="18"/>
      <c r="S42" s="18"/>
      <c r="T42" s="3"/>
      <c r="U42" s="3"/>
      <c r="V42" s="3"/>
    </row>
    <row r="43" spans="1:24" ht="12" customHeight="1">
      <c r="A43" s="18"/>
      <c r="B43" s="18" t="s">
        <v>61</v>
      </c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25" t="s">
        <v>13</v>
      </c>
      <c r="R43" s="25"/>
      <c r="S43" s="25"/>
      <c r="T43" s="34"/>
      <c r="U43" s="34"/>
      <c r="V43" s="34"/>
    </row>
    <row r="44" spans="1:24" s="19" customFormat="1" ht="16.5" customHeight="1">
      <c r="A44" s="29"/>
      <c r="B44" s="25"/>
      <c r="C44" s="31" t="str">
        <f>C50</f>
        <v>Evankoff LLC</v>
      </c>
      <c r="D44" s="36"/>
      <c r="E44" s="36"/>
      <c r="F44" s="25"/>
      <c r="G44" s="25"/>
      <c r="H44" s="25"/>
      <c r="I44" s="25"/>
      <c r="J44" s="25"/>
      <c r="K44" s="25"/>
      <c r="L44" s="25"/>
      <c r="M44" s="25"/>
      <c r="N44" s="25"/>
      <c r="O44" s="25" t="s">
        <v>64</v>
      </c>
      <c r="P44" s="25"/>
    </row>
    <row r="45" spans="1:24">
      <c r="A45" s="24"/>
      <c r="B45" s="24"/>
      <c r="C45" s="24" t="s">
        <v>65</v>
      </c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5"/>
      <c r="P45" s="25"/>
      <c r="Q45" s="36" t="s">
        <v>16</v>
      </c>
      <c r="S45" s="19"/>
      <c r="T45" s="19"/>
      <c r="U45" s="19"/>
    </row>
    <row r="46" spans="1:24" s="19" customFormat="1" ht="15" thickBot="1">
      <c r="A46" s="31" t="s">
        <v>105</v>
      </c>
      <c r="B46" s="31"/>
      <c r="C46" s="31"/>
      <c r="D46" s="31"/>
      <c r="E46" s="31"/>
      <c r="F46" s="31"/>
      <c r="G46" s="25" t="s">
        <v>67</v>
      </c>
      <c r="H46" s="25"/>
      <c r="I46" s="25"/>
      <c r="J46" s="25"/>
      <c r="K46" s="25"/>
      <c r="L46" s="25"/>
      <c r="M46" s="25"/>
      <c r="N46" s="25"/>
      <c r="O46" s="25"/>
      <c r="P46" s="25"/>
      <c r="Q46" s="25"/>
    </row>
    <row r="47" spans="1:24">
      <c r="A47" s="24"/>
      <c r="B47" s="24" t="s">
        <v>66</v>
      </c>
      <c r="C47" s="24"/>
      <c r="D47" s="24"/>
      <c r="E47" s="24"/>
      <c r="F47" s="24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94"/>
      <c r="R47" s="70" t="s">
        <v>14</v>
      </c>
      <c r="S47" s="71"/>
      <c r="T47" s="72"/>
      <c r="U47" s="37"/>
      <c r="V47" s="73" t="s">
        <v>15</v>
      </c>
      <c r="W47" s="74" t="s">
        <v>93</v>
      </c>
      <c r="X47" s="75"/>
    </row>
    <row r="48" spans="1:24">
      <c r="A48" s="99">
        <f>H10</f>
        <v>42422</v>
      </c>
      <c r="B48" s="26" t="s">
        <v>68</v>
      </c>
      <c r="C48" s="244">
        <f>F7</f>
        <v>42428</v>
      </c>
      <c r="D48" s="244"/>
      <c r="E48" s="98"/>
      <c r="F48" s="33" t="s">
        <v>73</v>
      </c>
      <c r="J48" s="32"/>
      <c r="L48" s="25"/>
      <c r="M48" s="25"/>
      <c r="N48" s="25"/>
      <c r="O48" s="25"/>
      <c r="P48" s="25"/>
      <c r="Q48" s="76"/>
      <c r="R48" s="77"/>
      <c r="S48" s="77"/>
      <c r="T48" s="78"/>
      <c r="U48" s="79"/>
      <c r="V48" s="80"/>
      <c r="W48" s="80"/>
      <c r="X48" s="81"/>
    </row>
    <row r="49" spans="1:24" ht="14.25" customHeight="1" thickBot="1">
      <c r="A49" s="24" t="s">
        <v>74</v>
      </c>
      <c r="B49" s="25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5"/>
      <c r="Q49" s="82"/>
      <c r="R49" s="83"/>
      <c r="S49" s="83"/>
      <c r="T49" s="84"/>
      <c r="U49" s="85"/>
      <c r="V49" s="86"/>
      <c r="W49" s="86"/>
      <c r="X49" s="87"/>
    </row>
    <row r="50" spans="1:24" ht="18.75" customHeight="1">
      <c r="A50" s="25"/>
      <c r="B50" s="25"/>
      <c r="C50" s="31" t="str">
        <f>A5</f>
        <v>Evankoff LLC</v>
      </c>
      <c r="D50" s="25"/>
      <c r="E50" s="25"/>
      <c r="F50" s="25"/>
      <c r="G50" s="25"/>
      <c r="H50" s="25"/>
      <c r="I50" s="25"/>
      <c r="J50" s="25"/>
      <c r="K50" s="25"/>
      <c r="L50" s="25"/>
      <c r="M50" s="25" t="s">
        <v>69</v>
      </c>
      <c r="N50" s="25"/>
      <c r="O50" s="25"/>
      <c r="P50" s="25"/>
      <c r="Q50" s="107" t="s">
        <v>94</v>
      </c>
      <c r="R50" s="108"/>
      <c r="S50" s="240" t="s">
        <v>97</v>
      </c>
      <c r="T50" s="240"/>
      <c r="U50" s="240"/>
      <c r="V50" s="240"/>
      <c r="W50" s="240"/>
      <c r="X50" s="241"/>
    </row>
    <row r="51" spans="1:24">
      <c r="A51" s="24"/>
      <c r="B51" s="24"/>
      <c r="C51" s="24" t="s">
        <v>65</v>
      </c>
      <c r="D51" s="24"/>
      <c r="E51" s="24"/>
      <c r="F51" s="24"/>
      <c r="G51" s="24"/>
      <c r="H51" s="24"/>
      <c r="I51" s="24"/>
      <c r="J51" s="24"/>
      <c r="K51" s="24"/>
      <c r="L51" s="24"/>
      <c r="M51" s="25"/>
      <c r="N51" s="25"/>
      <c r="O51" s="25"/>
      <c r="P51" s="25"/>
      <c r="Q51" s="109"/>
      <c r="R51" s="110"/>
      <c r="S51" s="242"/>
      <c r="T51" s="242"/>
      <c r="U51" s="242"/>
      <c r="V51" s="242"/>
      <c r="W51" s="242"/>
      <c r="X51" s="243"/>
    </row>
    <row r="52" spans="1:24" ht="12.75" customHeight="1" thickBot="1">
      <c r="A52" s="25" t="s">
        <v>70</v>
      </c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39"/>
      <c r="R52" s="88"/>
      <c r="S52" s="88"/>
      <c r="T52" s="89"/>
      <c r="U52" s="41"/>
      <c r="V52" s="40"/>
      <c r="W52" s="40"/>
      <c r="X52" s="42"/>
    </row>
    <row r="53" spans="1:24" ht="12.75" customHeight="1">
      <c r="A53" s="25" t="s">
        <v>71</v>
      </c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107" t="s">
        <v>94</v>
      </c>
      <c r="R53" s="108"/>
      <c r="S53" s="240" t="s">
        <v>95</v>
      </c>
      <c r="T53" s="240"/>
      <c r="U53" s="240"/>
      <c r="V53" s="240"/>
      <c r="W53" s="240"/>
      <c r="X53" s="241"/>
    </row>
    <row r="54" spans="1:24" ht="12.75" customHeight="1">
      <c r="A54" s="25" t="s">
        <v>72</v>
      </c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109"/>
      <c r="R54" s="110"/>
      <c r="S54" s="242"/>
      <c r="T54" s="242"/>
      <c r="U54" s="242"/>
      <c r="V54" s="242"/>
      <c r="W54" s="242"/>
      <c r="X54" s="243"/>
    </row>
    <row r="55" spans="1:24" ht="12.75" customHeight="1" thickBot="1">
      <c r="A55" s="25" t="s">
        <v>0</v>
      </c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43"/>
      <c r="R55" s="44"/>
      <c r="S55" s="44"/>
      <c r="T55" s="44"/>
      <c r="U55" s="45"/>
      <c r="V55" s="46"/>
      <c r="W55" s="46"/>
      <c r="X55" s="47"/>
    </row>
    <row r="56" spans="1:24" ht="18" customHeight="1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48"/>
      <c r="R56" s="49"/>
      <c r="S56" s="49"/>
      <c r="T56" s="49"/>
      <c r="U56" s="50"/>
      <c r="V56" s="51"/>
      <c r="W56" s="51"/>
      <c r="X56" s="52"/>
    </row>
    <row r="57" spans="1:24" ht="18" customHeight="1" thickBot="1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5"/>
      <c r="Q57" s="53"/>
      <c r="R57" s="54"/>
      <c r="S57" s="54"/>
      <c r="T57" s="54"/>
      <c r="U57" s="55"/>
      <c r="V57" s="10"/>
      <c r="W57" s="10"/>
      <c r="X57" s="56"/>
    </row>
    <row r="58" spans="1:24" ht="18" customHeight="1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5"/>
      <c r="Q58" s="48"/>
      <c r="R58" s="49"/>
      <c r="S58" s="49"/>
      <c r="T58" s="49"/>
      <c r="U58" s="50"/>
      <c r="V58" s="51"/>
      <c r="W58" s="51"/>
      <c r="X58" s="52"/>
    </row>
    <row r="59" spans="1:24" ht="21" customHeight="1" thickBot="1">
      <c r="A59" s="24"/>
      <c r="B59" s="28" t="s">
        <v>2</v>
      </c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5"/>
      <c r="Q59" s="53"/>
      <c r="R59" s="54"/>
      <c r="S59" s="54"/>
      <c r="T59" s="54"/>
      <c r="U59" s="55"/>
      <c r="V59" s="10"/>
      <c r="W59" s="10"/>
      <c r="X59" s="56"/>
    </row>
    <row r="60" spans="1:24" ht="12" customHeight="1">
      <c r="A60" s="30" t="s">
        <v>3</v>
      </c>
      <c r="B60" s="30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5"/>
      <c r="Q60" s="48" t="s">
        <v>17</v>
      </c>
      <c r="R60" s="49"/>
      <c r="S60" s="49"/>
      <c r="T60" s="49"/>
      <c r="U60" s="49"/>
      <c r="V60" s="51"/>
      <c r="W60" s="51"/>
      <c r="X60" s="52"/>
    </row>
    <row r="61" spans="1:24" ht="12" customHeight="1">
      <c r="A61" s="27" t="s">
        <v>4</v>
      </c>
      <c r="B61" s="30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5"/>
      <c r="Q61" s="111" t="s">
        <v>96</v>
      </c>
      <c r="R61" s="44"/>
      <c r="S61" s="44"/>
      <c r="T61" s="44"/>
      <c r="U61" s="44"/>
      <c r="V61" s="46"/>
      <c r="W61" s="46"/>
      <c r="X61" s="47"/>
    </row>
    <row r="62" spans="1:24" ht="12" customHeight="1">
      <c r="A62" s="27" t="s">
        <v>5</v>
      </c>
      <c r="B62" s="30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5"/>
      <c r="Q62" s="121"/>
      <c r="R62" s="122"/>
      <c r="S62" s="44"/>
      <c r="T62" s="44"/>
      <c r="U62" s="44"/>
      <c r="V62" s="46"/>
      <c r="W62" s="46"/>
      <c r="X62" s="47"/>
    </row>
    <row r="63" spans="1:24" ht="12" customHeight="1">
      <c r="A63" s="27"/>
      <c r="B63" s="30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5"/>
      <c r="Q63" s="121"/>
      <c r="R63" s="122"/>
      <c r="S63" s="44"/>
      <c r="T63" s="44"/>
      <c r="U63" s="44"/>
      <c r="V63" s="46"/>
      <c r="W63" s="46"/>
      <c r="X63" s="47"/>
    </row>
    <row r="64" spans="1:24" ht="12" customHeight="1">
      <c r="A64" s="29" t="s">
        <v>7</v>
      </c>
      <c r="B64" s="29" t="s">
        <v>6</v>
      </c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121"/>
      <c r="R64" s="122"/>
      <c r="S64" s="44"/>
      <c r="T64" s="44"/>
      <c r="U64" s="44"/>
      <c r="V64" s="46"/>
      <c r="W64" s="46"/>
      <c r="X64" s="47"/>
    </row>
    <row r="65" spans="1:24" ht="12" customHeight="1">
      <c r="A65" s="25" t="s">
        <v>8</v>
      </c>
      <c r="B65" s="29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43"/>
      <c r="R65" s="44"/>
      <c r="S65" s="44"/>
      <c r="T65" s="44"/>
      <c r="U65" s="44"/>
      <c r="V65" s="46"/>
      <c r="W65" s="46"/>
      <c r="X65" s="47"/>
    </row>
    <row r="66" spans="1:24" ht="12" customHeight="1">
      <c r="A66" s="25" t="s">
        <v>9</v>
      </c>
      <c r="B66" s="29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43"/>
      <c r="R66" s="44"/>
      <c r="S66" s="44"/>
      <c r="T66" s="44"/>
      <c r="U66" s="44"/>
      <c r="V66" s="46"/>
      <c r="W66" s="46"/>
      <c r="X66" s="47"/>
    </row>
    <row r="67" spans="1:24" ht="12" customHeight="1" thickBot="1">
      <c r="A67" s="25"/>
      <c r="B67" s="29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53"/>
      <c r="R67" s="54"/>
      <c r="S67" s="54"/>
      <c r="T67" s="54"/>
      <c r="U67" s="54"/>
      <c r="V67" s="10"/>
      <c r="W67" s="10"/>
      <c r="X67" s="56"/>
    </row>
    <row r="68" spans="1:24" ht="12" customHeight="1">
      <c r="A68" s="25"/>
      <c r="B68" s="25" t="s">
        <v>57</v>
      </c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</row>
    <row r="69" spans="1:24" ht="12" customHeight="1">
      <c r="A69" s="25"/>
      <c r="B69" s="25" t="s">
        <v>1</v>
      </c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12" t="s">
        <v>50</v>
      </c>
      <c r="R69" s="22"/>
      <c r="S69" s="22"/>
      <c r="T69" s="67"/>
      <c r="U69" s="57" t="s">
        <v>51</v>
      </c>
      <c r="V69" s="58"/>
      <c r="W69" s="58"/>
      <c r="X69" s="59"/>
    </row>
    <row r="70" spans="1:24" ht="11.25" customHeight="1">
      <c r="A70" s="25"/>
      <c r="B70" s="25" t="s">
        <v>81</v>
      </c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63"/>
      <c r="T70" s="68"/>
      <c r="U70" s="61"/>
      <c r="V70" s="38"/>
      <c r="W70" s="38"/>
      <c r="X70" s="60"/>
    </row>
    <row r="71" spans="1:24" ht="13.5" customHeight="1">
      <c r="A71" s="25"/>
      <c r="B71" s="97" t="s">
        <v>80</v>
      </c>
      <c r="C71" s="29" t="s">
        <v>76</v>
      </c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93" t="str">
        <f>B39</f>
        <v>Eric Coffie</v>
      </c>
      <c r="R71" s="90"/>
      <c r="S71" s="90" t="str">
        <f>H39</f>
        <v>President</v>
      </c>
      <c r="T71" s="68"/>
      <c r="U71" s="61"/>
      <c r="V71" s="38"/>
      <c r="W71" s="38"/>
      <c r="X71" s="60"/>
    </row>
    <row r="72" spans="1:24" ht="10.5" customHeight="1">
      <c r="A72" s="19"/>
      <c r="B72" s="25"/>
      <c r="C72" s="25" t="s">
        <v>77</v>
      </c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19"/>
      <c r="Q72" s="91"/>
      <c r="R72" s="92"/>
      <c r="S72" s="92"/>
      <c r="T72" s="69"/>
      <c r="U72" s="62"/>
      <c r="V72" s="116"/>
      <c r="W72" s="116"/>
      <c r="X72" s="117"/>
    </row>
    <row r="73" spans="1:24" ht="10.5" customHeight="1">
      <c r="A73" s="19"/>
      <c r="B73" s="19"/>
      <c r="C73" s="25" t="s">
        <v>78</v>
      </c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</row>
    <row r="74" spans="1:24" ht="10.5" customHeight="1">
      <c r="B74" s="19"/>
      <c r="C74" s="25" t="s">
        <v>79</v>
      </c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Q74" s="64" t="s">
        <v>86</v>
      </c>
      <c r="R74" s="58"/>
      <c r="S74" s="58"/>
      <c r="T74" s="58"/>
      <c r="U74" s="58"/>
      <c r="V74" s="58"/>
      <c r="W74" s="58"/>
      <c r="X74" s="59"/>
    </row>
    <row r="75" spans="1:24" ht="10.5" customHeight="1">
      <c r="Q75" s="66" t="s">
        <v>87</v>
      </c>
      <c r="R75" s="38"/>
      <c r="S75" s="38"/>
      <c r="T75" s="38"/>
      <c r="U75" s="38"/>
      <c r="V75" s="38"/>
      <c r="W75" s="38"/>
      <c r="X75" s="60"/>
    </row>
    <row r="76" spans="1:24" ht="10.5" customHeight="1">
      <c r="Q76" s="66" t="s">
        <v>88</v>
      </c>
      <c r="R76" s="38"/>
      <c r="S76" s="38"/>
      <c r="T76" s="38"/>
      <c r="U76" s="38"/>
      <c r="V76" s="38"/>
      <c r="W76" s="38"/>
      <c r="X76" s="60"/>
    </row>
    <row r="77" spans="1:24" ht="10.5" customHeight="1">
      <c r="Q77" s="65" t="s">
        <v>89</v>
      </c>
      <c r="R77" s="116"/>
      <c r="S77" s="116"/>
      <c r="T77" s="116"/>
      <c r="U77" s="116"/>
      <c r="V77" s="116"/>
      <c r="W77" s="116"/>
      <c r="X77" s="117"/>
    </row>
  </sheetData>
  <mergeCells count="235">
    <mergeCell ref="S50:X51"/>
    <mergeCell ref="S53:X54"/>
    <mergeCell ref="H21:H22"/>
    <mergeCell ref="G21:G22"/>
    <mergeCell ref="D21:F24"/>
    <mergeCell ref="C21:C24"/>
    <mergeCell ref="M35:M36"/>
    <mergeCell ref="N35:N36"/>
    <mergeCell ref="O35:O36"/>
    <mergeCell ref="Q35:Q36"/>
    <mergeCell ref="C48:D48"/>
    <mergeCell ref="W33:W36"/>
    <mergeCell ref="X33:X36"/>
    <mergeCell ref="G35:G36"/>
    <mergeCell ref="H35:H36"/>
    <mergeCell ref="I35:I36"/>
    <mergeCell ref="J35:J36"/>
    <mergeCell ref="K35:K36"/>
    <mergeCell ref="L35:L36"/>
    <mergeCell ref="Q33:Q34"/>
    <mergeCell ref="R33:R36"/>
    <mergeCell ref="S33:S36"/>
    <mergeCell ref="T33:T36"/>
    <mergeCell ref="U33:U36"/>
    <mergeCell ref="A33:B33"/>
    <mergeCell ref="C33:C36"/>
    <mergeCell ref="D33:F36"/>
    <mergeCell ref="G33:G34"/>
    <mergeCell ref="H33:H34"/>
    <mergeCell ref="I33:I34"/>
    <mergeCell ref="A36:B36"/>
    <mergeCell ref="A34:B34"/>
    <mergeCell ref="A35:B35"/>
    <mergeCell ref="W29:W32"/>
    <mergeCell ref="X29:X32"/>
    <mergeCell ref="A30:B30"/>
    <mergeCell ref="A31:B31"/>
    <mergeCell ref="G31:G32"/>
    <mergeCell ref="H31:H32"/>
    <mergeCell ref="I31:I32"/>
    <mergeCell ref="J31:J32"/>
    <mergeCell ref="K31:K32"/>
    <mergeCell ref="O29:O30"/>
    <mergeCell ref="Q29:Q30"/>
    <mergeCell ref="R29:R32"/>
    <mergeCell ref="S29:S32"/>
    <mergeCell ref="T29:T32"/>
    <mergeCell ref="U29:U32"/>
    <mergeCell ref="I29:I30"/>
    <mergeCell ref="J29:J30"/>
    <mergeCell ref="V33:V36"/>
    <mergeCell ref="J33:J34"/>
    <mergeCell ref="K33:K34"/>
    <mergeCell ref="K29:K30"/>
    <mergeCell ref="L29:L30"/>
    <mergeCell ref="M29:M30"/>
    <mergeCell ref="N29:N30"/>
    <mergeCell ref="M27:M28"/>
    <mergeCell ref="N27:N28"/>
    <mergeCell ref="O27:O28"/>
    <mergeCell ref="Q27:Q28"/>
    <mergeCell ref="V29:V32"/>
    <mergeCell ref="L33:L34"/>
    <mergeCell ref="M33:M34"/>
    <mergeCell ref="N33:N34"/>
    <mergeCell ref="O33:O34"/>
    <mergeCell ref="A28:B28"/>
    <mergeCell ref="A29:B29"/>
    <mergeCell ref="C29:C32"/>
    <mergeCell ref="D29:F32"/>
    <mergeCell ref="G29:G30"/>
    <mergeCell ref="H29:H30"/>
    <mergeCell ref="D25:F28"/>
    <mergeCell ref="G25:G26"/>
    <mergeCell ref="H25:H26"/>
    <mergeCell ref="I25:I26"/>
    <mergeCell ref="O31:O32"/>
    <mergeCell ref="Q31:Q32"/>
    <mergeCell ref="A32:B32"/>
    <mergeCell ref="L31:L32"/>
    <mergeCell ref="M31:M32"/>
    <mergeCell ref="N31:N32"/>
    <mergeCell ref="W25:W28"/>
    <mergeCell ref="X25:X28"/>
    <mergeCell ref="A26:B26"/>
    <mergeCell ref="A27:B27"/>
    <mergeCell ref="G27:G28"/>
    <mergeCell ref="H27:H28"/>
    <mergeCell ref="I27:I28"/>
    <mergeCell ref="J27:J28"/>
    <mergeCell ref="K27:K28"/>
    <mergeCell ref="L27:L28"/>
    <mergeCell ref="Q25:Q26"/>
    <mergeCell ref="R25:R28"/>
    <mergeCell ref="S25:S28"/>
    <mergeCell ref="T25:T28"/>
    <mergeCell ref="U25:U28"/>
    <mergeCell ref="V25:V28"/>
    <mergeCell ref="J25:J26"/>
    <mergeCell ref="K25:K26"/>
    <mergeCell ref="L25:L26"/>
    <mergeCell ref="M25:M26"/>
    <mergeCell ref="N25:N26"/>
    <mergeCell ref="O25:O26"/>
    <mergeCell ref="A25:B25"/>
    <mergeCell ref="C25:C28"/>
    <mergeCell ref="W21:W24"/>
    <mergeCell ref="X21:X24"/>
    <mergeCell ref="A22:B22"/>
    <mergeCell ref="A23:B23"/>
    <mergeCell ref="G23:G24"/>
    <mergeCell ref="H23:H24"/>
    <mergeCell ref="I23:I24"/>
    <mergeCell ref="J23:J24"/>
    <mergeCell ref="K23:K24"/>
    <mergeCell ref="O21:O22"/>
    <mergeCell ref="Q21:Q22"/>
    <mergeCell ref="R21:R24"/>
    <mergeCell ref="S21:S24"/>
    <mergeCell ref="T21:T24"/>
    <mergeCell ref="U21:U24"/>
    <mergeCell ref="I21:I22"/>
    <mergeCell ref="J21:J22"/>
    <mergeCell ref="A21:B21"/>
    <mergeCell ref="Q19:Q20"/>
    <mergeCell ref="A20:B20"/>
    <mergeCell ref="L23:L24"/>
    <mergeCell ref="M23:M24"/>
    <mergeCell ref="N23:N24"/>
    <mergeCell ref="O23:O24"/>
    <mergeCell ref="Q23:Q24"/>
    <mergeCell ref="A24:B24"/>
    <mergeCell ref="V21:V24"/>
    <mergeCell ref="L17:L18"/>
    <mergeCell ref="M17:M18"/>
    <mergeCell ref="N17:N18"/>
    <mergeCell ref="O17:O18"/>
    <mergeCell ref="K21:K22"/>
    <mergeCell ref="L21:L22"/>
    <mergeCell ref="M21:M22"/>
    <mergeCell ref="N21:N22"/>
    <mergeCell ref="M19:M20"/>
    <mergeCell ref="N19:N20"/>
    <mergeCell ref="O19:O20"/>
    <mergeCell ref="A17:B17"/>
    <mergeCell ref="C17:C20"/>
    <mergeCell ref="D17:F20"/>
    <mergeCell ref="G17:G18"/>
    <mergeCell ref="H17:H18"/>
    <mergeCell ref="I17:I18"/>
    <mergeCell ref="W17:W20"/>
    <mergeCell ref="X17:X20"/>
    <mergeCell ref="A18:B18"/>
    <mergeCell ref="A19:B19"/>
    <mergeCell ref="G19:G20"/>
    <mergeCell ref="H19:H20"/>
    <mergeCell ref="I19:I20"/>
    <mergeCell ref="J19:J20"/>
    <mergeCell ref="K19:K20"/>
    <mergeCell ref="L19:L20"/>
    <mergeCell ref="Q17:Q18"/>
    <mergeCell ref="R17:R20"/>
    <mergeCell ref="S17:S20"/>
    <mergeCell ref="T17:T20"/>
    <mergeCell ref="U17:U20"/>
    <mergeCell ref="V17:V20"/>
    <mergeCell ref="J17:J18"/>
    <mergeCell ref="K17:K18"/>
    <mergeCell ref="X13:X16"/>
    <mergeCell ref="A14:B14"/>
    <mergeCell ref="A15:B15"/>
    <mergeCell ref="G15:G16"/>
    <mergeCell ref="H15:H16"/>
    <mergeCell ref="I15:I16"/>
    <mergeCell ref="J15:J16"/>
    <mergeCell ref="K15:K16"/>
    <mergeCell ref="L15:L16"/>
    <mergeCell ref="M15:M16"/>
    <mergeCell ref="R13:R16"/>
    <mergeCell ref="S13:S16"/>
    <mergeCell ref="T13:T16"/>
    <mergeCell ref="U13:U16"/>
    <mergeCell ref="V13:V16"/>
    <mergeCell ref="W13:W16"/>
    <mergeCell ref="K13:K14"/>
    <mergeCell ref="L13:L14"/>
    <mergeCell ref="M13:M14"/>
    <mergeCell ref="N13:N14"/>
    <mergeCell ref="O13:O14"/>
    <mergeCell ref="Q13:Q14"/>
    <mergeCell ref="N15:N16"/>
    <mergeCell ref="O15:O16"/>
    <mergeCell ref="A13:B13"/>
    <mergeCell ref="C13:C16"/>
    <mergeCell ref="D13:F16"/>
    <mergeCell ref="G13:G14"/>
    <mergeCell ref="H13:H14"/>
    <mergeCell ref="I13:I14"/>
    <mergeCell ref="J13:J14"/>
    <mergeCell ref="P10:P12"/>
    <mergeCell ref="Q10:Q12"/>
    <mergeCell ref="Q15:Q16"/>
    <mergeCell ref="A16:B16"/>
    <mergeCell ref="A6:D6"/>
    <mergeCell ref="F6:N6"/>
    <mergeCell ref="A7:D7"/>
    <mergeCell ref="F7:N7"/>
    <mergeCell ref="O7:S7"/>
    <mergeCell ref="T7:X7"/>
    <mergeCell ref="A8:B8"/>
    <mergeCell ref="D8:F8"/>
    <mergeCell ref="G8:G12"/>
    <mergeCell ref="H8:N8"/>
    <mergeCell ref="R8:W9"/>
    <mergeCell ref="X8:X12"/>
    <mergeCell ref="A9:B12"/>
    <mergeCell ref="C9:C12"/>
    <mergeCell ref="D9:F12"/>
    <mergeCell ref="O10:O12"/>
    <mergeCell ref="V10:V12"/>
    <mergeCell ref="W10:W12"/>
    <mergeCell ref="H12:N12"/>
    <mergeCell ref="R10:R12"/>
    <mergeCell ref="S10:S12"/>
    <mergeCell ref="T10:T12"/>
    <mergeCell ref="U10:U12"/>
    <mergeCell ref="A1:D3"/>
    <mergeCell ref="F1:U3"/>
    <mergeCell ref="A4:C4"/>
    <mergeCell ref="D4:G4"/>
    <mergeCell ref="H4:N4"/>
    <mergeCell ref="O4:V4"/>
    <mergeCell ref="W4:X5"/>
    <mergeCell ref="A5:N5"/>
    <mergeCell ref="O5:V5"/>
  </mergeCells>
  <phoneticPr fontId="11" type="noConversion"/>
  <pageMargins left="0.7" right="0.7" top="0.75" bottom="0.75" header="0.3" footer="0.3"/>
  <pageSetup scale="77" orientation="landscape" horizontalDpi="4294967292" verticalDpi="4294967292"/>
  <rowBreaks count="1" manualBreakCount="1">
    <brk id="36" max="16383" man="1"/>
  </rowBreaks>
  <colBreaks count="1" manualBreakCount="1">
    <brk id="24" max="1048575" man="1"/>
  </colBreaks>
  <extLst>
    <ext xmlns:mx="http://schemas.microsoft.com/office/mac/excel/2008/main" uri="{64002731-A6B0-56B0-2670-7721B7C09600}">
      <mx:PLV Mode="1" OnePage="0" WScale="77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77"/>
  <sheetViews>
    <sheetView view="pageLayout" zoomScaleNormal="125" zoomScalePageLayoutView="125" workbookViewId="0">
      <selection activeCell="A6" sqref="A6:D6"/>
    </sheetView>
  </sheetViews>
  <sheetFormatPr baseColWidth="10" defaultColWidth="8.83203125" defaultRowHeight="14" x14ac:dyDescent="0"/>
  <cols>
    <col min="1" max="1" width="10.33203125" customWidth="1"/>
    <col min="2" max="2" width="11.1640625" customWidth="1"/>
    <col min="3" max="3" width="5" customWidth="1"/>
    <col min="4" max="4" width="5.1640625" customWidth="1"/>
    <col min="5" max="5" width="4.6640625" customWidth="1"/>
    <col min="6" max="6" width="4.83203125" customWidth="1"/>
    <col min="7" max="7" width="3.6640625" customWidth="1"/>
    <col min="8" max="8" width="5" customWidth="1"/>
    <col min="9" max="9" width="4.6640625" customWidth="1"/>
    <col min="10" max="11" width="5.33203125" customWidth="1"/>
    <col min="12" max="12" width="4.83203125" customWidth="1"/>
    <col min="13" max="13" width="5.5" customWidth="1"/>
    <col min="14" max="14" width="5.1640625" customWidth="1"/>
    <col min="16" max="17" width="9.83203125" bestFit="1" customWidth="1"/>
    <col min="18" max="18" width="7.6640625" customWidth="1"/>
    <col min="19" max="19" width="9.5" customWidth="1"/>
    <col min="20" max="20" width="6" hidden="1" customWidth="1"/>
    <col min="21" max="21" width="4.33203125" hidden="1" customWidth="1"/>
    <col min="22" max="22" width="7.6640625" hidden="1" customWidth="1"/>
    <col min="23" max="23" width="9.33203125" customWidth="1"/>
    <col min="24" max="24" width="12.6640625" customWidth="1"/>
  </cols>
  <sheetData>
    <row r="1" spans="1:24" ht="15" customHeight="1">
      <c r="A1" s="149" t="s">
        <v>22</v>
      </c>
      <c r="B1" s="149"/>
      <c r="C1" s="149"/>
      <c r="D1" s="149"/>
      <c r="E1" s="127"/>
      <c r="F1" s="151" t="s">
        <v>55</v>
      </c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9"/>
      <c r="W1" s="9"/>
      <c r="X1" s="9"/>
    </row>
    <row r="2" spans="1:24">
      <c r="A2" s="149"/>
      <c r="B2" s="149"/>
      <c r="C2" s="149"/>
      <c r="D2" s="149"/>
      <c r="E2" s="127"/>
      <c r="F2" s="151"/>
      <c r="G2" s="151"/>
      <c r="H2" s="151"/>
      <c r="I2" s="151"/>
      <c r="J2" s="151"/>
      <c r="K2" s="151"/>
      <c r="L2" s="151"/>
      <c r="M2" s="151"/>
      <c r="N2" s="151"/>
      <c r="O2" s="151"/>
      <c r="P2" s="151"/>
      <c r="Q2" s="151"/>
      <c r="R2" s="151"/>
      <c r="S2" s="151"/>
      <c r="T2" s="151"/>
      <c r="U2" s="151"/>
      <c r="V2" s="9"/>
      <c r="W2" s="9"/>
      <c r="X2" s="9"/>
    </row>
    <row r="3" spans="1:24" ht="15" customHeight="1" thickBot="1">
      <c r="A3" s="150"/>
      <c r="B3" s="150"/>
      <c r="C3" s="150"/>
      <c r="D3" s="150"/>
      <c r="E3" s="128"/>
      <c r="F3" s="152"/>
      <c r="G3" s="152"/>
      <c r="H3" s="152"/>
      <c r="I3" s="152"/>
      <c r="J3" s="152"/>
      <c r="K3" s="152"/>
      <c r="L3" s="152"/>
      <c r="M3" s="152"/>
      <c r="N3" s="152"/>
      <c r="O3" s="152"/>
      <c r="P3" s="152"/>
      <c r="Q3" s="152"/>
      <c r="R3" s="152"/>
      <c r="S3" s="152"/>
      <c r="T3" s="152"/>
      <c r="U3" s="152"/>
      <c r="V3" s="10"/>
      <c r="W3" s="10"/>
      <c r="X3" s="10"/>
    </row>
    <row r="4" spans="1:24" s="11" customFormat="1">
      <c r="A4" s="153" t="s">
        <v>56</v>
      </c>
      <c r="B4" s="154"/>
      <c r="C4" s="154"/>
      <c r="D4" s="154" t="s">
        <v>52</v>
      </c>
      <c r="E4" s="154"/>
      <c r="F4" s="154"/>
      <c r="G4" s="154"/>
      <c r="H4" s="155"/>
      <c r="I4" s="155"/>
      <c r="J4" s="155"/>
      <c r="K4" s="155"/>
      <c r="L4" s="155"/>
      <c r="M4" s="155"/>
      <c r="N4" s="156"/>
      <c r="O4" s="157" t="s">
        <v>126</v>
      </c>
      <c r="P4" s="158"/>
      <c r="Q4" s="158"/>
      <c r="R4" s="158"/>
      <c r="S4" s="158"/>
      <c r="T4" s="158"/>
      <c r="U4" s="158"/>
      <c r="V4" s="158"/>
      <c r="W4" s="159"/>
      <c r="X4" s="160"/>
    </row>
    <row r="5" spans="1:24" s="1" customFormat="1" ht="12">
      <c r="A5" s="163" t="s">
        <v>125</v>
      </c>
      <c r="B5" s="164"/>
      <c r="C5" s="164"/>
      <c r="D5" s="164"/>
      <c r="E5" s="164"/>
      <c r="F5" s="164"/>
      <c r="G5" s="164"/>
      <c r="H5" s="164"/>
      <c r="I5" s="164"/>
      <c r="J5" s="164"/>
      <c r="K5" s="164"/>
      <c r="L5" s="164"/>
      <c r="M5" s="164"/>
      <c r="N5" s="165"/>
      <c r="O5" s="166" t="s">
        <v>108</v>
      </c>
      <c r="P5" s="167"/>
      <c r="Q5" s="167"/>
      <c r="R5" s="167"/>
      <c r="S5" s="167"/>
      <c r="T5" s="167"/>
      <c r="U5" s="167"/>
      <c r="V5" s="167"/>
      <c r="W5" s="161"/>
      <c r="X5" s="162"/>
    </row>
    <row r="6" spans="1:24" s="13" customFormat="1" ht="11">
      <c r="A6" s="168" t="s">
        <v>18</v>
      </c>
      <c r="B6" s="169"/>
      <c r="C6" s="169"/>
      <c r="D6" s="170"/>
      <c r="E6" s="115"/>
      <c r="F6" s="168" t="s">
        <v>19</v>
      </c>
      <c r="G6" s="169"/>
      <c r="H6" s="169"/>
      <c r="I6" s="169"/>
      <c r="J6" s="169"/>
      <c r="K6" s="169"/>
      <c r="L6" s="169"/>
      <c r="M6" s="169"/>
      <c r="N6" s="170"/>
      <c r="O6" s="102" t="s">
        <v>20</v>
      </c>
      <c r="P6" s="15"/>
      <c r="Q6" s="15"/>
      <c r="R6" s="15"/>
      <c r="S6" s="102" t="s">
        <v>91</v>
      </c>
      <c r="T6" s="15" t="s">
        <v>21</v>
      </c>
      <c r="U6" s="15"/>
      <c r="V6" s="15"/>
      <c r="X6" s="16"/>
    </row>
    <row r="7" spans="1:24" s="1" customFormat="1" ht="16.5" customHeight="1">
      <c r="A7" s="171">
        <v>8</v>
      </c>
      <c r="B7" s="172"/>
      <c r="C7" s="172"/>
      <c r="D7" s="173"/>
      <c r="E7" s="126"/>
      <c r="F7" s="174">
        <v>42435</v>
      </c>
      <c r="G7" s="175"/>
      <c r="H7" s="175"/>
      <c r="I7" s="175"/>
      <c r="J7" s="175"/>
      <c r="K7" s="175"/>
      <c r="L7" s="175"/>
      <c r="M7" s="175"/>
      <c r="N7" s="176"/>
      <c r="O7" s="166" t="s">
        <v>107</v>
      </c>
      <c r="P7" s="167"/>
      <c r="Q7" s="167"/>
      <c r="R7" s="167"/>
      <c r="S7" s="167"/>
      <c r="T7" s="167" t="s">
        <v>109</v>
      </c>
      <c r="U7" s="167"/>
      <c r="V7" s="167"/>
      <c r="W7" s="167"/>
      <c r="X7" s="177"/>
    </row>
    <row r="8" spans="1:24" s="2" customFormat="1" ht="11.25" customHeight="1">
      <c r="A8" s="178" t="s">
        <v>23</v>
      </c>
      <c r="B8" s="179"/>
      <c r="C8" s="7" t="s">
        <v>24</v>
      </c>
      <c r="D8" s="178" t="s">
        <v>25</v>
      </c>
      <c r="E8" s="180"/>
      <c r="F8" s="179"/>
      <c r="G8" s="181" t="s">
        <v>29</v>
      </c>
      <c r="H8" s="184" t="s">
        <v>54</v>
      </c>
      <c r="I8" s="185"/>
      <c r="J8" s="185"/>
      <c r="K8" s="185"/>
      <c r="L8" s="185"/>
      <c r="M8" s="185"/>
      <c r="N8" s="186"/>
      <c r="O8" s="7" t="s">
        <v>30</v>
      </c>
      <c r="P8" s="7" t="s">
        <v>31</v>
      </c>
      <c r="Q8" s="7" t="s">
        <v>32</v>
      </c>
      <c r="R8" s="187" t="s">
        <v>33</v>
      </c>
      <c r="S8" s="187"/>
      <c r="T8" s="187"/>
      <c r="U8" s="187"/>
      <c r="V8" s="187"/>
      <c r="W8" s="187"/>
      <c r="X8" s="187" t="s">
        <v>53</v>
      </c>
    </row>
    <row r="9" spans="1:24" ht="17.25" customHeight="1">
      <c r="A9" s="188" t="s">
        <v>26</v>
      </c>
      <c r="B9" s="189"/>
      <c r="C9" s="192" t="s">
        <v>27</v>
      </c>
      <c r="D9" s="194" t="s">
        <v>28</v>
      </c>
      <c r="E9" s="195"/>
      <c r="F9" s="196"/>
      <c r="G9" s="182"/>
      <c r="H9" s="132" t="s">
        <v>36</v>
      </c>
      <c r="I9" s="133" t="s">
        <v>37</v>
      </c>
      <c r="J9" s="133" t="s">
        <v>38</v>
      </c>
      <c r="K9" s="133" t="s">
        <v>111</v>
      </c>
      <c r="L9" s="133" t="s">
        <v>39</v>
      </c>
      <c r="M9" s="133" t="s">
        <v>41</v>
      </c>
      <c r="N9" s="133" t="s">
        <v>42</v>
      </c>
      <c r="O9" s="6"/>
      <c r="P9" s="8"/>
      <c r="Q9" s="8"/>
      <c r="R9" s="187"/>
      <c r="S9" s="187"/>
      <c r="T9" s="187"/>
      <c r="U9" s="187"/>
      <c r="V9" s="187"/>
      <c r="W9" s="187"/>
      <c r="X9" s="187"/>
    </row>
    <row r="10" spans="1:24" ht="19.5" customHeight="1">
      <c r="A10" s="188"/>
      <c r="B10" s="189"/>
      <c r="C10" s="192"/>
      <c r="D10" s="194"/>
      <c r="E10" s="195"/>
      <c r="F10" s="196"/>
      <c r="G10" s="182"/>
      <c r="H10" s="100">
        <f t="shared" ref="H10:L10" si="0">I10-1</f>
        <v>42429</v>
      </c>
      <c r="I10" s="100">
        <f t="shared" si="0"/>
        <v>42430</v>
      </c>
      <c r="J10" s="100">
        <f t="shared" si="0"/>
        <v>42431</v>
      </c>
      <c r="K10" s="100">
        <f t="shared" si="0"/>
        <v>42432</v>
      </c>
      <c r="L10" s="100">
        <f t="shared" si="0"/>
        <v>42433</v>
      </c>
      <c r="M10" s="100">
        <f>N10-1</f>
        <v>42434</v>
      </c>
      <c r="N10" s="100">
        <f>F7</f>
        <v>42435</v>
      </c>
      <c r="O10" s="200" t="s">
        <v>46</v>
      </c>
      <c r="P10" s="200" t="s">
        <v>47</v>
      </c>
      <c r="Q10" s="200" t="s">
        <v>48</v>
      </c>
      <c r="R10" s="206" t="s">
        <v>44</v>
      </c>
      <c r="S10" s="206" t="s">
        <v>45</v>
      </c>
      <c r="T10" s="207"/>
      <c r="U10" s="207"/>
      <c r="V10" s="202" t="s">
        <v>35</v>
      </c>
      <c r="W10" s="203" t="s">
        <v>34</v>
      </c>
      <c r="X10" s="187"/>
    </row>
    <row r="11" spans="1:24" ht="18.75" hidden="1" customHeight="1">
      <c r="A11" s="188"/>
      <c r="B11" s="189"/>
      <c r="C11" s="192"/>
      <c r="D11" s="194"/>
      <c r="E11" s="195"/>
      <c r="F11" s="196"/>
      <c r="G11" s="182"/>
      <c r="H11" s="5"/>
      <c r="I11" s="4"/>
      <c r="J11" s="4"/>
      <c r="K11" s="4"/>
      <c r="L11" s="4"/>
      <c r="M11" s="4"/>
      <c r="N11" s="4"/>
      <c r="O11" s="200"/>
      <c r="P11" s="200"/>
      <c r="Q11" s="200"/>
      <c r="R11" s="206"/>
      <c r="S11" s="206"/>
      <c r="T11" s="207"/>
      <c r="U11" s="207"/>
      <c r="V11" s="202"/>
      <c r="W11" s="203"/>
      <c r="X11" s="187"/>
    </row>
    <row r="12" spans="1:24">
      <c r="A12" s="190"/>
      <c r="B12" s="191"/>
      <c r="C12" s="193"/>
      <c r="D12" s="197"/>
      <c r="E12" s="198"/>
      <c r="F12" s="199"/>
      <c r="G12" s="183"/>
      <c r="H12" s="204" t="s">
        <v>43</v>
      </c>
      <c r="I12" s="204"/>
      <c r="J12" s="204"/>
      <c r="K12" s="204"/>
      <c r="L12" s="204"/>
      <c r="M12" s="204"/>
      <c r="N12" s="205"/>
      <c r="O12" s="201"/>
      <c r="P12" s="201"/>
      <c r="Q12" s="201"/>
      <c r="R12" s="206"/>
      <c r="S12" s="206"/>
      <c r="T12" s="207"/>
      <c r="U12" s="207"/>
      <c r="V12" s="202"/>
      <c r="W12" s="203"/>
      <c r="X12" s="187"/>
    </row>
    <row r="13" spans="1:24" ht="15" customHeight="1">
      <c r="A13" s="208" t="s">
        <v>98</v>
      </c>
      <c r="B13" s="209"/>
      <c r="C13" s="210">
        <v>2</v>
      </c>
      <c r="D13" s="249" t="s">
        <v>123</v>
      </c>
      <c r="E13" s="250"/>
      <c r="F13" s="251"/>
      <c r="G13" s="220" t="s">
        <v>49</v>
      </c>
      <c r="H13" s="220"/>
      <c r="I13" s="220"/>
      <c r="J13" s="220"/>
      <c r="K13" s="220"/>
      <c r="L13" s="220"/>
      <c r="M13" s="220"/>
      <c r="N13" s="220">
        <v>5.75</v>
      </c>
      <c r="O13" s="232">
        <f>SUM(H13:N14)</f>
        <v>5.75</v>
      </c>
      <c r="P13" s="105" t="s">
        <v>110</v>
      </c>
      <c r="Q13" s="238">
        <f>P14*O13</f>
        <v>129.375</v>
      </c>
      <c r="R13" s="226">
        <v>70.63</v>
      </c>
      <c r="S13" s="226">
        <f>45.22+10.58+21.44</f>
        <v>77.239999999999995</v>
      </c>
      <c r="T13" s="226"/>
      <c r="U13" s="226"/>
      <c r="V13" s="226"/>
      <c r="W13" s="226">
        <f>S13+R13</f>
        <v>147.87</v>
      </c>
      <c r="X13" s="229">
        <f>Q15-W13+Q13</f>
        <v>581.505</v>
      </c>
    </row>
    <row r="14" spans="1:24">
      <c r="A14" s="221" t="s">
        <v>103</v>
      </c>
      <c r="B14" s="222"/>
      <c r="C14" s="210"/>
      <c r="D14" s="252"/>
      <c r="E14" s="253"/>
      <c r="F14" s="254"/>
      <c r="G14" s="220"/>
      <c r="H14" s="220"/>
      <c r="I14" s="220"/>
      <c r="J14" s="220"/>
      <c r="K14" s="220"/>
      <c r="L14" s="220"/>
      <c r="M14" s="220"/>
      <c r="N14" s="220"/>
      <c r="O14" s="233"/>
      <c r="P14" s="103">
        <f>P16/2+P16</f>
        <v>22.5</v>
      </c>
      <c r="Q14" s="239"/>
      <c r="R14" s="227"/>
      <c r="S14" s="227"/>
      <c r="T14" s="227"/>
      <c r="U14" s="227"/>
      <c r="V14" s="227"/>
      <c r="W14" s="227"/>
      <c r="X14" s="230"/>
    </row>
    <row r="15" spans="1:24">
      <c r="A15" s="261"/>
      <c r="B15" s="262"/>
      <c r="C15" s="210"/>
      <c r="D15" s="252"/>
      <c r="E15" s="253"/>
      <c r="F15" s="254"/>
      <c r="G15" s="223" t="s">
        <v>40</v>
      </c>
      <c r="H15" s="223">
        <v>0</v>
      </c>
      <c r="I15" s="223">
        <v>10</v>
      </c>
      <c r="J15" s="223">
        <v>9</v>
      </c>
      <c r="K15" s="223">
        <v>7</v>
      </c>
      <c r="L15" s="223">
        <v>7.5</v>
      </c>
      <c r="M15" s="223">
        <v>6.5</v>
      </c>
      <c r="N15" s="223">
        <v>0</v>
      </c>
      <c r="O15" s="234">
        <f>SUM(H15:N16)</f>
        <v>40</v>
      </c>
      <c r="P15" s="106" t="s">
        <v>110</v>
      </c>
      <c r="Q15" s="236">
        <f>P16*O15</f>
        <v>600</v>
      </c>
      <c r="R15" s="227"/>
      <c r="S15" s="227"/>
      <c r="T15" s="227"/>
      <c r="U15" s="227"/>
      <c r="V15" s="227"/>
      <c r="W15" s="227"/>
      <c r="X15" s="230"/>
    </row>
    <row r="16" spans="1:24">
      <c r="A16" s="224"/>
      <c r="B16" s="225"/>
      <c r="C16" s="210"/>
      <c r="D16" s="255"/>
      <c r="E16" s="256"/>
      <c r="F16" s="257"/>
      <c r="G16" s="223"/>
      <c r="H16" s="223"/>
      <c r="I16" s="223"/>
      <c r="J16" s="223"/>
      <c r="K16" s="223"/>
      <c r="L16" s="223"/>
      <c r="M16" s="223"/>
      <c r="N16" s="223"/>
      <c r="O16" s="235"/>
      <c r="P16" s="104">
        <v>15</v>
      </c>
      <c r="Q16" s="237"/>
      <c r="R16" s="228"/>
      <c r="S16" s="228"/>
      <c r="T16" s="228"/>
      <c r="U16" s="228"/>
      <c r="V16" s="228"/>
      <c r="W16" s="228"/>
      <c r="X16" s="231"/>
    </row>
    <row r="17" spans="1:24" ht="15" customHeight="1">
      <c r="A17" s="208" t="s">
        <v>99</v>
      </c>
      <c r="B17" s="209"/>
      <c r="C17" s="210">
        <v>2</v>
      </c>
      <c r="D17" s="249" t="s">
        <v>123</v>
      </c>
      <c r="E17" s="250"/>
      <c r="F17" s="251"/>
      <c r="G17" s="220" t="s">
        <v>49</v>
      </c>
      <c r="H17" s="220"/>
      <c r="I17" s="220"/>
      <c r="J17" s="220"/>
      <c r="K17" s="220"/>
      <c r="L17" s="220"/>
      <c r="M17" s="220"/>
      <c r="N17" s="220"/>
      <c r="O17" s="232">
        <f>SUM(H17:N18)</f>
        <v>0</v>
      </c>
      <c r="P17" s="105" t="s">
        <v>110</v>
      </c>
      <c r="Q17" s="238">
        <f>P18*O17</f>
        <v>0</v>
      </c>
      <c r="R17" s="226">
        <v>0</v>
      </c>
      <c r="S17" s="226">
        <f>7.67+1.79</f>
        <v>9.4600000000000009</v>
      </c>
      <c r="T17" s="226"/>
      <c r="U17" s="226"/>
      <c r="V17" s="226"/>
      <c r="W17" s="226">
        <f>S17+R17</f>
        <v>9.4600000000000009</v>
      </c>
      <c r="X17" s="229">
        <f>Q19-W17</f>
        <v>114.28999999999999</v>
      </c>
    </row>
    <row r="18" spans="1:24">
      <c r="A18" s="221" t="s">
        <v>102</v>
      </c>
      <c r="B18" s="222"/>
      <c r="C18" s="210"/>
      <c r="D18" s="252"/>
      <c r="E18" s="253"/>
      <c r="F18" s="254"/>
      <c r="G18" s="220"/>
      <c r="H18" s="220"/>
      <c r="I18" s="220"/>
      <c r="J18" s="220"/>
      <c r="K18" s="220"/>
      <c r="L18" s="220"/>
      <c r="M18" s="220"/>
      <c r="N18" s="220"/>
      <c r="O18" s="233"/>
      <c r="P18" s="103">
        <f>P20/2+P20</f>
        <v>22.5</v>
      </c>
      <c r="Q18" s="239"/>
      <c r="R18" s="227"/>
      <c r="S18" s="227"/>
      <c r="T18" s="227"/>
      <c r="U18" s="227"/>
      <c r="V18" s="227"/>
      <c r="W18" s="227"/>
      <c r="X18" s="230"/>
    </row>
    <row r="19" spans="1:24">
      <c r="A19" s="261"/>
      <c r="B19" s="262"/>
      <c r="C19" s="210"/>
      <c r="D19" s="252"/>
      <c r="E19" s="253"/>
      <c r="F19" s="254"/>
      <c r="G19" s="223" t="s">
        <v>40</v>
      </c>
      <c r="H19" s="223">
        <v>0</v>
      </c>
      <c r="I19" s="223">
        <v>3</v>
      </c>
      <c r="J19" s="223">
        <v>0</v>
      </c>
      <c r="K19" s="223">
        <v>0</v>
      </c>
      <c r="L19" s="223">
        <v>5.25</v>
      </c>
      <c r="M19" s="223">
        <v>0</v>
      </c>
      <c r="N19" s="223">
        <v>0</v>
      </c>
      <c r="O19" s="223">
        <f>SUM(H19:N20)</f>
        <v>8.25</v>
      </c>
      <c r="P19" s="106" t="s">
        <v>110</v>
      </c>
      <c r="Q19" s="236">
        <f>P20*O19</f>
        <v>123.75</v>
      </c>
      <c r="R19" s="227"/>
      <c r="S19" s="227"/>
      <c r="T19" s="227"/>
      <c r="U19" s="227"/>
      <c r="V19" s="227"/>
      <c r="W19" s="227"/>
      <c r="X19" s="230"/>
    </row>
    <row r="20" spans="1:24">
      <c r="A20" s="224"/>
      <c r="B20" s="225"/>
      <c r="C20" s="210"/>
      <c r="D20" s="255"/>
      <c r="E20" s="256"/>
      <c r="F20" s="257"/>
      <c r="G20" s="223"/>
      <c r="H20" s="223"/>
      <c r="I20" s="223"/>
      <c r="J20" s="223"/>
      <c r="K20" s="223"/>
      <c r="L20" s="223"/>
      <c r="M20" s="223"/>
      <c r="N20" s="223"/>
      <c r="O20" s="223"/>
      <c r="P20" s="104">
        <v>15</v>
      </c>
      <c r="Q20" s="237"/>
      <c r="R20" s="228"/>
      <c r="S20" s="228"/>
      <c r="T20" s="228"/>
      <c r="U20" s="228"/>
      <c r="V20" s="228"/>
      <c r="W20" s="228"/>
      <c r="X20" s="231"/>
    </row>
    <row r="21" spans="1:24" ht="14" customHeight="1">
      <c r="A21" s="208"/>
      <c r="B21" s="209"/>
      <c r="C21" s="210"/>
      <c r="D21" s="211"/>
      <c r="E21" s="212"/>
      <c r="F21" s="213"/>
      <c r="G21" s="220"/>
      <c r="H21" s="220"/>
      <c r="I21" s="220"/>
      <c r="J21" s="220"/>
      <c r="K21" s="220"/>
      <c r="L21" s="220"/>
      <c r="M21" s="220"/>
      <c r="N21" s="220"/>
      <c r="O21" s="232"/>
      <c r="P21" s="105"/>
      <c r="Q21" s="238"/>
      <c r="R21" s="226"/>
      <c r="S21" s="226"/>
      <c r="T21" s="226"/>
      <c r="U21" s="226"/>
      <c r="V21" s="226"/>
      <c r="W21" s="226"/>
      <c r="X21" s="229"/>
    </row>
    <row r="22" spans="1:24">
      <c r="A22" s="221"/>
      <c r="B22" s="222"/>
      <c r="C22" s="210"/>
      <c r="D22" s="214"/>
      <c r="E22" s="215"/>
      <c r="F22" s="216"/>
      <c r="G22" s="220"/>
      <c r="H22" s="220"/>
      <c r="I22" s="220"/>
      <c r="J22" s="220"/>
      <c r="K22" s="220"/>
      <c r="L22" s="220"/>
      <c r="M22" s="220"/>
      <c r="N22" s="220"/>
      <c r="O22" s="233"/>
      <c r="P22" s="103"/>
      <c r="Q22" s="239"/>
      <c r="R22" s="227"/>
      <c r="S22" s="227"/>
      <c r="T22" s="227"/>
      <c r="U22" s="227"/>
      <c r="V22" s="227"/>
      <c r="W22" s="227"/>
      <c r="X22" s="230"/>
    </row>
    <row r="23" spans="1:24">
      <c r="A23" s="221"/>
      <c r="B23" s="222"/>
      <c r="C23" s="210"/>
      <c r="D23" s="214"/>
      <c r="E23" s="215"/>
      <c r="F23" s="216"/>
      <c r="G23" s="223"/>
      <c r="H23" s="223"/>
      <c r="I23" s="223"/>
      <c r="J23" s="223"/>
      <c r="K23" s="223"/>
      <c r="L23" s="223"/>
      <c r="M23" s="223"/>
      <c r="N23" s="223"/>
      <c r="O23" s="223"/>
      <c r="P23" s="106"/>
      <c r="Q23" s="236"/>
      <c r="R23" s="227"/>
      <c r="S23" s="227"/>
      <c r="T23" s="227"/>
      <c r="U23" s="227"/>
      <c r="V23" s="227"/>
      <c r="W23" s="227"/>
      <c r="X23" s="230"/>
    </row>
    <row r="24" spans="1:24">
      <c r="A24" s="224"/>
      <c r="B24" s="225"/>
      <c r="C24" s="210"/>
      <c r="D24" s="217"/>
      <c r="E24" s="218"/>
      <c r="F24" s="219"/>
      <c r="G24" s="223"/>
      <c r="H24" s="223"/>
      <c r="I24" s="223"/>
      <c r="J24" s="223"/>
      <c r="K24" s="223"/>
      <c r="L24" s="223"/>
      <c r="M24" s="223"/>
      <c r="N24" s="223"/>
      <c r="O24" s="223"/>
      <c r="P24" s="104"/>
      <c r="Q24" s="237"/>
      <c r="R24" s="228"/>
      <c r="S24" s="228"/>
      <c r="T24" s="228"/>
      <c r="U24" s="228"/>
      <c r="V24" s="228"/>
      <c r="W24" s="228"/>
      <c r="X24" s="231"/>
    </row>
    <row r="25" spans="1:24" ht="14" customHeight="1">
      <c r="A25" s="208"/>
      <c r="B25" s="209"/>
      <c r="C25" s="210"/>
      <c r="D25" s="211"/>
      <c r="E25" s="212"/>
      <c r="F25" s="213"/>
      <c r="G25" s="220"/>
      <c r="H25" s="220"/>
      <c r="I25" s="220"/>
      <c r="J25" s="220"/>
      <c r="K25" s="220"/>
      <c r="L25" s="220"/>
      <c r="M25" s="220"/>
      <c r="N25" s="220"/>
      <c r="O25" s="232"/>
      <c r="P25" s="105"/>
      <c r="Q25" s="248"/>
      <c r="R25" s="226"/>
      <c r="S25" s="226"/>
      <c r="T25" s="226"/>
      <c r="U25" s="226"/>
      <c r="V25" s="226"/>
      <c r="W25" s="226"/>
      <c r="X25" s="229"/>
    </row>
    <row r="26" spans="1:24">
      <c r="A26" s="221"/>
      <c r="B26" s="222"/>
      <c r="C26" s="210"/>
      <c r="D26" s="214"/>
      <c r="E26" s="215"/>
      <c r="F26" s="216"/>
      <c r="G26" s="220"/>
      <c r="H26" s="220"/>
      <c r="I26" s="220"/>
      <c r="J26" s="220"/>
      <c r="K26" s="220"/>
      <c r="L26" s="220"/>
      <c r="M26" s="220"/>
      <c r="N26" s="220"/>
      <c r="O26" s="233"/>
      <c r="P26" s="103"/>
      <c r="Q26" s="248"/>
      <c r="R26" s="227"/>
      <c r="S26" s="227"/>
      <c r="T26" s="227"/>
      <c r="U26" s="227"/>
      <c r="V26" s="227"/>
      <c r="W26" s="227"/>
      <c r="X26" s="230"/>
    </row>
    <row r="27" spans="1:24">
      <c r="A27" s="221"/>
      <c r="B27" s="222"/>
      <c r="C27" s="210"/>
      <c r="D27" s="214"/>
      <c r="E27" s="215"/>
      <c r="F27" s="216"/>
      <c r="G27" s="223"/>
      <c r="H27" s="223"/>
      <c r="I27" s="223"/>
      <c r="J27" s="223"/>
      <c r="K27" s="223"/>
      <c r="L27" s="223"/>
      <c r="M27" s="223"/>
      <c r="N27" s="223"/>
      <c r="O27" s="223"/>
      <c r="P27" s="106"/>
      <c r="Q27" s="236"/>
      <c r="R27" s="227"/>
      <c r="S27" s="227"/>
      <c r="T27" s="227"/>
      <c r="U27" s="227"/>
      <c r="V27" s="227"/>
      <c r="W27" s="227"/>
      <c r="X27" s="230"/>
    </row>
    <row r="28" spans="1:24">
      <c r="A28" s="224"/>
      <c r="B28" s="225"/>
      <c r="C28" s="210"/>
      <c r="D28" s="217"/>
      <c r="E28" s="218"/>
      <c r="F28" s="219"/>
      <c r="G28" s="223"/>
      <c r="H28" s="223"/>
      <c r="I28" s="223"/>
      <c r="J28" s="223"/>
      <c r="K28" s="223"/>
      <c r="L28" s="223"/>
      <c r="M28" s="223"/>
      <c r="N28" s="223"/>
      <c r="O28" s="223"/>
      <c r="P28" s="104"/>
      <c r="Q28" s="237"/>
      <c r="R28" s="228"/>
      <c r="S28" s="228"/>
      <c r="T28" s="228"/>
      <c r="U28" s="228"/>
      <c r="V28" s="228"/>
      <c r="W28" s="228"/>
      <c r="X28" s="231"/>
    </row>
    <row r="29" spans="1:24" ht="14" customHeight="1">
      <c r="A29" s="208"/>
      <c r="B29" s="209"/>
      <c r="C29" s="210"/>
      <c r="D29" s="211"/>
      <c r="E29" s="212"/>
      <c r="F29" s="213"/>
      <c r="G29" s="220"/>
      <c r="H29" s="220"/>
      <c r="I29" s="220"/>
      <c r="J29" s="220"/>
      <c r="K29" s="220"/>
      <c r="L29" s="220"/>
      <c r="M29" s="220"/>
      <c r="N29" s="220"/>
      <c r="O29" s="232"/>
      <c r="P29" s="105"/>
      <c r="Q29" s="248"/>
      <c r="R29" s="226"/>
      <c r="S29" s="226"/>
      <c r="T29" s="226"/>
      <c r="U29" s="226"/>
      <c r="V29" s="226"/>
      <c r="W29" s="226"/>
      <c r="X29" s="229"/>
    </row>
    <row r="30" spans="1:24">
      <c r="A30" s="221"/>
      <c r="B30" s="222"/>
      <c r="C30" s="210"/>
      <c r="D30" s="214"/>
      <c r="E30" s="215"/>
      <c r="F30" s="216"/>
      <c r="G30" s="220"/>
      <c r="H30" s="220"/>
      <c r="I30" s="220"/>
      <c r="J30" s="220"/>
      <c r="K30" s="220"/>
      <c r="L30" s="220"/>
      <c r="M30" s="220"/>
      <c r="N30" s="220"/>
      <c r="O30" s="233"/>
      <c r="P30" s="103"/>
      <c r="Q30" s="248"/>
      <c r="R30" s="227"/>
      <c r="S30" s="227"/>
      <c r="T30" s="227"/>
      <c r="U30" s="227"/>
      <c r="V30" s="227"/>
      <c r="W30" s="227"/>
      <c r="X30" s="230"/>
    </row>
    <row r="31" spans="1:24">
      <c r="A31" s="221"/>
      <c r="B31" s="222"/>
      <c r="C31" s="210"/>
      <c r="D31" s="214"/>
      <c r="E31" s="215"/>
      <c r="F31" s="216"/>
      <c r="G31" s="223"/>
      <c r="H31" s="223"/>
      <c r="I31" s="234"/>
      <c r="J31" s="234"/>
      <c r="K31" s="234"/>
      <c r="L31" s="234"/>
      <c r="M31" s="234"/>
      <c r="N31" s="234"/>
      <c r="O31" s="223"/>
      <c r="P31" s="106"/>
      <c r="Q31" s="236"/>
      <c r="R31" s="227"/>
      <c r="S31" s="227"/>
      <c r="T31" s="227"/>
      <c r="U31" s="227"/>
      <c r="V31" s="227"/>
      <c r="W31" s="227"/>
      <c r="X31" s="230"/>
    </row>
    <row r="32" spans="1:24">
      <c r="A32" s="224"/>
      <c r="B32" s="225"/>
      <c r="C32" s="210"/>
      <c r="D32" s="217"/>
      <c r="E32" s="218"/>
      <c r="F32" s="219"/>
      <c r="G32" s="223"/>
      <c r="H32" s="223"/>
      <c r="I32" s="235"/>
      <c r="J32" s="235"/>
      <c r="K32" s="235"/>
      <c r="L32" s="235"/>
      <c r="M32" s="235"/>
      <c r="N32" s="235"/>
      <c r="O32" s="223"/>
      <c r="P32" s="104"/>
      <c r="Q32" s="237"/>
      <c r="R32" s="228"/>
      <c r="S32" s="228"/>
      <c r="T32" s="228"/>
      <c r="U32" s="228"/>
      <c r="V32" s="228"/>
      <c r="W32" s="228"/>
      <c r="X32" s="231"/>
    </row>
    <row r="33" spans="1:24" ht="14" customHeight="1">
      <c r="A33" s="208"/>
      <c r="B33" s="209"/>
      <c r="C33" s="210"/>
      <c r="D33" s="211"/>
      <c r="E33" s="212"/>
      <c r="F33" s="213"/>
      <c r="G33" s="220"/>
      <c r="H33" s="220"/>
      <c r="I33" s="220"/>
      <c r="J33" s="220"/>
      <c r="K33" s="220"/>
      <c r="L33" s="220"/>
      <c r="M33" s="220"/>
      <c r="N33" s="220"/>
      <c r="O33" s="232"/>
      <c r="P33" s="105"/>
      <c r="Q33" s="248"/>
      <c r="R33" s="229"/>
      <c r="S33" s="226"/>
      <c r="T33" s="226"/>
      <c r="U33" s="226"/>
      <c r="V33" s="226"/>
      <c r="W33" s="226"/>
      <c r="X33" s="229"/>
    </row>
    <row r="34" spans="1:24">
      <c r="A34" s="221"/>
      <c r="B34" s="222"/>
      <c r="C34" s="210"/>
      <c r="D34" s="214"/>
      <c r="E34" s="215"/>
      <c r="F34" s="216"/>
      <c r="G34" s="220"/>
      <c r="H34" s="220"/>
      <c r="I34" s="220"/>
      <c r="J34" s="220"/>
      <c r="K34" s="220"/>
      <c r="L34" s="220"/>
      <c r="M34" s="220"/>
      <c r="N34" s="220"/>
      <c r="O34" s="233"/>
      <c r="P34" s="103"/>
      <c r="Q34" s="248"/>
      <c r="R34" s="230"/>
      <c r="S34" s="227"/>
      <c r="T34" s="227"/>
      <c r="U34" s="227"/>
      <c r="V34" s="227"/>
      <c r="W34" s="227"/>
      <c r="X34" s="230"/>
    </row>
    <row r="35" spans="1:24">
      <c r="A35" s="221"/>
      <c r="B35" s="222"/>
      <c r="C35" s="210"/>
      <c r="D35" s="214"/>
      <c r="E35" s="215"/>
      <c r="F35" s="216"/>
      <c r="G35" s="223"/>
      <c r="H35" s="223"/>
      <c r="I35" s="234"/>
      <c r="J35" s="234"/>
      <c r="K35" s="234"/>
      <c r="L35" s="234"/>
      <c r="M35" s="234"/>
      <c r="N35" s="234"/>
      <c r="O35" s="223"/>
      <c r="P35" s="106"/>
      <c r="Q35" s="236"/>
      <c r="R35" s="230"/>
      <c r="S35" s="227"/>
      <c r="T35" s="227"/>
      <c r="U35" s="227"/>
      <c r="V35" s="227"/>
      <c r="W35" s="227"/>
      <c r="X35" s="230"/>
    </row>
    <row r="36" spans="1:24">
      <c r="A36" s="224"/>
      <c r="B36" s="225"/>
      <c r="C36" s="210"/>
      <c r="D36" s="217"/>
      <c r="E36" s="218"/>
      <c r="F36" s="219"/>
      <c r="G36" s="223"/>
      <c r="H36" s="223"/>
      <c r="I36" s="235"/>
      <c r="J36" s="235"/>
      <c r="K36" s="235"/>
      <c r="L36" s="235"/>
      <c r="M36" s="235"/>
      <c r="N36" s="235"/>
      <c r="O36" s="223"/>
      <c r="P36" s="104"/>
      <c r="Q36" s="237"/>
      <c r="R36" s="231"/>
      <c r="S36" s="228"/>
      <c r="T36" s="228"/>
      <c r="U36" s="228"/>
      <c r="V36" s="228"/>
      <c r="W36" s="228"/>
      <c r="X36" s="231"/>
    </row>
    <row r="37" spans="1:24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</row>
    <row r="38" spans="1:24" ht="15.75" customHeight="1">
      <c r="A38" s="18" t="s">
        <v>58</v>
      </c>
      <c r="B38" s="101">
        <f>N10</f>
        <v>42435</v>
      </c>
      <c r="C38" s="20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 t="s">
        <v>82</v>
      </c>
      <c r="R38" s="18"/>
      <c r="S38" s="18"/>
      <c r="T38" s="18"/>
      <c r="U38" s="3"/>
      <c r="V38" s="3"/>
      <c r="W38" s="3"/>
    </row>
    <row r="39" spans="1:24" ht="18.75" customHeight="1">
      <c r="A39" s="29" t="s">
        <v>59</v>
      </c>
      <c r="B39" s="35" t="s">
        <v>83</v>
      </c>
      <c r="C39" s="31"/>
      <c r="D39" s="31"/>
      <c r="E39" s="31"/>
      <c r="F39" s="31"/>
      <c r="G39" s="31"/>
      <c r="H39" s="96" t="s">
        <v>75</v>
      </c>
      <c r="I39" s="96"/>
      <c r="J39" s="96"/>
      <c r="K39" s="27"/>
      <c r="L39" s="27"/>
      <c r="M39" s="25"/>
      <c r="N39" s="25"/>
      <c r="O39" s="25"/>
      <c r="P39" s="18"/>
      <c r="Q39" s="13" t="s">
        <v>90</v>
      </c>
      <c r="S39" s="18"/>
      <c r="T39" s="18"/>
      <c r="U39" s="3"/>
      <c r="V39" s="3"/>
      <c r="W39" s="3"/>
    </row>
    <row r="40" spans="1:24" ht="14.25" customHeight="1">
      <c r="A40" s="29"/>
      <c r="B40" s="21" t="s">
        <v>62</v>
      </c>
      <c r="C40" s="21"/>
      <c r="D40" s="21"/>
      <c r="E40" s="21"/>
      <c r="F40" s="31"/>
      <c r="G40" s="58"/>
      <c r="H40" s="21" t="s">
        <v>63</v>
      </c>
      <c r="I40" s="58"/>
      <c r="J40" s="21"/>
      <c r="K40" s="21"/>
      <c r="L40" s="24"/>
      <c r="M40" s="24"/>
      <c r="N40" s="24"/>
      <c r="O40" s="25"/>
      <c r="P40" s="17" t="s">
        <v>10</v>
      </c>
      <c r="R40" s="18"/>
      <c r="S40" s="18"/>
      <c r="T40" s="3"/>
      <c r="U40" s="3"/>
      <c r="V40" s="3"/>
    </row>
    <row r="41" spans="1:24" ht="12" customHeight="1">
      <c r="A41" s="17"/>
      <c r="F41" s="23"/>
      <c r="L41" s="95"/>
      <c r="M41" s="18"/>
      <c r="N41" s="18"/>
      <c r="O41" s="18"/>
      <c r="P41" s="18" t="s">
        <v>11</v>
      </c>
      <c r="R41" s="18"/>
      <c r="S41" s="18"/>
      <c r="T41" s="3"/>
      <c r="U41" s="3"/>
      <c r="V41" s="3"/>
    </row>
    <row r="42" spans="1:24" ht="12" customHeight="1">
      <c r="A42" s="17" t="s">
        <v>60</v>
      </c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 t="s">
        <v>12</v>
      </c>
      <c r="R42" s="18"/>
      <c r="S42" s="18"/>
      <c r="T42" s="3"/>
      <c r="U42" s="3"/>
      <c r="V42" s="3"/>
    </row>
    <row r="43" spans="1:24" ht="12" customHeight="1">
      <c r="A43" s="18"/>
      <c r="B43" s="18" t="s">
        <v>61</v>
      </c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25" t="s">
        <v>13</v>
      </c>
      <c r="R43" s="25"/>
      <c r="S43" s="25"/>
      <c r="T43" s="34"/>
      <c r="U43" s="34"/>
      <c r="V43" s="34"/>
    </row>
    <row r="44" spans="1:24" s="19" customFormat="1" ht="16.5" customHeight="1">
      <c r="A44" s="29"/>
      <c r="B44" s="25"/>
      <c r="C44" s="31" t="str">
        <f>C50</f>
        <v>Evankoff LLC</v>
      </c>
      <c r="D44" s="36"/>
      <c r="E44" s="36"/>
      <c r="F44" s="25"/>
      <c r="G44" s="25"/>
      <c r="H44" s="25"/>
      <c r="I44" s="25"/>
      <c r="J44" s="25"/>
      <c r="K44" s="25"/>
      <c r="L44" s="25"/>
      <c r="M44" s="25"/>
      <c r="N44" s="25"/>
      <c r="O44" s="25" t="s">
        <v>64</v>
      </c>
      <c r="P44" s="25"/>
    </row>
    <row r="45" spans="1:24">
      <c r="A45" s="24"/>
      <c r="B45" s="24"/>
      <c r="C45" s="24" t="s">
        <v>65</v>
      </c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5"/>
      <c r="P45" s="25"/>
      <c r="Q45" s="36" t="s">
        <v>16</v>
      </c>
      <c r="S45" s="19"/>
      <c r="T45" s="19"/>
      <c r="U45" s="19"/>
    </row>
    <row r="46" spans="1:24" s="19" customFormat="1" ht="15" thickBot="1">
      <c r="A46" s="31" t="s">
        <v>105</v>
      </c>
      <c r="B46" s="31"/>
      <c r="C46" s="31"/>
      <c r="D46" s="31"/>
      <c r="E46" s="31"/>
      <c r="F46" s="31"/>
      <c r="G46" s="25" t="s">
        <v>67</v>
      </c>
      <c r="H46" s="25"/>
      <c r="I46" s="25"/>
      <c r="J46" s="25"/>
      <c r="K46" s="25"/>
      <c r="L46" s="25"/>
      <c r="M46" s="25"/>
      <c r="N46" s="25"/>
      <c r="O46" s="25"/>
      <c r="P46" s="25"/>
      <c r="Q46" s="25"/>
    </row>
    <row r="47" spans="1:24">
      <c r="A47" s="24"/>
      <c r="B47" s="24" t="s">
        <v>66</v>
      </c>
      <c r="C47" s="24"/>
      <c r="D47" s="24"/>
      <c r="E47" s="24"/>
      <c r="F47" s="24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94"/>
      <c r="R47" s="70" t="s">
        <v>14</v>
      </c>
      <c r="S47" s="71"/>
      <c r="T47" s="72"/>
      <c r="U47" s="37"/>
      <c r="V47" s="73" t="s">
        <v>15</v>
      </c>
      <c r="W47" s="74" t="s">
        <v>93</v>
      </c>
      <c r="X47" s="75"/>
    </row>
    <row r="48" spans="1:24">
      <c r="A48" s="99">
        <f>H10</f>
        <v>42429</v>
      </c>
      <c r="B48" s="26" t="s">
        <v>68</v>
      </c>
      <c r="C48" s="244">
        <f>F7</f>
        <v>42435</v>
      </c>
      <c r="D48" s="244"/>
      <c r="E48" s="98"/>
      <c r="F48" s="33" t="s">
        <v>73</v>
      </c>
      <c r="J48" s="32"/>
      <c r="L48" s="25"/>
      <c r="M48" s="25"/>
      <c r="N48" s="25"/>
      <c r="O48" s="25"/>
      <c r="P48" s="25"/>
      <c r="Q48" s="76"/>
      <c r="R48" s="77"/>
      <c r="S48" s="77"/>
      <c r="T48" s="78"/>
      <c r="U48" s="79"/>
      <c r="V48" s="80"/>
      <c r="W48" s="80"/>
      <c r="X48" s="81"/>
    </row>
    <row r="49" spans="1:24" ht="14.25" customHeight="1" thickBot="1">
      <c r="A49" s="24" t="s">
        <v>74</v>
      </c>
      <c r="B49" s="25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5"/>
      <c r="Q49" s="82"/>
      <c r="R49" s="83"/>
      <c r="S49" s="83"/>
      <c r="T49" s="84"/>
      <c r="U49" s="85"/>
      <c r="V49" s="86"/>
      <c r="W49" s="86"/>
      <c r="X49" s="87"/>
    </row>
    <row r="50" spans="1:24" ht="18.75" customHeight="1">
      <c r="A50" s="25"/>
      <c r="B50" s="25"/>
      <c r="C50" s="31" t="str">
        <f>A5</f>
        <v>Evankoff LLC</v>
      </c>
      <c r="D50" s="25"/>
      <c r="E50" s="25"/>
      <c r="F50" s="25"/>
      <c r="G50" s="25"/>
      <c r="H50" s="25"/>
      <c r="I50" s="25"/>
      <c r="J50" s="25"/>
      <c r="K50" s="25"/>
      <c r="L50" s="25"/>
      <c r="M50" s="25" t="s">
        <v>69</v>
      </c>
      <c r="N50" s="25"/>
      <c r="O50" s="25"/>
      <c r="P50" s="25"/>
      <c r="Q50" s="107" t="s">
        <v>94</v>
      </c>
      <c r="R50" s="108"/>
      <c r="S50" s="240" t="s">
        <v>97</v>
      </c>
      <c r="T50" s="240"/>
      <c r="U50" s="240"/>
      <c r="V50" s="240"/>
      <c r="W50" s="240"/>
      <c r="X50" s="241"/>
    </row>
    <row r="51" spans="1:24">
      <c r="A51" s="24"/>
      <c r="B51" s="24"/>
      <c r="C51" s="24" t="s">
        <v>65</v>
      </c>
      <c r="D51" s="24"/>
      <c r="E51" s="24"/>
      <c r="F51" s="24"/>
      <c r="G51" s="24"/>
      <c r="H51" s="24"/>
      <c r="I51" s="24"/>
      <c r="J51" s="24"/>
      <c r="K51" s="24"/>
      <c r="L51" s="24"/>
      <c r="M51" s="25"/>
      <c r="N51" s="25"/>
      <c r="O51" s="25"/>
      <c r="P51" s="25"/>
      <c r="Q51" s="109"/>
      <c r="R51" s="110"/>
      <c r="S51" s="242"/>
      <c r="T51" s="242"/>
      <c r="U51" s="242"/>
      <c r="V51" s="242"/>
      <c r="W51" s="242"/>
      <c r="X51" s="243"/>
    </row>
    <row r="52" spans="1:24" ht="12.75" customHeight="1" thickBot="1">
      <c r="A52" s="25" t="s">
        <v>70</v>
      </c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39"/>
      <c r="R52" s="88"/>
      <c r="S52" s="88"/>
      <c r="T52" s="89"/>
      <c r="U52" s="41"/>
      <c r="V52" s="40"/>
      <c r="W52" s="40"/>
      <c r="X52" s="42"/>
    </row>
    <row r="53" spans="1:24" ht="12.75" customHeight="1">
      <c r="A53" s="25" t="s">
        <v>71</v>
      </c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107" t="s">
        <v>94</v>
      </c>
      <c r="R53" s="108"/>
      <c r="S53" s="240" t="s">
        <v>95</v>
      </c>
      <c r="T53" s="240"/>
      <c r="U53" s="240"/>
      <c r="V53" s="240"/>
      <c r="W53" s="240"/>
      <c r="X53" s="241"/>
    </row>
    <row r="54" spans="1:24" ht="12.75" customHeight="1">
      <c r="A54" s="25" t="s">
        <v>72</v>
      </c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109"/>
      <c r="R54" s="110"/>
      <c r="S54" s="242"/>
      <c r="T54" s="242"/>
      <c r="U54" s="242"/>
      <c r="V54" s="242"/>
      <c r="W54" s="242"/>
      <c r="X54" s="243"/>
    </row>
    <row r="55" spans="1:24" ht="12.75" customHeight="1" thickBot="1">
      <c r="A55" s="25" t="s">
        <v>0</v>
      </c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43"/>
      <c r="R55" s="44"/>
      <c r="S55" s="44"/>
      <c r="T55" s="44"/>
      <c r="U55" s="45"/>
      <c r="V55" s="46"/>
      <c r="W55" s="46"/>
      <c r="X55" s="47"/>
    </row>
    <row r="56" spans="1:24" ht="18" customHeight="1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48"/>
      <c r="R56" s="49"/>
      <c r="S56" s="49"/>
      <c r="T56" s="49"/>
      <c r="U56" s="50"/>
      <c r="V56" s="51"/>
      <c r="W56" s="51"/>
      <c r="X56" s="52"/>
    </row>
    <row r="57" spans="1:24" ht="18" customHeight="1" thickBot="1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5"/>
      <c r="Q57" s="53"/>
      <c r="R57" s="54"/>
      <c r="S57" s="54"/>
      <c r="T57" s="54"/>
      <c r="U57" s="55"/>
      <c r="V57" s="10"/>
      <c r="W57" s="10"/>
      <c r="X57" s="56"/>
    </row>
    <row r="58" spans="1:24" ht="18" customHeight="1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5"/>
      <c r="Q58" s="48"/>
      <c r="R58" s="49"/>
      <c r="S58" s="49"/>
      <c r="T58" s="49"/>
      <c r="U58" s="50"/>
      <c r="V58" s="51"/>
      <c r="W58" s="51"/>
      <c r="X58" s="52"/>
    </row>
    <row r="59" spans="1:24" ht="21" customHeight="1" thickBot="1">
      <c r="A59" s="24"/>
      <c r="B59" s="28" t="s">
        <v>2</v>
      </c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5"/>
      <c r="Q59" s="53"/>
      <c r="R59" s="54"/>
      <c r="S59" s="54"/>
      <c r="T59" s="54"/>
      <c r="U59" s="55"/>
      <c r="V59" s="10"/>
      <c r="W59" s="10"/>
      <c r="X59" s="56"/>
    </row>
    <row r="60" spans="1:24" ht="12" customHeight="1">
      <c r="A60" s="30" t="s">
        <v>3</v>
      </c>
      <c r="B60" s="30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5"/>
      <c r="Q60" s="48" t="s">
        <v>17</v>
      </c>
      <c r="R60" s="49"/>
      <c r="S60" s="49"/>
      <c r="T60" s="49"/>
      <c r="U60" s="49"/>
      <c r="V60" s="51"/>
      <c r="W60" s="51"/>
      <c r="X60" s="52"/>
    </row>
    <row r="61" spans="1:24" ht="12" customHeight="1">
      <c r="A61" s="27" t="s">
        <v>4</v>
      </c>
      <c r="B61" s="30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5"/>
      <c r="Q61" s="111" t="s">
        <v>96</v>
      </c>
      <c r="R61" s="44"/>
      <c r="S61" s="44"/>
      <c r="T61" s="44"/>
      <c r="U61" s="44"/>
      <c r="V61" s="46"/>
      <c r="W61" s="46"/>
      <c r="X61" s="47"/>
    </row>
    <row r="62" spans="1:24" ht="12" customHeight="1">
      <c r="A62" s="27" t="s">
        <v>5</v>
      </c>
      <c r="B62" s="30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5"/>
      <c r="Q62" s="121"/>
      <c r="R62" s="122"/>
      <c r="S62" s="44"/>
      <c r="T62" s="44"/>
      <c r="U62" s="44"/>
      <c r="V62" s="46"/>
      <c r="W62" s="46"/>
      <c r="X62" s="47"/>
    </row>
    <row r="63" spans="1:24" ht="12" customHeight="1">
      <c r="A63" s="27"/>
      <c r="B63" s="30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5"/>
      <c r="Q63" s="121"/>
      <c r="R63" s="122"/>
      <c r="S63" s="44"/>
      <c r="T63" s="44"/>
      <c r="U63" s="44"/>
      <c r="V63" s="46"/>
      <c r="W63" s="46"/>
      <c r="X63" s="47"/>
    </row>
    <row r="64" spans="1:24" ht="12" customHeight="1">
      <c r="A64" s="29" t="s">
        <v>7</v>
      </c>
      <c r="B64" s="29" t="s">
        <v>6</v>
      </c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121"/>
      <c r="R64" s="122"/>
      <c r="S64" s="44"/>
      <c r="T64" s="44"/>
      <c r="U64" s="44"/>
      <c r="V64" s="46"/>
      <c r="W64" s="46"/>
      <c r="X64" s="47"/>
    </row>
    <row r="65" spans="1:24" ht="12" customHeight="1">
      <c r="A65" s="25" t="s">
        <v>8</v>
      </c>
      <c r="B65" s="29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43"/>
      <c r="R65" s="44"/>
      <c r="S65" s="44"/>
      <c r="T65" s="44"/>
      <c r="U65" s="44"/>
      <c r="V65" s="46"/>
      <c r="W65" s="46"/>
      <c r="X65" s="47"/>
    </row>
    <row r="66" spans="1:24" ht="12" customHeight="1">
      <c r="A66" s="25" t="s">
        <v>9</v>
      </c>
      <c r="B66" s="29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43"/>
      <c r="R66" s="44"/>
      <c r="S66" s="44"/>
      <c r="T66" s="44"/>
      <c r="U66" s="44"/>
      <c r="V66" s="46"/>
      <c r="W66" s="46"/>
      <c r="X66" s="47"/>
    </row>
    <row r="67" spans="1:24" ht="12" customHeight="1" thickBot="1">
      <c r="A67" s="25"/>
      <c r="B67" s="29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53"/>
      <c r="R67" s="54"/>
      <c r="S67" s="54"/>
      <c r="T67" s="54"/>
      <c r="U67" s="54"/>
      <c r="V67" s="10"/>
      <c r="W67" s="10"/>
      <c r="X67" s="56"/>
    </row>
    <row r="68" spans="1:24" ht="12" customHeight="1">
      <c r="A68" s="25"/>
      <c r="B68" s="25" t="s">
        <v>57</v>
      </c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</row>
    <row r="69" spans="1:24" ht="12" customHeight="1">
      <c r="A69" s="25"/>
      <c r="B69" s="25" t="s">
        <v>1</v>
      </c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12" t="s">
        <v>50</v>
      </c>
      <c r="R69" s="22"/>
      <c r="S69" s="22"/>
      <c r="T69" s="67"/>
      <c r="U69" s="57" t="s">
        <v>51</v>
      </c>
      <c r="V69" s="58"/>
      <c r="W69" s="58"/>
      <c r="X69" s="59"/>
    </row>
    <row r="70" spans="1:24" ht="11.25" customHeight="1">
      <c r="A70" s="25"/>
      <c r="B70" s="25" t="s">
        <v>81</v>
      </c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63"/>
      <c r="T70" s="68"/>
      <c r="U70" s="61"/>
      <c r="V70" s="38"/>
      <c r="W70" s="38"/>
      <c r="X70" s="60"/>
    </row>
    <row r="71" spans="1:24" ht="13.5" customHeight="1">
      <c r="A71" s="25"/>
      <c r="B71" s="97" t="s">
        <v>80</v>
      </c>
      <c r="C71" s="29" t="s">
        <v>76</v>
      </c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93" t="str">
        <f>B39</f>
        <v>Eric Coffie</v>
      </c>
      <c r="R71" s="90"/>
      <c r="S71" s="90" t="str">
        <f>H39</f>
        <v>President</v>
      </c>
      <c r="T71" s="68"/>
      <c r="U71" s="61"/>
      <c r="V71" s="38"/>
      <c r="W71" s="38"/>
      <c r="X71" s="60"/>
    </row>
    <row r="72" spans="1:24" ht="10.5" customHeight="1">
      <c r="A72" s="19"/>
      <c r="B72" s="25"/>
      <c r="C72" s="25" t="s">
        <v>77</v>
      </c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19"/>
      <c r="Q72" s="91"/>
      <c r="R72" s="92"/>
      <c r="S72" s="92"/>
      <c r="T72" s="69"/>
      <c r="U72" s="62"/>
      <c r="V72" s="116"/>
      <c r="W72" s="116"/>
      <c r="X72" s="117"/>
    </row>
    <row r="73" spans="1:24" ht="10.5" customHeight="1">
      <c r="A73" s="19"/>
      <c r="B73" s="19"/>
      <c r="C73" s="25" t="s">
        <v>78</v>
      </c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</row>
    <row r="74" spans="1:24" ht="10.5" customHeight="1">
      <c r="B74" s="19"/>
      <c r="C74" s="25" t="s">
        <v>79</v>
      </c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Q74" s="64" t="s">
        <v>86</v>
      </c>
      <c r="R74" s="58"/>
      <c r="S74" s="58"/>
      <c r="T74" s="58"/>
      <c r="U74" s="58"/>
      <c r="V74" s="58"/>
      <c r="W74" s="58"/>
      <c r="X74" s="59"/>
    </row>
    <row r="75" spans="1:24" ht="10.5" customHeight="1">
      <c r="Q75" s="66" t="s">
        <v>87</v>
      </c>
      <c r="R75" s="38"/>
      <c r="S75" s="38"/>
      <c r="T75" s="38"/>
      <c r="U75" s="38"/>
      <c r="V75" s="38"/>
      <c r="W75" s="38"/>
      <c r="X75" s="60"/>
    </row>
    <row r="76" spans="1:24" ht="10.5" customHeight="1">
      <c r="Q76" s="66" t="s">
        <v>88</v>
      </c>
      <c r="R76" s="38"/>
      <c r="S76" s="38"/>
      <c r="T76" s="38"/>
      <c r="U76" s="38"/>
      <c r="V76" s="38"/>
      <c r="W76" s="38"/>
      <c r="X76" s="60"/>
    </row>
    <row r="77" spans="1:24" ht="10.5" customHeight="1">
      <c r="Q77" s="65" t="s">
        <v>89</v>
      </c>
      <c r="R77" s="116"/>
      <c r="S77" s="116"/>
      <c r="T77" s="116"/>
      <c r="U77" s="116"/>
      <c r="V77" s="116"/>
      <c r="W77" s="116"/>
      <c r="X77" s="117"/>
    </row>
  </sheetData>
  <mergeCells count="235">
    <mergeCell ref="S50:X51"/>
    <mergeCell ref="S53:X54"/>
    <mergeCell ref="M35:M36"/>
    <mergeCell ref="N35:N36"/>
    <mergeCell ref="O35:O36"/>
    <mergeCell ref="Q35:Q36"/>
    <mergeCell ref="A36:B36"/>
    <mergeCell ref="C48:D48"/>
    <mergeCell ref="W33:W36"/>
    <mergeCell ref="X33:X36"/>
    <mergeCell ref="A34:B34"/>
    <mergeCell ref="A35:B35"/>
    <mergeCell ref="G35:G36"/>
    <mergeCell ref="H35:H36"/>
    <mergeCell ref="I35:I36"/>
    <mergeCell ref="J35:J36"/>
    <mergeCell ref="K35:K36"/>
    <mergeCell ref="L35:L36"/>
    <mergeCell ref="Q33:Q34"/>
    <mergeCell ref="R33:R36"/>
    <mergeCell ref="S33:S36"/>
    <mergeCell ref="T33:T36"/>
    <mergeCell ref="U33:U36"/>
    <mergeCell ref="V33:V36"/>
    <mergeCell ref="J33:J34"/>
    <mergeCell ref="K33:K34"/>
    <mergeCell ref="L33:L34"/>
    <mergeCell ref="M33:M34"/>
    <mergeCell ref="N33:N34"/>
    <mergeCell ref="O33:O34"/>
    <mergeCell ref="A33:B33"/>
    <mergeCell ref="C33:C36"/>
    <mergeCell ref="D33:F36"/>
    <mergeCell ref="G33:G34"/>
    <mergeCell ref="H33:H34"/>
    <mergeCell ref="I33:I34"/>
    <mergeCell ref="V29:V32"/>
    <mergeCell ref="W29:W32"/>
    <mergeCell ref="X29:X32"/>
    <mergeCell ref="A30:B30"/>
    <mergeCell ref="A31:B31"/>
    <mergeCell ref="G31:G32"/>
    <mergeCell ref="H31:H32"/>
    <mergeCell ref="I31:I32"/>
    <mergeCell ref="J31:J32"/>
    <mergeCell ref="K31:K32"/>
    <mergeCell ref="O29:O30"/>
    <mergeCell ref="Q29:Q30"/>
    <mergeCell ref="R29:R32"/>
    <mergeCell ref="S29:S32"/>
    <mergeCell ref="T29:T32"/>
    <mergeCell ref="U29:U32"/>
    <mergeCell ref="I29:I30"/>
    <mergeCell ref="J29:J30"/>
    <mergeCell ref="K29:K30"/>
    <mergeCell ref="L29:L30"/>
    <mergeCell ref="M29:M30"/>
    <mergeCell ref="N29:N30"/>
    <mergeCell ref="M27:M28"/>
    <mergeCell ref="N27:N28"/>
    <mergeCell ref="O27:O28"/>
    <mergeCell ref="Q27:Q28"/>
    <mergeCell ref="A28:B28"/>
    <mergeCell ref="A29:B29"/>
    <mergeCell ref="C29:C32"/>
    <mergeCell ref="D29:F32"/>
    <mergeCell ref="G29:G30"/>
    <mergeCell ref="H29:H30"/>
    <mergeCell ref="D25:F28"/>
    <mergeCell ref="G25:G26"/>
    <mergeCell ref="H25:H26"/>
    <mergeCell ref="I25:I26"/>
    <mergeCell ref="L31:L32"/>
    <mergeCell ref="M31:M32"/>
    <mergeCell ref="N31:N32"/>
    <mergeCell ref="O31:O32"/>
    <mergeCell ref="Q31:Q32"/>
    <mergeCell ref="A32:B32"/>
    <mergeCell ref="W25:W28"/>
    <mergeCell ref="X25:X28"/>
    <mergeCell ref="A26:B26"/>
    <mergeCell ref="A27:B27"/>
    <mergeCell ref="G27:G28"/>
    <mergeCell ref="H27:H28"/>
    <mergeCell ref="I27:I28"/>
    <mergeCell ref="J27:J28"/>
    <mergeCell ref="K27:K28"/>
    <mergeCell ref="L27:L28"/>
    <mergeCell ref="Q25:Q26"/>
    <mergeCell ref="R25:R28"/>
    <mergeCell ref="S25:S28"/>
    <mergeCell ref="T25:T28"/>
    <mergeCell ref="U25:U28"/>
    <mergeCell ref="V25:V28"/>
    <mergeCell ref="J25:J26"/>
    <mergeCell ref="K25:K26"/>
    <mergeCell ref="L25:L26"/>
    <mergeCell ref="M25:M26"/>
    <mergeCell ref="N25:N26"/>
    <mergeCell ref="O25:O26"/>
    <mergeCell ref="A25:B25"/>
    <mergeCell ref="C25:C28"/>
    <mergeCell ref="V21:V24"/>
    <mergeCell ref="W21:W24"/>
    <mergeCell ref="X21:X24"/>
    <mergeCell ref="A22:B22"/>
    <mergeCell ref="A23:B23"/>
    <mergeCell ref="G23:G24"/>
    <mergeCell ref="H23:H24"/>
    <mergeCell ref="I23:I24"/>
    <mergeCell ref="J23:J24"/>
    <mergeCell ref="K23:K24"/>
    <mergeCell ref="O21:O22"/>
    <mergeCell ref="Q21:Q22"/>
    <mergeCell ref="R21:R24"/>
    <mergeCell ref="S21:S24"/>
    <mergeCell ref="T21:T24"/>
    <mergeCell ref="U21:U24"/>
    <mergeCell ref="I21:I22"/>
    <mergeCell ref="J21:J22"/>
    <mergeCell ref="Q19:Q20"/>
    <mergeCell ref="A20:B20"/>
    <mergeCell ref="A21:B21"/>
    <mergeCell ref="C21:C24"/>
    <mergeCell ref="D21:F24"/>
    <mergeCell ref="G21:G22"/>
    <mergeCell ref="H21:H22"/>
    <mergeCell ref="L23:L24"/>
    <mergeCell ref="M23:M24"/>
    <mergeCell ref="N23:N24"/>
    <mergeCell ref="O23:O24"/>
    <mergeCell ref="Q23:Q24"/>
    <mergeCell ref="A24:B24"/>
    <mergeCell ref="L17:L18"/>
    <mergeCell ref="M17:M18"/>
    <mergeCell ref="N17:N18"/>
    <mergeCell ref="O17:O18"/>
    <mergeCell ref="K21:K22"/>
    <mergeCell ref="L21:L22"/>
    <mergeCell ref="M21:M22"/>
    <mergeCell ref="N21:N22"/>
    <mergeCell ref="M19:M20"/>
    <mergeCell ref="N19:N20"/>
    <mergeCell ref="O19:O20"/>
    <mergeCell ref="A17:B17"/>
    <mergeCell ref="C17:C20"/>
    <mergeCell ref="D17:F20"/>
    <mergeCell ref="G17:G18"/>
    <mergeCell ref="H17:H18"/>
    <mergeCell ref="I17:I18"/>
    <mergeCell ref="W17:W20"/>
    <mergeCell ref="X17:X20"/>
    <mergeCell ref="A18:B18"/>
    <mergeCell ref="A19:B19"/>
    <mergeCell ref="G19:G20"/>
    <mergeCell ref="H19:H20"/>
    <mergeCell ref="I19:I20"/>
    <mergeCell ref="J19:J20"/>
    <mergeCell ref="K19:K20"/>
    <mergeCell ref="L19:L20"/>
    <mergeCell ref="Q17:Q18"/>
    <mergeCell ref="R17:R20"/>
    <mergeCell ref="S17:S20"/>
    <mergeCell ref="T17:T20"/>
    <mergeCell ref="U17:U20"/>
    <mergeCell ref="V17:V20"/>
    <mergeCell ref="J17:J18"/>
    <mergeCell ref="K17:K18"/>
    <mergeCell ref="X13:X16"/>
    <mergeCell ref="A14:B14"/>
    <mergeCell ref="A15:B15"/>
    <mergeCell ref="G15:G16"/>
    <mergeCell ref="H15:H16"/>
    <mergeCell ref="I15:I16"/>
    <mergeCell ref="J15:J16"/>
    <mergeCell ref="K15:K16"/>
    <mergeCell ref="L15:L16"/>
    <mergeCell ref="M15:M16"/>
    <mergeCell ref="R13:R16"/>
    <mergeCell ref="S13:S16"/>
    <mergeCell ref="T13:T16"/>
    <mergeCell ref="U13:U16"/>
    <mergeCell ref="V13:V16"/>
    <mergeCell ref="W13:W16"/>
    <mergeCell ref="K13:K14"/>
    <mergeCell ref="L13:L14"/>
    <mergeCell ref="M13:M14"/>
    <mergeCell ref="N13:N14"/>
    <mergeCell ref="O13:O14"/>
    <mergeCell ref="Q13:Q14"/>
    <mergeCell ref="N15:N16"/>
    <mergeCell ref="O15:O16"/>
    <mergeCell ref="A13:B13"/>
    <mergeCell ref="C13:C16"/>
    <mergeCell ref="D13:F16"/>
    <mergeCell ref="G13:G14"/>
    <mergeCell ref="H13:H14"/>
    <mergeCell ref="I13:I14"/>
    <mergeCell ref="J13:J14"/>
    <mergeCell ref="P10:P12"/>
    <mergeCell ref="Q10:Q12"/>
    <mergeCell ref="Q15:Q16"/>
    <mergeCell ref="A16:B16"/>
    <mergeCell ref="A6:D6"/>
    <mergeCell ref="F6:N6"/>
    <mergeCell ref="A7:D7"/>
    <mergeCell ref="F7:N7"/>
    <mergeCell ref="O7:S7"/>
    <mergeCell ref="T7:X7"/>
    <mergeCell ref="A8:B8"/>
    <mergeCell ref="D8:F8"/>
    <mergeCell ref="G8:G12"/>
    <mergeCell ref="H8:N8"/>
    <mergeCell ref="R8:W9"/>
    <mergeCell ref="X8:X12"/>
    <mergeCell ref="A9:B12"/>
    <mergeCell ref="C9:C12"/>
    <mergeCell ref="D9:F12"/>
    <mergeCell ref="O10:O12"/>
    <mergeCell ref="V10:V12"/>
    <mergeCell ref="W10:W12"/>
    <mergeCell ref="H12:N12"/>
    <mergeCell ref="R10:R12"/>
    <mergeCell ref="S10:S12"/>
    <mergeCell ref="T10:T12"/>
    <mergeCell ref="U10:U12"/>
    <mergeCell ref="A1:D3"/>
    <mergeCell ref="F1:U3"/>
    <mergeCell ref="A4:C4"/>
    <mergeCell ref="D4:G4"/>
    <mergeCell ref="H4:N4"/>
    <mergeCell ref="O4:V4"/>
    <mergeCell ref="W4:X5"/>
    <mergeCell ref="A5:N5"/>
    <mergeCell ref="O5:V5"/>
  </mergeCells>
  <phoneticPr fontId="11" type="noConversion"/>
  <pageMargins left="0.7" right="0.7" top="0.75" bottom="0.75" header="0.3" footer="0.3"/>
  <pageSetup scale="77" orientation="landscape" horizontalDpi="4294967292" verticalDpi="4294967292"/>
  <rowBreaks count="1" manualBreakCount="1">
    <brk id="36" max="16383" man="1"/>
  </rowBreaks>
  <colBreaks count="1" manualBreakCount="1">
    <brk id="24" max="1048575" man="1"/>
  </colBreaks>
  <extLst>
    <ext xmlns:mx="http://schemas.microsoft.com/office/mac/excel/2008/main" uri="{64002731-A6B0-56B0-2670-7721B7C09600}">
      <mx:PLV Mode="1" OnePage="0" WScale="77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77"/>
  <sheetViews>
    <sheetView view="pageLayout" workbookViewId="0">
      <selection activeCell="A21" sqref="A21:B21"/>
    </sheetView>
  </sheetViews>
  <sheetFormatPr baseColWidth="10" defaultColWidth="8.83203125" defaultRowHeight="14" x14ac:dyDescent="0"/>
  <cols>
    <col min="1" max="1" width="10.33203125" customWidth="1"/>
    <col min="2" max="2" width="11.1640625" customWidth="1"/>
    <col min="3" max="3" width="5" customWidth="1"/>
    <col min="4" max="4" width="5.1640625" customWidth="1"/>
    <col min="5" max="5" width="4.6640625" customWidth="1"/>
    <col min="6" max="6" width="4.83203125" customWidth="1"/>
    <col min="7" max="7" width="3.6640625" customWidth="1"/>
    <col min="8" max="8" width="5" customWidth="1"/>
    <col min="9" max="9" width="4.6640625" customWidth="1"/>
    <col min="10" max="11" width="5.33203125" customWidth="1"/>
    <col min="12" max="12" width="4.83203125" customWidth="1"/>
    <col min="13" max="13" width="5.5" customWidth="1"/>
    <col min="14" max="14" width="5.1640625" customWidth="1"/>
    <col min="16" max="17" width="9.83203125" bestFit="1" customWidth="1"/>
    <col min="18" max="18" width="7.6640625" customWidth="1"/>
    <col min="19" max="19" width="9.5" customWidth="1"/>
    <col min="20" max="20" width="6" hidden="1" customWidth="1"/>
    <col min="21" max="21" width="4.33203125" hidden="1" customWidth="1"/>
    <col min="22" max="22" width="7.6640625" hidden="1" customWidth="1"/>
    <col min="23" max="23" width="9.33203125" customWidth="1"/>
    <col min="24" max="24" width="12.6640625" customWidth="1"/>
  </cols>
  <sheetData>
    <row r="1" spans="1:24" ht="15" customHeight="1">
      <c r="A1" s="149" t="s">
        <v>22</v>
      </c>
      <c r="B1" s="149"/>
      <c r="C1" s="149"/>
      <c r="D1" s="149"/>
      <c r="E1" s="134"/>
      <c r="F1" s="151" t="s">
        <v>55</v>
      </c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9"/>
      <c r="W1" s="9"/>
      <c r="X1" s="9"/>
    </row>
    <row r="2" spans="1:24">
      <c r="A2" s="149"/>
      <c r="B2" s="149"/>
      <c r="C2" s="149"/>
      <c r="D2" s="149"/>
      <c r="E2" s="134"/>
      <c r="F2" s="151"/>
      <c r="G2" s="151"/>
      <c r="H2" s="151"/>
      <c r="I2" s="151"/>
      <c r="J2" s="151"/>
      <c r="K2" s="151"/>
      <c r="L2" s="151"/>
      <c r="M2" s="151"/>
      <c r="N2" s="151"/>
      <c r="O2" s="151"/>
      <c r="P2" s="151"/>
      <c r="Q2" s="151"/>
      <c r="R2" s="151"/>
      <c r="S2" s="151"/>
      <c r="T2" s="151"/>
      <c r="U2" s="151"/>
      <c r="V2" s="9"/>
      <c r="W2" s="9"/>
      <c r="X2" s="9"/>
    </row>
    <row r="3" spans="1:24" ht="15" customHeight="1" thickBot="1">
      <c r="A3" s="150"/>
      <c r="B3" s="150"/>
      <c r="C3" s="150"/>
      <c r="D3" s="150"/>
      <c r="E3" s="135"/>
      <c r="F3" s="152"/>
      <c r="G3" s="152"/>
      <c r="H3" s="152"/>
      <c r="I3" s="152"/>
      <c r="J3" s="152"/>
      <c r="K3" s="152"/>
      <c r="L3" s="152"/>
      <c r="M3" s="152"/>
      <c r="N3" s="152"/>
      <c r="O3" s="152"/>
      <c r="P3" s="152"/>
      <c r="Q3" s="152"/>
      <c r="R3" s="152"/>
      <c r="S3" s="152"/>
      <c r="T3" s="152"/>
      <c r="U3" s="152"/>
      <c r="V3" s="10"/>
      <c r="W3" s="10"/>
      <c r="X3" s="10"/>
    </row>
    <row r="4" spans="1:24" s="11" customFormat="1">
      <c r="A4" s="153" t="s">
        <v>56</v>
      </c>
      <c r="B4" s="154"/>
      <c r="C4" s="154"/>
      <c r="D4" s="154" t="s">
        <v>52</v>
      </c>
      <c r="E4" s="154"/>
      <c r="F4" s="154"/>
      <c r="G4" s="154"/>
      <c r="H4" s="155"/>
      <c r="I4" s="155"/>
      <c r="J4" s="155"/>
      <c r="K4" s="155"/>
      <c r="L4" s="155"/>
      <c r="M4" s="155"/>
      <c r="N4" s="156"/>
      <c r="O4" s="157" t="s">
        <v>126</v>
      </c>
      <c r="P4" s="158"/>
      <c r="Q4" s="158"/>
      <c r="R4" s="158"/>
      <c r="S4" s="158"/>
      <c r="T4" s="158"/>
      <c r="U4" s="158"/>
      <c r="V4" s="158"/>
      <c r="W4" s="159"/>
      <c r="X4" s="160"/>
    </row>
    <row r="5" spans="1:24" s="1" customFormat="1" ht="12">
      <c r="A5" s="163" t="s">
        <v>125</v>
      </c>
      <c r="B5" s="164"/>
      <c r="C5" s="164"/>
      <c r="D5" s="164"/>
      <c r="E5" s="164"/>
      <c r="F5" s="164"/>
      <c r="G5" s="164"/>
      <c r="H5" s="164"/>
      <c r="I5" s="164"/>
      <c r="J5" s="164"/>
      <c r="K5" s="164"/>
      <c r="L5" s="164"/>
      <c r="M5" s="164"/>
      <c r="N5" s="165"/>
      <c r="O5" s="166" t="s">
        <v>108</v>
      </c>
      <c r="P5" s="167"/>
      <c r="Q5" s="167"/>
      <c r="R5" s="167"/>
      <c r="S5" s="167"/>
      <c r="T5" s="167"/>
      <c r="U5" s="167"/>
      <c r="V5" s="167"/>
      <c r="W5" s="161"/>
      <c r="X5" s="162"/>
    </row>
    <row r="6" spans="1:24" s="13" customFormat="1" ht="11">
      <c r="A6" s="168" t="s">
        <v>18</v>
      </c>
      <c r="B6" s="169"/>
      <c r="C6" s="169"/>
      <c r="D6" s="170"/>
      <c r="E6" s="115"/>
      <c r="F6" s="168" t="s">
        <v>19</v>
      </c>
      <c r="G6" s="169"/>
      <c r="H6" s="169"/>
      <c r="I6" s="169"/>
      <c r="J6" s="169"/>
      <c r="K6" s="169"/>
      <c r="L6" s="169"/>
      <c r="M6" s="169"/>
      <c r="N6" s="170"/>
      <c r="O6" s="102" t="s">
        <v>20</v>
      </c>
      <c r="P6" s="15"/>
      <c r="Q6" s="15"/>
      <c r="R6" s="15"/>
      <c r="S6" s="102" t="s">
        <v>91</v>
      </c>
      <c r="T6" s="15" t="s">
        <v>21</v>
      </c>
      <c r="U6" s="15"/>
      <c r="V6" s="15"/>
      <c r="X6" s="16"/>
    </row>
    <row r="7" spans="1:24" s="1" customFormat="1" ht="16.5" customHeight="1">
      <c r="A7" s="171">
        <v>9</v>
      </c>
      <c r="B7" s="172"/>
      <c r="C7" s="172"/>
      <c r="D7" s="173"/>
      <c r="E7" s="136"/>
      <c r="F7" s="174">
        <v>42442</v>
      </c>
      <c r="G7" s="175"/>
      <c r="H7" s="175"/>
      <c r="I7" s="175"/>
      <c r="J7" s="175"/>
      <c r="K7" s="175"/>
      <c r="L7" s="175"/>
      <c r="M7" s="175"/>
      <c r="N7" s="176"/>
      <c r="O7" s="166" t="s">
        <v>107</v>
      </c>
      <c r="P7" s="167"/>
      <c r="Q7" s="167"/>
      <c r="R7" s="167"/>
      <c r="S7" s="167"/>
      <c r="T7" s="167" t="s">
        <v>109</v>
      </c>
      <c r="U7" s="167"/>
      <c r="V7" s="167"/>
      <c r="W7" s="167"/>
      <c r="X7" s="177"/>
    </row>
    <row r="8" spans="1:24" s="2" customFormat="1" ht="11.25" customHeight="1">
      <c r="A8" s="178" t="s">
        <v>23</v>
      </c>
      <c r="B8" s="179"/>
      <c r="C8" s="7" t="s">
        <v>24</v>
      </c>
      <c r="D8" s="178" t="s">
        <v>25</v>
      </c>
      <c r="E8" s="180"/>
      <c r="F8" s="179"/>
      <c r="G8" s="181" t="s">
        <v>29</v>
      </c>
      <c r="H8" s="184" t="s">
        <v>54</v>
      </c>
      <c r="I8" s="185"/>
      <c r="J8" s="185"/>
      <c r="K8" s="185"/>
      <c r="L8" s="185"/>
      <c r="M8" s="185"/>
      <c r="N8" s="186"/>
      <c r="O8" s="7" t="s">
        <v>30</v>
      </c>
      <c r="P8" s="7" t="s">
        <v>31</v>
      </c>
      <c r="Q8" s="7" t="s">
        <v>32</v>
      </c>
      <c r="R8" s="187" t="s">
        <v>33</v>
      </c>
      <c r="S8" s="187"/>
      <c r="T8" s="187"/>
      <c r="U8" s="187"/>
      <c r="V8" s="187"/>
      <c r="W8" s="187"/>
      <c r="X8" s="187" t="s">
        <v>53</v>
      </c>
    </row>
    <row r="9" spans="1:24" ht="17.25" customHeight="1">
      <c r="A9" s="188" t="s">
        <v>26</v>
      </c>
      <c r="B9" s="189"/>
      <c r="C9" s="192" t="s">
        <v>27</v>
      </c>
      <c r="D9" s="194" t="s">
        <v>28</v>
      </c>
      <c r="E9" s="195"/>
      <c r="F9" s="196"/>
      <c r="G9" s="182"/>
      <c r="H9" s="132" t="s">
        <v>36</v>
      </c>
      <c r="I9" s="133" t="s">
        <v>37</v>
      </c>
      <c r="J9" s="133" t="s">
        <v>38</v>
      </c>
      <c r="K9" s="133" t="s">
        <v>111</v>
      </c>
      <c r="L9" s="133" t="s">
        <v>39</v>
      </c>
      <c r="M9" s="133" t="s">
        <v>41</v>
      </c>
      <c r="N9" s="133" t="s">
        <v>42</v>
      </c>
      <c r="O9" s="6"/>
      <c r="P9" s="8"/>
      <c r="Q9" s="8"/>
      <c r="R9" s="187"/>
      <c r="S9" s="187"/>
      <c r="T9" s="187"/>
      <c r="U9" s="187"/>
      <c r="V9" s="187"/>
      <c r="W9" s="187"/>
      <c r="X9" s="187"/>
    </row>
    <row r="10" spans="1:24" ht="19.5" customHeight="1">
      <c r="A10" s="188"/>
      <c r="B10" s="189"/>
      <c r="C10" s="192"/>
      <c r="D10" s="194"/>
      <c r="E10" s="195"/>
      <c r="F10" s="196"/>
      <c r="G10" s="182"/>
      <c r="H10" s="100">
        <f t="shared" ref="H10:L10" si="0">I10-1</f>
        <v>42436</v>
      </c>
      <c r="I10" s="100">
        <f t="shared" si="0"/>
        <v>42437</v>
      </c>
      <c r="J10" s="100">
        <f t="shared" si="0"/>
        <v>42438</v>
      </c>
      <c r="K10" s="100">
        <f t="shared" si="0"/>
        <v>42439</v>
      </c>
      <c r="L10" s="100">
        <f t="shared" si="0"/>
        <v>42440</v>
      </c>
      <c r="M10" s="100">
        <f>N10-1</f>
        <v>42441</v>
      </c>
      <c r="N10" s="100">
        <f>F7</f>
        <v>42442</v>
      </c>
      <c r="O10" s="200" t="s">
        <v>46</v>
      </c>
      <c r="P10" s="200" t="s">
        <v>47</v>
      </c>
      <c r="Q10" s="200" t="s">
        <v>48</v>
      </c>
      <c r="R10" s="206" t="s">
        <v>44</v>
      </c>
      <c r="S10" s="206" t="s">
        <v>45</v>
      </c>
      <c r="T10" s="207"/>
      <c r="U10" s="207"/>
      <c r="V10" s="202" t="s">
        <v>35</v>
      </c>
      <c r="W10" s="203" t="s">
        <v>34</v>
      </c>
      <c r="X10" s="187"/>
    </row>
    <row r="11" spans="1:24" ht="18.75" hidden="1" customHeight="1">
      <c r="A11" s="188"/>
      <c r="B11" s="189"/>
      <c r="C11" s="192"/>
      <c r="D11" s="194"/>
      <c r="E11" s="195"/>
      <c r="F11" s="196"/>
      <c r="G11" s="182"/>
      <c r="H11" s="5"/>
      <c r="I11" s="4"/>
      <c r="J11" s="4"/>
      <c r="K11" s="4"/>
      <c r="L11" s="4"/>
      <c r="M11" s="4"/>
      <c r="N11" s="4"/>
      <c r="O11" s="200"/>
      <c r="P11" s="200"/>
      <c r="Q11" s="200"/>
      <c r="R11" s="206"/>
      <c r="S11" s="206"/>
      <c r="T11" s="207"/>
      <c r="U11" s="207"/>
      <c r="V11" s="202"/>
      <c r="W11" s="203"/>
      <c r="X11" s="187"/>
    </row>
    <row r="12" spans="1:24">
      <c r="A12" s="190"/>
      <c r="B12" s="191"/>
      <c r="C12" s="193"/>
      <c r="D12" s="197"/>
      <c r="E12" s="198"/>
      <c r="F12" s="199"/>
      <c r="G12" s="183"/>
      <c r="H12" s="204" t="s">
        <v>43</v>
      </c>
      <c r="I12" s="204"/>
      <c r="J12" s="204"/>
      <c r="K12" s="204"/>
      <c r="L12" s="204"/>
      <c r="M12" s="204"/>
      <c r="N12" s="205"/>
      <c r="O12" s="201"/>
      <c r="P12" s="201"/>
      <c r="Q12" s="201"/>
      <c r="R12" s="206"/>
      <c r="S12" s="206"/>
      <c r="T12" s="207"/>
      <c r="U12" s="207"/>
      <c r="V12" s="202"/>
      <c r="W12" s="203"/>
      <c r="X12" s="187"/>
    </row>
    <row r="13" spans="1:24" ht="15" customHeight="1">
      <c r="A13" s="208" t="s">
        <v>98</v>
      </c>
      <c r="B13" s="209"/>
      <c r="C13" s="210">
        <v>2</v>
      </c>
      <c r="D13" s="249" t="s">
        <v>123</v>
      </c>
      <c r="E13" s="250"/>
      <c r="F13" s="251"/>
      <c r="G13" s="220" t="s">
        <v>49</v>
      </c>
      <c r="H13" s="220"/>
      <c r="I13" s="220"/>
      <c r="J13" s="220"/>
      <c r="K13" s="220"/>
      <c r="L13" s="220"/>
      <c r="M13" s="220"/>
      <c r="N13" s="220">
        <v>0</v>
      </c>
      <c r="O13" s="232">
        <f>SUM(H13:N14)</f>
        <v>0</v>
      </c>
      <c r="P13" s="105" t="s">
        <v>110</v>
      </c>
      <c r="Q13" s="238">
        <f>P14*O13</f>
        <v>0</v>
      </c>
      <c r="R13" s="226">
        <v>35.479999999999997</v>
      </c>
      <c r="S13" s="226">
        <f>30.69+7.18+10.65</f>
        <v>48.52</v>
      </c>
      <c r="T13" s="226"/>
      <c r="U13" s="226"/>
      <c r="V13" s="226"/>
      <c r="W13" s="226">
        <f>S13+R13</f>
        <v>84</v>
      </c>
      <c r="X13" s="229">
        <f>Q15-W13+Q13</f>
        <v>411</v>
      </c>
    </row>
    <row r="14" spans="1:24">
      <c r="A14" s="221" t="s">
        <v>103</v>
      </c>
      <c r="B14" s="222"/>
      <c r="C14" s="210"/>
      <c r="D14" s="252"/>
      <c r="E14" s="253"/>
      <c r="F14" s="254"/>
      <c r="G14" s="220"/>
      <c r="H14" s="220"/>
      <c r="I14" s="220"/>
      <c r="J14" s="220"/>
      <c r="K14" s="220"/>
      <c r="L14" s="220"/>
      <c r="M14" s="220"/>
      <c r="N14" s="220"/>
      <c r="O14" s="233"/>
      <c r="P14" s="103">
        <f>P16/2+P16</f>
        <v>22.5</v>
      </c>
      <c r="Q14" s="239"/>
      <c r="R14" s="227"/>
      <c r="S14" s="227"/>
      <c r="T14" s="227"/>
      <c r="U14" s="227"/>
      <c r="V14" s="227"/>
      <c r="W14" s="227"/>
      <c r="X14" s="230"/>
    </row>
    <row r="15" spans="1:24">
      <c r="A15" s="261"/>
      <c r="B15" s="262"/>
      <c r="C15" s="210"/>
      <c r="D15" s="252"/>
      <c r="E15" s="253"/>
      <c r="F15" s="254"/>
      <c r="G15" s="223" t="s">
        <v>40</v>
      </c>
      <c r="H15" s="223">
        <v>7.5</v>
      </c>
      <c r="I15" s="223">
        <v>8.5</v>
      </c>
      <c r="J15" s="223">
        <v>8</v>
      </c>
      <c r="K15" s="223">
        <v>4.5</v>
      </c>
      <c r="L15" s="223">
        <v>4.5</v>
      </c>
      <c r="M15" s="223">
        <v>0</v>
      </c>
      <c r="N15" s="223">
        <v>0</v>
      </c>
      <c r="O15" s="234">
        <f>SUM(H15:N16)</f>
        <v>33</v>
      </c>
      <c r="P15" s="106" t="s">
        <v>110</v>
      </c>
      <c r="Q15" s="236">
        <f>P16*O15</f>
        <v>495</v>
      </c>
      <c r="R15" s="227"/>
      <c r="S15" s="227"/>
      <c r="T15" s="227"/>
      <c r="U15" s="227"/>
      <c r="V15" s="227"/>
      <c r="W15" s="227"/>
      <c r="X15" s="230"/>
    </row>
    <row r="16" spans="1:24">
      <c r="A16" s="224"/>
      <c r="B16" s="225"/>
      <c r="C16" s="210"/>
      <c r="D16" s="255"/>
      <c r="E16" s="256"/>
      <c r="F16" s="257"/>
      <c r="G16" s="223"/>
      <c r="H16" s="223"/>
      <c r="I16" s="223"/>
      <c r="J16" s="223"/>
      <c r="K16" s="223"/>
      <c r="L16" s="223"/>
      <c r="M16" s="223"/>
      <c r="N16" s="223"/>
      <c r="O16" s="235"/>
      <c r="P16" s="104">
        <v>15</v>
      </c>
      <c r="Q16" s="237"/>
      <c r="R16" s="228"/>
      <c r="S16" s="228"/>
      <c r="T16" s="228"/>
      <c r="U16" s="228"/>
      <c r="V16" s="228"/>
      <c r="W16" s="228"/>
      <c r="X16" s="231"/>
    </row>
    <row r="17" spans="1:24" ht="15" customHeight="1">
      <c r="A17" s="208" t="s">
        <v>99</v>
      </c>
      <c r="B17" s="209"/>
      <c r="C17" s="210">
        <v>2</v>
      </c>
      <c r="D17" s="249" t="s">
        <v>123</v>
      </c>
      <c r="E17" s="250"/>
      <c r="F17" s="251"/>
      <c r="G17" s="220" t="s">
        <v>49</v>
      </c>
      <c r="H17" s="220"/>
      <c r="I17" s="220"/>
      <c r="J17" s="220"/>
      <c r="K17" s="220"/>
      <c r="L17" s="220"/>
      <c r="M17" s="220"/>
      <c r="N17" s="220"/>
      <c r="O17" s="232">
        <f>SUM(H17:N18)</f>
        <v>0</v>
      </c>
      <c r="P17" s="105" t="s">
        <v>110</v>
      </c>
      <c r="Q17" s="238">
        <f>P18*O17</f>
        <v>0</v>
      </c>
      <c r="R17" s="226">
        <v>0</v>
      </c>
      <c r="S17" s="226">
        <v>2.2999999999999998</v>
      </c>
      <c r="T17" s="226"/>
      <c r="U17" s="226"/>
      <c r="V17" s="226"/>
      <c r="W17" s="226">
        <f>S17+R17</f>
        <v>2.2999999999999998</v>
      </c>
      <c r="X17" s="229">
        <f>Q19-W17</f>
        <v>27.7</v>
      </c>
    </row>
    <row r="18" spans="1:24">
      <c r="A18" s="221" t="s">
        <v>102</v>
      </c>
      <c r="B18" s="222"/>
      <c r="C18" s="210"/>
      <c r="D18" s="252"/>
      <c r="E18" s="253"/>
      <c r="F18" s="254"/>
      <c r="G18" s="220"/>
      <c r="H18" s="220"/>
      <c r="I18" s="220"/>
      <c r="J18" s="220"/>
      <c r="K18" s="220"/>
      <c r="L18" s="220"/>
      <c r="M18" s="220"/>
      <c r="N18" s="220"/>
      <c r="O18" s="233"/>
      <c r="P18" s="103">
        <f>P20/2+P20</f>
        <v>22.5</v>
      </c>
      <c r="Q18" s="239"/>
      <c r="R18" s="227"/>
      <c r="S18" s="227"/>
      <c r="T18" s="227"/>
      <c r="U18" s="227"/>
      <c r="V18" s="227"/>
      <c r="W18" s="227"/>
      <c r="X18" s="230"/>
    </row>
    <row r="19" spans="1:24">
      <c r="A19" s="261"/>
      <c r="B19" s="262"/>
      <c r="C19" s="210"/>
      <c r="D19" s="252"/>
      <c r="E19" s="253"/>
      <c r="F19" s="254"/>
      <c r="G19" s="223" t="s">
        <v>40</v>
      </c>
      <c r="H19" s="223">
        <v>0</v>
      </c>
      <c r="I19" s="223">
        <v>0</v>
      </c>
      <c r="J19" s="223">
        <v>0</v>
      </c>
      <c r="K19" s="223">
        <v>0</v>
      </c>
      <c r="L19" s="223">
        <v>2</v>
      </c>
      <c r="M19" s="223">
        <v>0</v>
      </c>
      <c r="N19" s="223">
        <v>0</v>
      </c>
      <c r="O19" s="223">
        <f>SUM(H19:N20)</f>
        <v>2</v>
      </c>
      <c r="P19" s="106" t="s">
        <v>110</v>
      </c>
      <c r="Q19" s="236">
        <f>P20*O19</f>
        <v>30</v>
      </c>
      <c r="R19" s="227"/>
      <c r="S19" s="227"/>
      <c r="T19" s="227"/>
      <c r="U19" s="227"/>
      <c r="V19" s="227"/>
      <c r="W19" s="227"/>
      <c r="X19" s="230"/>
    </row>
    <row r="20" spans="1:24">
      <c r="A20" s="224"/>
      <c r="B20" s="225"/>
      <c r="C20" s="210"/>
      <c r="D20" s="255"/>
      <c r="E20" s="256"/>
      <c r="F20" s="257"/>
      <c r="G20" s="223"/>
      <c r="H20" s="223"/>
      <c r="I20" s="223"/>
      <c r="J20" s="223"/>
      <c r="K20" s="223"/>
      <c r="L20" s="223"/>
      <c r="M20" s="223"/>
      <c r="N20" s="223"/>
      <c r="O20" s="223"/>
      <c r="P20" s="104">
        <v>15</v>
      </c>
      <c r="Q20" s="237"/>
      <c r="R20" s="228"/>
      <c r="S20" s="228"/>
      <c r="T20" s="228"/>
      <c r="U20" s="228"/>
      <c r="V20" s="228"/>
      <c r="W20" s="228"/>
      <c r="X20" s="231"/>
    </row>
    <row r="21" spans="1:24" ht="14" customHeight="1">
      <c r="A21" s="208"/>
      <c r="B21" s="209"/>
      <c r="C21" s="210"/>
      <c r="D21" s="211"/>
      <c r="E21" s="212"/>
      <c r="F21" s="213"/>
      <c r="G21" s="220"/>
      <c r="H21" s="220"/>
      <c r="I21" s="220"/>
      <c r="J21" s="220"/>
      <c r="K21" s="220"/>
      <c r="L21" s="220"/>
      <c r="M21" s="220"/>
      <c r="N21" s="220"/>
      <c r="O21" s="232"/>
      <c r="P21" s="105"/>
      <c r="Q21" s="238"/>
      <c r="R21" s="226"/>
      <c r="S21" s="226"/>
      <c r="T21" s="226"/>
      <c r="U21" s="226"/>
      <c r="V21" s="226"/>
      <c r="W21" s="226"/>
      <c r="X21" s="229"/>
    </row>
    <row r="22" spans="1:24">
      <c r="A22" s="221"/>
      <c r="B22" s="222"/>
      <c r="C22" s="210"/>
      <c r="D22" s="214"/>
      <c r="E22" s="215"/>
      <c r="F22" s="216"/>
      <c r="G22" s="220"/>
      <c r="H22" s="220"/>
      <c r="I22" s="220"/>
      <c r="J22" s="220"/>
      <c r="K22" s="220"/>
      <c r="L22" s="220"/>
      <c r="M22" s="220"/>
      <c r="N22" s="220"/>
      <c r="O22" s="233"/>
      <c r="P22" s="103"/>
      <c r="Q22" s="239"/>
      <c r="R22" s="227"/>
      <c r="S22" s="227"/>
      <c r="T22" s="227"/>
      <c r="U22" s="227"/>
      <c r="V22" s="227"/>
      <c r="W22" s="227"/>
      <c r="X22" s="230"/>
    </row>
    <row r="23" spans="1:24">
      <c r="A23" s="221"/>
      <c r="B23" s="222"/>
      <c r="C23" s="210"/>
      <c r="D23" s="214"/>
      <c r="E23" s="215"/>
      <c r="F23" s="216"/>
      <c r="G23" s="223"/>
      <c r="H23" s="223"/>
      <c r="I23" s="223"/>
      <c r="J23" s="223"/>
      <c r="K23" s="223"/>
      <c r="L23" s="223"/>
      <c r="M23" s="223"/>
      <c r="N23" s="223"/>
      <c r="O23" s="223"/>
      <c r="P23" s="106"/>
      <c r="Q23" s="236"/>
      <c r="R23" s="227"/>
      <c r="S23" s="227"/>
      <c r="T23" s="227"/>
      <c r="U23" s="227"/>
      <c r="V23" s="227"/>
      <c r="W23" s="227"/>
      <c r="X23" s="230"/>
    </row>
    <row r="24" spans="1:24">
      <c r="A24" s="224"/>
      <c r="B24" s="225"/>
      <c r="C24" s="210"/>
      <c r="D24" s="217"/>
      <c r="E24" s="218"/>
      <c r="F24" s="219"/>
      <c r="G24" s="223"/>
      <c r="H24" s="223"/>
      <c r="I24" s="223"/>
      <c r="J24" s="223"/>
      <c r="K24" s="223"/>
      <c r="L24" s="223"/>
      <c r="M24" s="223"/>
      <c r="N24" s="223"/>
      <c r="O24" s="223"/>
      <c r="P24" s="104"/>
      <c r="Q24" s="237"/>
      <c r="R24" s="228"/>
      <c r="S24" s="228"/>
      <c r="T24" s="228"/>
      <c r="U24" s="228"/>
      <c r="V24" s="228"/>
      <c r="W24" s="228"/>
      <c r="X24" s="231"/>
    </row>
    <row r="25" spans="1:24" ht="14" customHeight="1">
      <c r="A25" s="208"/>
      <c r="B25" s="209"/>
      <c r="C25" s="210"/>
      <c r="D25" s="211"/>
      <c r="E25" s="212"/>
      <c r="F25" s="213"/>
      <c r="G25" s="220"/>
      <c r="H25" s="220"/>
      <c r="I25" s="220"/>
      <c r="J25" s="220"/>
      <c r="K25" s="220"/>
      <c r="L25" s="220"/>
      <c r="M25" s="220"/>
      <c r="N25" s="220"/>
      <c r="O25" s="232"/>
      <c r="P25" s="105"/>
      <c r="Q25" s="248"/>
      <c r="R25" s="226"/>
      <c r="S25" s="226"/>
      <c r="T25" s="226"/>
      <c r="U25" s="226"/>
      <c r="V25" s="226"/>
      <c r="W25" s="226"/>
      <c r="X25" s="229"/>
    </row>
    <row r="26" spans="1:24">
      <c r="A26" s="221"/>
      <c r="B26" s="222"/>
      <c r="C26" s="210"/>
      <c r="D26" s="214"/>
      <c r="E26" s="215"/>
      <c r="F26" s="216"/>
      <c r="G26" s="220"/>
      <c r="H26" s="220"/>
      <c r="I26" s="220"/>
      <c r="J26" s="220"/>
      <c r="K26" s="220"/>
      <c r="L26" s="220"/>
      <c r="M26" s="220"/>
      <c r="N26" s="220"/>
      <c r="O26" s="233"/>
      <c r="P26" s="103"/>
      <c r="Q26" s="248"/>
      <c r="R26" s="227"/>
      <c r="S26" s="227"/>
      <c r="T26" s="227"/>
      <c r="U26" s="227"/>
      <c r="V26" s="227"/>
      <c r="W26" s="227"/>
      <c r="X26" s="230"/>
    </row>
    <row r="27" spans="1:24">
      <c r="A27" s="221"/>
      <c r="B27" s="222"/>
      <c r="C27" s="210"/>
      <c r="D27" s="214"/>
      <c r="E27" s="215"/>
      <c r="F27" s="216"/>
      <c r="G27" s="223"/>
      <c r="H27" s="223"/>
      <c r="I27" s="223"/>
      <c r="J27" s="223"/>
      <c r="K27" s="223"/>
      <c r="L27" s="223"/>
      <c r="M27" s="223"/>
      <c r="N27" s="223"/>
      <c r="O27" s="223"/>
      <c r="P27" s="106"/>
      <c r="Q27" s="236"/>
      <c r="R27" s="227"/>
      <c r="S27" s="227"/>
      <c r="T27" s="227"/>
      <c r="U27" s="227"/>
      <c r="V27" s="227"/>
      <c r="W27" s="227"/>
      <c r="X27" s="230"/>
    </row>
    <row r="28" spans="1:24">
      <c r="A28" s="224"/>
      <c r="B28" s="225"/>
      <c r="C28" s="210"/>
      <c r="D28" s="217"/>
      <c r="E28" s="218"/>
      <c r="F28" s="219"/>
      <c r="G28" s="223"/>
      <c r="H28" s="223"/>
      <c r="I28" s="223"/>
      <c r="J28" s="223"/>
      <c r="K28" s="223"/>
      <c r="L28" s="223"/>
      <c r="M28" s="223"/>
      <c r="N28" s="223"/>
      <c r="O28" s="223"/>
      <c r="P28" s="104"/>
      <c r="Q28" s="237"/>
      <c r="R28" s="228"/>
      <c r="S28" s="228"/>
      <c r="T28" s="228"/>
      <c r="U28" s="228"/>
      <c r="V28" s="228"/>
      <c r="W28" s="228"/>
      <c r="X28" s="231"/>
    </row>
    <row r="29" spans="1:24" ht="14" customHeight="1">
      <c r="A29" s="208"/>
      <c r="B29" s="209"/>
      <c r="C29" s="210"/>
      <c r="D29" s="211"/>
      <c r="E29" s="212"/>
      <c r="F29" s="213"/>
      <c r="G29" s="220"/>
      <c r="H29" s="220"/>
      <c r="I29" s="220"/>
      <c r="J29" s="220"/>
      <c r="K29" s="220"/>
      <c r="L29" s="220"/>
      <c r="M29" s="220"/>
      <c r="N29" s="220"/>
      <c r="O29" s="232"/>
      <c r="P29" s="105"/>
      <c r="Q29" s="248"/>
      <c r="R29" s="226"/>
      <c r="S29" s="226"/>
      <c r="T29" s="226"/>
      <c r="U29" s="226"/>
      <c r="V29" s="226"/>
      <c r="W29" s="226"/>
      <c r="X29" s="229"/>
    </row>
    <row r="30" spans="1:24">
      <c r="A30" s="221"/>
      <c r="B30" s="222"/>
      <c r="C30" s="210"/>
      <c r="D30" s="214"/>
      <c r="E30" s="215"/>
      <c r="F30" s="216"/>
      <c r="G30" s="220"/>
      <c r="H30" s="220"/>
      <c r="I30" s="220"/>
      <c r="J30" s="220"/>
      <c r="K30" s="220"/>
      <c r="L30" s="220"/>
      <c r="M30" s="220"/>
      <c r="N30" s="220"/>
      <c r="O30" s="233"/>
      <c r="P30" s="103"/>
      <c r="Q30" s="248"/>
      <c r="R30" s="227"/>
      <c r="S30" s="227"/>
      <c r="T30" s="227"/>
      <c r="U30" s="227"/>
      <c r="V30" s="227"/>
      <c r="W30" s="227"/>
      <c r="X30" s="230"/>
    </row>
    <row r="31" spans="1:24">
      <c r="A31" s="221"/>
      <c r="B31" s="222"/>
      <c r="C31" s="210"/>
      <c r="D31" s="214"/>
      <c r="E31" s="215"/>
      <c r="F31" s="216"/>
      <c r="G31" s="223"/>
      <c r="H31" s="223"/>
      <c r="I31" s="234"/>
      <c r="J31" s="234"/>
      <c r="K31" s="234"/>
      <c r="L31" s="234"/>
      <c r="M31" s="234"/>
      <c r="N31" s="234"/>
      <c r="O31" s="223"/>
      <c r="P31" s="106"/>
      <c r="Q31" s="236"/>
      <c r="R31" s="227"/>
      <c r="S31" s="227"/>
      <c r="T31" s="227"/>
      <c r="U31" s="227"/>
      <c r="V31" s="227"/>
      <c r="W31" s="227"/>
      <c r="X31" s="230"/>
    </row>
    <row r="32" spans="1:24">
      <c r="A32" s="224"/>
      <c r="B32" s="225"/>
      <c r="C32" s="210"/>
      <c r="D32" s="217"/>
      <c r="E32" s="218"/>
      <c r="F32" s="219"/>
      <c r="G32" s="223"/>
      <c r="H32" s="223"/>
      <c r="I32" s="235"/>
      <c r="J32" s="235"/>
      <c r="K32" s="235"/>
      <c r="L32" s="235"/>
      <c r="M32" s="235"/>
      <c r="N32" s="235"/>
      <c r="O32" s="223"/>
      <c r="P32" s="104"/>
      <c r="Q32" s="237"/>
      <c r="R32" s="228"/>
      <c r="S32" s="228"/>
      <c r="T32" s="228"/>
      <c r="U32" s="228"/>
      <c r="V32" s="228"/>
      <c r="W32" s="228"/>
      <c r="X32" s="231"/>
    </row>
    <row r="33" spans="1:24" ht="14" customHeight="1">
      <c r="A33" s="208"/>
      <c r="B33" s="209"/>
      <c r="C33" s="210"/>
      <c r="D33" s="211"/>
      <c r="E33" s="212"/>
      <c r="F33" s="213"/>
      <c r="G33" s="220"/>
      <c r="H33" s="220"/>
      <c r="I33" s="220"/>
      <c r="J33" s="220"/>
      <c r="K33" s="220"/>
      <c r="L33" s="220"/>
      <c r="M33" s="220"/>
      <c r="N33" s="220"/>
      <c r="O33" s="232"/>
      <c r="P33" s="105"/>
      <c r="Q33" s="248"/>
      <c r="R33" s="229"/>
      <c r="S33" s="226"/>
      <c r="T33" s="226"/>
      <c r="U33" s="226"/>
      <c r="V33" s="226"/>
      <c r="W33" s="226"/>
      <c r="X33" s="229"/>
    </row>
    <row r="34" spans="1:24">
      <c r="A34" s="221"/>
      <c r="B34" s="222"/>
      <c r="C34" s="210"/>
      <c r="D34" s="214"/>
      <c r="E34" s="215"/>
      <c r="F34" s="216"/>
      <c r="G34" s="220"/>
      <c r="H34" s="220"/>
      <c r="I34" s="220"/>
      <c r="J34" s="220"/>
      <c r="K34" s="220"/>
      <c r="L34" s="220"/>
      <c r="M34" s="220"/>
      <c r="N34" s="220"/>
      <c r="O34" s="233"/>
      <c r="P34" s="103"/>
      <c r="Q34" s="248"/>
      <c r="R34" s="230"/>
      <c r="S34" s="227"/>
      <c r="T34" s="227"/>
      <c r="U34" s="227"/>
      <c r="V34" s="227"/>
      <c r="W34" s="227"/>
      <c r="X34" s="230"/>
    </row>
    <row r="35" spans="1:24">
      <c r="A35" s="221"/>
      <c r="B35" s="222"/>
      <c r="C35" s="210"/>
      <c r="D35" s="214"/>
      <c r="E35" s="215"/>
      <c r="F35" s="216"/>
      <c r="G35" s="223"/>
      <c r="H35" s="223"/>
      <c r="I35" s="234"/>
      <c r="J35" s="234"/>
      <c r="K35" s="234"/>
      <c r="L35" s="234"/>
      <c r="M35" s="234"/>
      <c r="N35" s="234"/>
      <c r="O35" s="223"/>
      <c r="P35" s="106"/>
      <c r="Q35" s="236"/>
      <c r="R35" s="230"/>
      <c r="S35" s="227"/>
      <c r="T35" s="227"/>
      <c r="U35" s="227"/>
      <c r="V35" s="227"/>
      <c r="W35" s="227"/>
      <c r="X35" s="230"/>
    </row>
    <row r="36" spans="1:24">
      <c r="A36" s="224"/>
      <c r="B36" s="225"/>
      <c r="C36" s="210"/>
      <c r="D36" s="217"/>
      <c r="E36" s="218"/>
      <c r="F36" s="219"/>
      <c r="G36" s="223"/>
      <c r="H36" s="223"/>
      <c r="I36" s="235"/>
      <c r="J36" s="235"/>
      <c r="K36" s="235"/>
      <c r="L36" s="235"/>
      <c r="M36" s="235"/>
      <c r="N36" s="235"/>
      <c r="O36" s="223"/>
      <c r="P36" s="104"/>
      <c r="Q36" s="237"/>
      <c r="R36" s="231"/>
      <c r="S36" s="228"/>
      <c r="T36" s="228"/>
      <c r="U36" s="228"/>
      <c r="V36" s="228"/>
      <c r="W36" s="228"/>
      <c r="X36" s="231"/>
    </row>
    <row r="37" spans="1:24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</row>
    <row r="38" spans="1:24" ht="15.75" customHeight="1">
      <c r="A38" s="18" t="s">
        <v>58</v>
      </c>
      <c r="B38" s="101">
        <f>N10</f>
        <v>42442</v>
      </c>
      <c r="C38" s="20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 t="s">
        <v>82</v>
      </c>
      <c r="R38" s="18"/>
      <c r="S38" s="18"/>
      <c r="T38" s="18"/>
      <c r="U38" s="3"/>
      <c r="V38" s="3"/>
      <c r="W38" s="3"/>
    </row>
    <row r="39" spans="1:24" ht="18.75" customHeight="1">
      <c r="A39" s="29" t="s">
        <v>59</v>
      </c>
      <c r="B39" s="35" t="s">
        <v>83</v>
      </c>
      <c r="C39" s="31"/>
      <c r="D39" s="31"/>
      <c r="E39" s="31"/>
      <c r="F39" s="31"/>
      <c r="G39" s="31"/>
      <c r="H39" s="96" t="s">
        <v>75</v>
      </c>
      <c r="I39" s="96"/>
      <c r="J39" s="96"/>
      <c r="K39" s="27"/>
      <c r="L39" s="27"/>
      <c r="M39" s="25"/>
      <c r="N39" s="25"/>
      <c r="O39" s="25"/>
      <c r="P39" s="18"/>
      <c r="Q39" s="13" t="s">
        <v>90</v>
      </c>
      <c r="S39" s="18"/>
      <c r="T39" s="18"/>
      <c r="U39" s="3"/>
      <c r="V39" s="3"/>
      <c r="W39" s="3"/>
    </row>
    <row r="40" spans="1:24" ht="14.25" customHeight="1">
      <c r="A40" s="29"/>
      <c r="B40" s="21" t="s">
        <v>62</v>
      </c>
      <c r="C40" s="21"/>
      <c r="D40" s="21"/>
      <c r="E40" s="21"/>
      <c r="F40" s="31"/>
      <c r="G40" s="58"/>
      <c r="H40" s="21" t="s">
        <v>63</v>
      </c>
      <c r="I40" s="58"/>
      <c r="J40" s="21"/>
      <c r="K40" s="21"/>
      <c r="L40" s="24"/>
      <c r="M40" s="24"/>
      <c r="N40" s="24"/>
      <c r="O40" s="25"/>
      <c r="P40" s="17" t="s">
        <v>10</v>
      </c>
      <c r="R40" s="18"/>
      <c r="S40" s="18"/>
      <c r="T40" s="3"/>
      <c r="U40" s="3"/>
      <c r="V40" s="3"/>
    </row>
    <row r="41" spans="1:24" ht="12" customHeight="1">
      <c r="A41" s="17"/>
      <c r="F41" s="23"/>
      <c r="L41" s="95"/>
      <c r="M41" s="18"/>
      <c r="N41" s="18"/>
      <c r="O41" s="18"/>
      <c r="P41" s="18" t="s">
        <v>11</v>
      </c>
      <c r="R41" s="18"/>
      <c r="S41" s="18"/>
      <c r="T41" s="3"/>
      <c r="U41" s="3"/>
      <c r="V41" s="3"/>
    </row>
    <row r="42" spans="1:24" ht="12" customHeight="1">
      <c r="A42" s="17" t="s">
        <v>60</v>
      </c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 t="s">
        <v>12</v>
      </c>
      <c r="R42" s="18"/>
      <c r="S42" s="18"/>
      <c r="T42" s="3"/>
      <c r="U42" s="3"/>
      <c r="V42" s="3"/>
    </row>
    <row r="43" spans="1:24" ht="12" customHeight="1">
      <c r="A43" s="18"/>
      <c r="B43" s="18" t="s">
        <v>61</v>
      </c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25" t="s">
        <v>13</v>
      </c>
      <c r="R43" s="25"/>
      <c r="S43" s="25"/>
      <c r="T43" s="34"/>
      <c r="U43" s="34"/>
      <c r="V43" s="34"/>
    </row>
    <row r="44" spans="1:24" s="19" customFormat="1" ht="16.5" customHeight="1">
      <c r="A44" s="29"/>
      <c r="B44" s="25"/>
      <c r="C44" s="31" t="str">
        <f>C50</f>
        <v>Evankoff LLC</v>
      </c>
      <c r="D44" s="36"/>
      <c r="E44" s="36"/>
      <c r="F44" s="25"/>
      <c r="G44" s="25"/>
      <c r="H44" s="25"/>
      <c r="I44" s="25"/>
      <c r="J44" s="25"/>
      <c r="K44" s="25"/>
      <c r="L44" s="25"/>
      <c r="M44" s="25"/>
      <c r="N44" s="25"/>
      <c r="O44" s="25" t="s">
        <v>64</v>
      </c>
      <c r="P44" s="25"/>
    </row>
    <row r="45" spans="1:24">
      <c r="A45" s="24"/>
      <c r="B45" s="24"/>
      <c r="C45" s="24" t="s">
        <v>65</v>
      </c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5"/>
      <c r="P45" s="25"/>
      <c r="Q45" s="36" t="s">
        <v>16</v>
      </c>
      <c r="S45" s="19"/>
      <c r="T45" s="19"/>
      <c r="U45" s="19"/>
    </row>
    <row r="46" spans="1:24" s="19" customFormat="1" ht="15" thickBot="1">
      <c r="A46" s="31" t="s">
        <v>105</v>
      </c>
      <c r="B46" s="31"/>
      <c r="C46" s="31"/>
      <c r="D46" s="31"/>
      <c r="E46" s="31"/>
      <c r="F46" s="31"/>
      <c r="G46" s="25" t="s">
        <v>67</v>
      </c>
      <c r="H46" s="25"/>
      <c r="I46" s="25"/>
      <c r="J46" s="25"/>
      <c r="K46" s="25"/>
      <c r="L46" s="25"/>
      <c r="M46" s="25"/>
      <c r="N46" s="25"/>
      <c r="O46" s="25"/>
      <c r="P46" s="25"/>
      <c r="Q46" s="25"/>
    </row>
    <row r="47" spans="1:24">
      <c r="A47" s="24"/>
      <c r="B47" s="24" t="s">
        <v>66</v>
      </c>
      <c r="C47" s="24"/>
      <c r="D47" s="24"/>
      <c r="E47" s="24"/>
      <c r="F47" s="24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94"/>
      <c r="R47" s="70" t="s">
        <v>14</v>
      </c>
      <c r="S47" s="71"/>
      <c r="T47" s="72"/>
      <c r="U47" s="37"/>
      <c r="V47" s="73" t="s">
        <v>15</v>
      </c>
      <c r="W47" s="74" t="s">
        <v>93</v>
      </c>
      <c r="X47" s="75"/>
    </row>
    <row r="48" spans="1:24">
      <c r="A48" s="99">
        <f>H10</f>
        <v>42436</v>
      </c>
      <c r="B48" s="26" t="s">
        <v>68</v>
      </c>
      <c r="C48" s="244">
        <f>F7</f>
        <v>42442</v>
      </c>
      <c r="D48" s="244"/>
      <c r="E48" s="98"/>
      <c r="F48" s="33" t="s">
        <v>73</v>
      </c>
      <c r="J48" s="32"/>
      <c r="L48" s="25"/>
      <c r="M48" s="25"/>
      <c r="N48" s="25"/>
      <c r="O48" s="25"/>
      <c r="P48" s="25"/>
      <c r="Q48" s="76"/>
      <c r="R48" s="77"/>
      <c r="S48" s="77"/>
      <c r="T48" s="78"/>
      <c r="U48" s="79"/>
      <c r="V48" s="80"/>
      <c r="W48" s="80"/>
      <c r="X48" s="81"/>
    </row>
    <row r="49" spans="1:24" ht="14.25" customHeight="1" thickBot="1">
      <c r="A49" s="24" t="s">
        <v>74</v>
      </c>
      <c r="B49" s="25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5"/>
      <c r="Q49" s="82"/>
      <c r="R49" s="83"/>
      <c r="S49" s="83"/>
      <c r="T49" s="84"/>
      <c r="U49" s="85"/>
      <c r="V49" s="86"/>
      <c r="W49" s="86"/>
      <c r="X49" s="87"/>
    </row>
    <row r="50" spans="1:24" ht="18.75" customHeight="1">
      <c r="A50" s="25"/>
      <c r="B50" s="25"/>
      <c r="C50" s="31" t="str">
        <f>A5</f>
        <v>Evankoff LLC</v>
      </c>
      <c r="D50" s="25"/>
      <c r="E50" s="25"/>
      <c r="F50" s="25"/>
      <c r="G50" s="25"/>
      <c r="H50" s="25"/>
      <c r="I50" s="25"/>
      <c r="J50" s="25"/>
      <c r="K50" s="25"/>
      <c r="L50" s="25"/>
      <c r="M50" s="25" t="s">
        <v>69</v>
      </c>
      <c r="N50" s="25"/>
      <c r="O50" s="25"/>
      <c r="P50" s="25"/>
      <c r="Q50" s="107" t="s">
        <v>128</v>
      </c>
      <c r="R50" s="108"/>
      <c r="S50" s="240" t="s">
        <v>97</v>
      </c>
      <c r="T50" s="240"/>
      <c r="U50" s="240"/>
      <c r="V50" s="240"/>
      <c r="W50" s="240"/>
      <c r="X50" s="241"/>
    </row>
    <row r="51" spans="1:24">
      <c r="A51" s="24"/>
      <c r="B51" s="24"/>
      <c r="C51" s="24" t="s">
        <v>65</v>
      </c>
      <c r="D51" s="24"/>
      <c r="E51" s="24"/>
      <c r="F51" s="24"/>
      <c r="G51" s="24"/>
      <c r="H51" s="24"/>
      <c r="I51" s="24"/>
      <c r="J51" s="24"/>
      <c r="K51" s="24"/>
      <c r="L51" s="24"/>
      <c r="M51" s="25"/>
      <c r="N51" s="25"/>
      <c r="O51" s="25"/>
      <c r="P51" s="25"/>
      <c r="Q51" s="109" t="s">
        <v>127</v>
      </c>
      <c r="R51" s="110"/>
      <c r="S51" s="242"/>
      <c r="T51" s="242"/>
      <c r="U51" s="242"/>
      <c r="V51" s="242"/>
      <c r="W51" s="242"/>
      <c r="X51" s="243"/>
    </row>
    <row r="52" spans="1:24" ht="12.75" customHeight="1" thickBot="1">
      <c r="A52" s="25" t="s">
        <v>70</v>
      </c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39"/>
      <c r="R52" s="88"/>
      <c r="S52" s="88"/>
      <c r="T52" s="89"/>
      <c r="U52" s="41"/>
      <c r="V52" s="40"/>
      <c r="W52" s="40"/>
      <c r="X52" s="42"/>
    </row>
    <row r="53" spans="1:24" ht="12.75" customHeight="1">
      <c r="A53" s="25" t="s">
        <v>71</v>
      </c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107" t="s">
        <v>128</v>
      </c>
      <c r="R53" s="108"/>
      <c r="S53" s="240" t="s">
        <v>95</v>
      </c>
      <c r="T53" s="240"/>
      <c r="U53" s="240"/>
      <c r="V53" s="240"/>
      <c r="W53" s="240"/>
      <c r="X53" s="241"/>
    </row>
    <row r="54" spans="1:24" ht="12.75" customHeight="1">
      <c r="A54" s="25" t="s">
        <v>72</v>
      </c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109" t="s">
        <v>127</v>
      </c>
      <c r="R54" s="110"/>
      <c r="S54" s="242"/>
      <c r="T54" s="242"/>
      <c r="U54" s="242"/>
      <c r="V54" s="242"/>
      <c r="W54" s="242"/>
      <c r="X54" s="243"/>
    </row>
    <row r="55" spans="1:24" ht="12.75" customHeight="1" thickBot="1">
      <c r="A55" s="25" t="s">
        <v>0</v>
      </c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53"/>
      <c r="R55" s="54"/>
      <c r="S55" s="54"/>
      <c r="T55" s="54"/>
      <c r="U55" s="55"/>
      <c r="V55" s="10"/>
      <c r="W55" s="10"/>
      <c r="X55" s="56"/>
    </row>
    <row r="56" spans="1:24" ht="18" customHeight="1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48"/>
      <c r="R56" s="49"/>
      <c r="S56" s="49"/>
      <c r="T56" s="49"/>
      <c r="U56" s="50"/>
      <c r="V56" s="51"/>
      <c r="W56" s="51"/>
      <c r="X56" s="52"/>
    </row>
    <row r="57" spans="1:24" ht="18" customHeight="1" thickBot="1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5"/>
      <c r="Q57" s="53"/>
      <c r="R57" s="54"/>
      <c r="S57" s="54"/>
      <c r="T57" s="54"/>
      <c r="U57" s="55"/>
      <c r="V57" s="10"/>
      <c r="W57" s="10"/>
      <c r="X57" s="56"/>
    </row>
    <row r="58" spans="1:24" ht="18" customHeight="1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5"/>
      <c r="Q58" s="48"/>
      <c r="R58" s="49"/>
      <c r="S58" s="49"/>
      <c r="T58" s="49"/>
      <c r="U58" s="50"/>
      <c r="V58" s="51"/>
      <c r="W58" s="51"/>
      <c r="X58" s="52"/>
    </row>
    <row r="59" spans="1:24" ht="21" customHeight="1" thickBot="1">
      <c r="A59" s="24"/>
      <c r="B59" s="28" t="s">
        <v>2</v>
      </c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5"/>
      <c r="Q59" s="53"/>
      <c r="R59" s="54"/>
      <c r="S59" s="54"/>
      <c r="T59" s="54"/>
      <c r="U59" s="55"/>
      <c r="V59" s="10"/>
      <c r="W59" s="10"/>
      <c r="X59" s="56"/>
    </row>
    <row r="60" spans="1:24" ht="12" customHeight="1">
      <c r="A60" s="30" t="s">
        <v>3</v>
      </c>
      <c r="B60" s="30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5"/>
      <c r="Q60" s="48" t="s">
        <v>17</v>
      </c>
      <c r="R60" s="49"/>
      <c r="S60" s="49"/>
      <c r="T60" s="49"/>
      <c r="U60" s="49"/>
      <c r="V60" s="51"/>
      <c r="W60" s="51"/>
      <c r="X60" s="52"/>
    </row>
    <row r="61" spans="1:24" ht="12" customHeight="1">
      <c r="A61" s="27" t="s">
        <v>4</v>
      </c>
      <c r="B61" s="30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5"/>
      <c r="Q61" s="111" t="s">
        <v>96</v>
      </c>
      <c r="R61" s="44"/>
      <c r="S61" s="44"/>
      <c r="T61" s="44"/>
      <c r="U61" s="44"/>
      <c r="V61" s="46"/>
      <c r="W61" s="46"/>
      <c r="X61" s="47"/>
    </row>
    <row r="62" spans="1:24" ht="12" customHeight="1">
      <c r="A62" s="27" t="s">
        <v>5</v>
      </c>
      <c r="B62" s="30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5"/>
      <c r="Q62" s="121"/>
      <c r="R62" s="122"/>
      <c r="S62" s="44"/>
      <c r="T62" s="44"/>
      <c r="U62" s="44"/>
      <c r="V62" s="46"/>
      <c r="W62" s="46"/>
      <c r="X62" s="47"/>
    </row>
    <row r="63" spans="1:24" ht="12" customHeight="1">
      <c r="A63" s="27"/>
      <c r="B63" s="30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5"/>
      <c r="Q63" s="121"/>
      <c r="R63" s="122"/>
      <c r="S63" s="44"/>
      <c r="T63" s="44"/>
      <c r="U63" s="44"/>
      <c r="V63" s="46"/>
      <c r="W63" s="46"/>
      <c r="X63" s="47"/>
    </row>
    <row r="64" spans="1:24" ht="12" customHeight="1">
      <c r="A64" s="29" t="s">
        <v>7</v>
      </c>
      <c r="B64" s="29" t="s">
        <v>6</v>
      </c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121"/>
      <c r="R64" s="122"/>
      <c r="S64" s="44"/>
      <c r="T64" s="44"/>
      <c r="U64" s="44"/>
      <c r="V64" s="46"/>
      <c r="W64" s="46"/>
      <c r="X64" s="47"/>
    </row>
    <row r="65" spans="1:24" ht="12" customHeight="1">
      <c r="A65" s="25" t="s">
        <v>8</v>
      </c>
      <c r="B65" s="29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43"/>
      <c r="R65" s="44"/>
      <c r="S65" s="44"/>
      <c r="T65" s="44"/>
      <c r="U65" s="44"/>
      <c r="V65" s="46"/>
      <c r="W65" s="46"/>
      <c r="X65" s="47"/>
    </row>
    <row r="66" spans="1:24" ht="12" customHeight="1">
      <c r="A66" s="25" t="s">
        <v>9</v>
      </c>
      <c r="B66" s="29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43"/>
      <c r="R66" s="44"/>
      <c r="S66" s="44"/>
      <c r="T66" s="44"/>
      <c r="U66" s="44"/>
      <c r="V66" s="46"/>
      <c r="W66" s="46"/>
      <c r="X66" s="47"/>
    </row>
    <row r="67" spans="1:24" ht="12" customHeight="1" thickBot="1">
      <c r="A67" s="25"/>
      <c r="B67" s="29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53"/>
      <c r="R67" s="54"/>
      <c r="S67" s="54"/>
      <c r="T67" s="54"/>
      <c r="U67" s="54"/>
      <c r="V67" s="10"/>
      <c r="W67" s="10"/>
      <c r="X67" s="56"/>
    </row>
    <row r="68" spans="1:24" ht="12" customHeight="1">
      <c r="A68" s="25"/>
      <c r="B68" s="25" t="s">
        <v>57</v>
      </c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</row>
    <row r="69" spans="1:24" ht="12" customHeight="1">
      <c r="A69" s="25"/>
      <c r="B69" s="25" t="s">
        <v>1</v>
      </c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12" t="s">
        <v>50</v>
      </c>
      <c r="R69" s="22"/>
      <c r="S69" s="22"/>
      <c r="T69" s="67"/>
      <c r="U69" s="57" t="s">
        <v>51</v>
      </c>
      <c r="V69" s="58"/>
      <c r="W69" s="58"/>
      <c r="X69" s="59"/>
    </row>
    <row r="70" spans="1:24" ht="11.25" customHeight="1">
      <c r="A70" s="25"/>
      <c r="B70" s="25" t="s">
        <v>81</v>
      </c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63"/>
      <c r="T70" s="68"/>
      <c r="U70" s="61"/>
      <c r="V70" s="38"/>
      <c r="W70" s="38"/>
      <c r="X70" s="60"/>
    </row>
    <row r="71" spans="1:24" ht="13.5" customHeight="1">
      <c r="A71" s="25"/>
      <c r="B71" s="97" t="s">
        <v>80</v>
      </c>
      <c r="C71" s="29" t="s">
        <v>76</v>
      </c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93" t="str">
        <f>B39</f>
        <v>Eric Coffie</v>
      </c>
      <c r="R71" s="90"/>
      <c r="S71" s="90" t="str">
        <f>H39</f>
        <v>President</v>
      </c>
      <c r="T71" s="68"/>
      <c r="U71" s="61"/>
      <c r="V71" s="38"/>
      <c r="W71" s="38"/>
      <c r="X71" s="60"/>
    </row>
    <row r="72" spans="1:24" ht="10.5" customHeight="1">
      <c r="A72" s="19"/>
      <c r="B72" s="25"/>
      <c r="C72" s="25" t="s">
        <v>77</v>
      </c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19"/>
      <c r="Q72" s="91"/>
      <c r="R72" s="92"/>
      <c r="S72" s="92"/>
      <c r="T72" s="69"/>
      <c r="U72" s="62"/>
      <c r="V72" s="116"/>
      <c r="W72" s="116"/>
      <c r="X72" s="117"/>
    </row>
    <row r="73" spans="1:24" ht="10.5" customHeight="1">
      <c r="A73" s="19"/>
      <c r="B73" s="19"/>
      <c r="C73" s="25" t="s">
        <v>78</v>
      </c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</row>
    <row r="74" spans="1:24" ht="10.5" customHeight="1">
      <c r="B74" s="19"/>
      <c r="C74" s="25" t="s">
        <v>79</v>
      </c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Q74" s="64" t="s">
        <v>86</v>
      </c>
      <c r="R74" s="58"/>
      <c r="S74" s="58"/>
      <c r="T74" s="58"/>
      <c r="U74" s="58"/>
      <c r="V74" s="58"/>
      <c r="W74" s="58"/>
      <c r="X74" s="59"/>
    </row>
    <row r="75" spans="1:24" ht="10.5" customHeight="1">
      <c r="Q75" s="66" t="s">
        <v>87</v>
      </c>
      <c r="R75" s="38"/>
      <c r="S75" s="38"/>
      <c r="T75" s="38"/>
      <c r="U75" s="38"/>
      <c r="V75" s="38"/>
      <c r="W75" s="38"/>
      <c r="X75" s="60"/>
    </row>
    <row r="76" spans="1:24" ht="10.5" customHeight="1">
      <c r="Q76" s="66" t="s">
        <v>88</v>
      </c>
      <c r="R76" s="38"/>
      <c r="S76" s="38"/>
      <c r="T76" s="38"/>
      <c r="U76" s="38"/>
      <c r="V76" s="38"/>
      <c r="W76" s="38"/>
      <c r="X76" s="60"/>
    </row>
    <row r="77" spans="1:24" ht="10.5" customHeight="1">
      <c r="Q77" s="65" t="s">
        <v>89</v>
      </c>
      <c r="R77" s="116"/>
      <c r="S77" s="116"/>
      <c r="T77" s="116"/>
      <c r="U77" s="116"/>
      <c r="V77" s="116"/>
      <c r="W77" s="116"/>
      <c r="X77" s="117"/>
    </row>
  </sheetData>
  <mergeCells count="235">
    <mergeCell ref="A1:D3"/>
    <mergeCell ref="F1:U3"/>
    <mergeCell ref="A4:C4"/>
    <mergeCell ref="D4:G4"/>
    <mergeCell ref="H4:N4"/>
    <mergeCell ref="O4:V4"/>
    <mergeCell ref="W4:X5"/>
    <mergeCell ref="A5:N5"/>
    <mergeCell ref="O5:V5"/>
    <mergeCell ref="A6:D6"/>
    <mergeCell ref="F6:N6"/>
    <mergeCell ref="A7:D7"/>
    <mergeCell ref="F7:N7"/>
    <mergeCell ref="O7:S7"/>
    <mergeCell ref="T7:X7"/>
    <mergeCell ref="A8:B8"/>
    <mergeCell ref="D8:F8"/>
    <mergeCell ref="G8:G12"/>
    <mergeCell ref="H8:N8"/>
    <mergeCell ref="R8:W9"/>
    <mergeCell ref="X8:X12"/>
    <mergeCell ref="A9:B12"/>
    <mergeCell ref="C9:C12"/>
    <mergeCell ref="D9:F12"/>
    <mergeCell ref="O10:O12"/>
    <mergeCell ref="V10:V12"/>
    <mergeCell ref="W10:W12"/>
    <mergeCell ref="H12:N12"/>
    <mergeCell ref="R10:R12"/>
    <mergeCell ref="S10:S12"/>
    <mergeCell ref="T10:T12"/>
    <mergeCell ref="U10:U12"/>
    <mergeCell ref="A13:B13"/>
    <mergeCell ref="C13:C16"/>
    <mergeCell ref="D13:F16"/>
    <mergeCell ref="G13:G14"/>
    <mergeCell ref="H13:H14"/>
    <mergeCell ref="I13:I14"/>
    <mergeCell ref="J13:J14"/>
    <mergeCell ref="P10:P12"/>
    <mergeCell ref="Q10:Q12"/>
    <mergeCell ref="Q15:Q16"/>
    <mergeCell ref="A16:B16"/>
    <mergeCell ref="X13:X16"/>
    <mergeCell ref="A14:B14"/>
    <mergeCell ref="A15:B15"/>
    <mergeCell ref="G15:G16"/>
    <mergeCell ref="H15:H16"/>
    <mergeCell ref="I15:I16"/>
    <mergeCell ref="J15:J16"/>
    <mergeCell ref="K15:K16"/>
    <mergeCell ref="L15:L16"/>
    <mergeCell ref="M15:M16"/>
    <mergeCell ref="R13:R16"/>
    <mergeCell ref="S13:S16"/>
    <mergeCell ref="T13:T16"/>
    <mergeCell ref="U13:U16"/>
    <mergeCell ref="V13:V16"/>
    <mergeCell ref="W13:W16"/>
    <mergeCell ref="K13:K14"/>
    <mergeCell ref="L13:L14"/>
    <mergeCell ref="M13:M14"/>
    <mergeCell ref="N13:N14"/>
    <mergeCell ref="O13:O14"/>
    <mergeCell ref="Q13:Q14"/>
    <mergeCell ref="N15:N16"/>
    <mergeCell ref="O15:O16"/>
    <mergeCell ref="A17:B17"/>
    <mergeCell ref="C17:C20"/>
    <mergeCell ref="D17:F20"/>
    <mergeCell ref="G17:G18"/>
    <mergeCell ref="H17:H18"/>
    <mergeCell ref="I17:I18"/>
    <mergeCell ref="W17:W20"/>
    <mergeCell ref="X17:X20"/>
    <mergeCell ref="A18:B18"/>
    <mergeCell ref="A19:B19"/>
    <mergeCell ref="G19:G20"/>
    <mergeCell ref="H19:H20"/>
    <mergeCell ref="I19:I20"/>
    <mergeCell ref="J19:J20"/>
    <mergeCell ref="K19:K20"/>
    <mergeCell ref="L19:L20"/>
    <mergeCell ref="Q17:Q18"/>
    <mergeCell ref="R17:R20"/>
    <mergeCell ref="S17:S20"/>
    <mergeCell ref="T17:T20"/>
    <mergeCell ref="U17:U20"/>
    <mergeCell ref="V17:V20"/>
    <mergeCell ref="J17:J18"/>
    <mergeCell ref="K17:K18"/>
    <mergeCell ref="L17:L18"/>
    <mergeCell ref="M17:M18"/>
    <mergeCell ref="N17:N18"/>
    <mergeCell ref="O17:O18"/>
    <mergeCell ref="K21:K22"/>
    <mergeCell ref="L21:L22"/>
    <mergeCell ref="M21:M22"/>
    <mergeCell ref="N21:N22"/>
    <mergeCell ref="M19:M20"/>
    <mergeCell ref="N19:N20"/>
    <mergeCell ref="O19:O20"/>
    <mergeCell ref="Q19:Q20"/>
    <mergeCell ref="A20:B20"/>
    <mergeCell ref="A21:B21"/>
    <mergeCell ref="C21:C24"/>
    <mergeCell ref="D21:F24"/>
    <mergeCell ref="G21:G22"/>
    <mergeCell ref="H21:H22"/>
    <mergeCell ref="L23:L24"/>
    <mergeCell ref="M23:M24"/>
    <mergeCell ref="N23:N24"/>
    <mergeCell ref="O23:O24"/>
    <mergeCell ref="Q23:Q24"/>
    <mergeCell ref="A24:B24"/>
    <mergeCell ref="V21:V24"/>
    <mergeCell ref="W21:W24"/>
    <mergeCell ref="X21:X24"/>
    <mergeCell ref="A22:B22"/>
    <mergeCell ref="A23:B23"/>
    <mergeCell ref="G23:G24"/>
    <mergeCell ref="H23:H24"/>
    <mergeCell ref="I23:I24"/>
    <mergeCell ref="J23:J24"/>
    <mergeCell ref="K23:K24"/>
    <mergeCell ref="O21:O22"/>
    <mergeCell ref="Q21:Q22"/>
    <mergeCell ref="R21:R24"/>
    <mergeCell ref="S21:S24"/>
    <mergeCell ref="T21:T24"/>
    <mergeCell ref="U21:U24"/>
    <mergeCell ref="I21:I22"/>
    <mergeCell ref="J21:J22"/>
    <mergeCell ref="W25:W28"/>
    <mergeCell ref="X25:X28"/>
    <mergeCell ref="A26:B26"/>
    <mergeCell ref="A27:B27"/>
    <mergeCell ref="G27:G28"/>
    <mergeCell ref="H27:H28"/>
    <mergeCell ref="I27:I28"/>
    <mergeCell ref="J27:J28"/>
    <mergeCell ref="K27:K28"/>
    <mergeCell ref="L27:L28"/>
    <mergeCell ref="Q25:Q26"/>
    <mergeCell ref="R25:R28"/>
    <mergeCell ref="S25:S28"/>
    <mergeCell ref="T25:T28"/>
    <mergeCell ref="U25:U28"/>
    <mergeCell ref="V25:V28"/>
    <mergeCell ref="J25:J26"/>
    <mergeCell ref="K25:K26"/>
    <mergeCell ref="L25:L26"/>
    <mergeCell ref="M25:M26"/>
    <mergeCell ref="N25:N26"/>
    <mergeCell ref="O25:O26"/>
    <mergeCell ref="A25:B25"/>
    <mergeCell ref="C25:C28"/>
    <mergeCell ref="M27:M28"/>
    <mergeCell ref="N27:N28"/>
    <mergeCell ref="O27:O28"/>
    <mergeCell ref="Q27:Q28"/>
    <mergeCell ref="A28:B28"/>
    <mergeCell ref="A29:B29"/>
    <mergeCell ref="C29:C32"/>
    <mergeCell ref="D29:F32"/>
    <mergeCell ref="G29:G30"/>
    <mergeCell ref="H29:H30"/>
    <mergeCell ref="D25:F28"/>
    <mergeCell ref="G25:G26"/>
    <mergeCell ref="H25:H26"/>
    <mergeCell ref="I25:I26"/>
    <mergeCell ref="L31:L32"/>
    <mergeCell ref="M31:M32"/>
    <mergeCell ref="N31:N32"/>
    <mergeCell ref="O31:O32"/>
    <mergeCell ref="Q31:Q32"/>
    <mergeCell ref="A32:B32"/>
    <mergeCell ref="V29:V32"/>
    <mergeCell ref="W29:W32"/>
    <mergeCell ref="X29:X32"/>
    <mergeCell ref="A30:B30"/>
    <mergeCell ref="A31:B31"/>
    <mergeCell ref="G31:G32"/>
    <mergeCell ref="H31:H32"/>
    <mergeCell ref="I31:I32"/>
    <mergeCell ref="J31:J32"/>
    <mergeCell ref="K31:K32"/>
    <mergeCell ref="O29:O30"/>
    <mergeCell ref="Q29:Q30"/>
    <mergeCell ref="R29:R32"/>
    <mergeCell ref="S29:S32"/>
    <mergeCell ref="T29:T32"/>
    <mergeCell ref="U29:U32"/>
    <mergeCell ref="I29:I30"/>
    <mergeCell ref="J29:J30"/>
    <mergeCell ref="K29:K30"/>
    <mergeCell ref="L29:L30"/>
    <mergeCell ref="M29:M30"/>
    <mergeCell ref="N29:N30"/>
    <mergeCell ref="J33:J34"/>
    <mergeCell ref="K33:K34"/>
    <mergeCell ref="L33:L34"/>
    <mergeCell ref="M33:M34"/>
    <mergeCell ref="N33:N34"/>
    <mergeCell ref="O33:O34"/>
    <mergeCell ref="A33:B33"/>
    <mergeCell ref="C33:C36"/>
    <mergeCell ref="D33:F36"/>
    <mergeCell ref="G33:G34"/>
    <mergeCell ref="H33:H34"/>
    <mergeCell ref="I33:I34"/>
    <mergeCell ref="S50:X51"/>
    <mergeCell ref="S53:X54"/>
    <mergeCell ref="M35:M36"/>
    <mergeCell ref="N35:N36"/>
    <mergeCell ref="O35:O36"/>
    <mergeCell ref="Q35:Q36"/>
    <mergeCell ref="A36:B36"/>
    <mergeCell ref="C48:D48"/>
    <mergeCell ref="W33:W36"/>
    <mergeCell ref="X33:X36"/>
    <mergeCell ref="A34:B34"/>
    <mergeCell ref="A35:B35"/>
    <mergeCell ref="G35:G36"/>
    <mergeCell ref="H35:H36"/>
    <mergeCell ref="I35:I36"/>
    <mergeCell ref="J35:J36"/>
    <mergeCell ref="K35:K36"/>
    <mergeCell ref="L35:L36"/>
    <mergeCell ref="Q33:Q34"/>
    <mergeCell ref="R33:R36"/>
    <mergeCell ref="S33:S36"/>
    <mergeCell ref="T33:T36"/>
    <mergeCell ref="U33:U36"/>
    <mergeCell ref="V33:V36"/>
  </mergeCells>
  <phoneticPr fontId="11" type="noConversion"/>
  <pageMargins left="0.7" right="0.7" top="0.75" bottom="0.75" header="0.3" footer="0.3"/>
  <pageSetup scale="77" orientation="landscape" horizontalDpi="4294967292" verticalDpi="4294967292"/>
  <rowBreaks count="1" manualBreakCount="1">
    <brk id="36" max="16383" man="1"/>
  </rowBreaks>
  <colBreaks count="1" manualBreakCount="1">
    <brk id="24" max="1048575" man="1"/>
  </colBreaks>
  <extLst>
    <ext xmlns:mx="http://schemas.microsoft.com/office/mac/excel/2008/main" uri="{64002731-A6B0-56B0-2670-7721B7C09600}">
      <mx:PLV Mode="1" OnePage="0" WScale="77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77"/>
  <sheetViews>
    <sheetView view="pageLayout" zoomScaleNormal="125" zoomScalePageLayoutView="125" workbookViewId="0">
      <selection activeCell="S21" sqref="S21:S24"/>
    </sheetView>
  </sheetViews>
  <sheetFormatPr baseColWidth="10" defaultColWidth="8.83203125" defaultRowHeight="14" x14ac:dyDescent="0"/>
  <cols>
    <col min="1" max="1" width="10.33203125" customWidth="1"/>
    <col min="2" max="2" width="11.1640625" customWidth="1"/>
    <col min="3" max="3" width="5" customWidth="1"/>
    <col min="4" max="4" width="5.1640625" customWidth="1"/>
    <col min="5" max="5" width="4.6640625" customWidth="1"/>
    <col min="6" max="6" width="4.83203125" customWidth="1"/>
    <col min="7" max="7" width="3.6640625" customWidth="1"/>
    <col min="8" max="8" width="5" customWidth="1"/>
    <col min="9" max="9" width="4.6640625" customWidth="1"/>
    <col min="10" max="11" width="5.33203125" customWidth="1"/>
    <col min="12" max="12" width="4.83203125" customWidth="1"/>
    <col min="13" max="13" width="5.5" customWidth="1"/>
    <col min="14" max="14" width="5.1640625" customWidth="1"/>
    <col min="16" max="17" width="9.83203125" bestFit="1" customWidth="1"/>
    <col min="18" max="18" width="7.6640625" customWidth="1"/>
    <col min="19" max="19" width="9.5" customWidth="1"/>
    <col min="20" max="20" width="6" hidden="1" customWidth="1"/>
    <col min="21" max="21" width="4.33203125" hidden="1" customWidth="1"/>
    <col min="22" max="22" width="7.6640625" hidden="1" customWidth="1"/>
    <col min="23" max="23" width="9.33203125" customWidth="1"/>
    <col min="24" max="24" width="12.6640625" customWidth="1"/>
  </cols>
  <sheetData>
    <row r="1" spans="1:24" ht="15" customHeight="1">
      <c r="A1" s="149" t="s">
        <v>22</v>
      </c>
      <c r="B1" s="149"/>
      <c r="C1" s="149"/>
      <c r="D1" s="149"/>
      <c r="E1" s="134"/>
      <c r="F1" s="151" t="s">
        <v>55</v>
      </c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9"/>
      <c r="W1" s="9"/>
      <c r="X1" s="9"/>
    </row>
    <row r="2" spans="1:24">
      <c r="A2" s="149"/>
      <c r="B2" s="149"/>
      <c r="C2" s="149"/>
      <c r="D2" s="149"/>
      <c r="E2" s="134"/>
      <c r="F2" s="151"/>
      <c r="G2" s="151"/>
      <c r="H2" s="151"/>
      <c r="I2" s="151"/>
      <c r="J2" s="151"/>
      <c r="K2" s="151"/>
      <c r="L2" s="151"/>
      <c r="M2" s="151"/>
      <c r="N2" s="151"/>
      <c r="O2" s="151"/>
      <c r="P2" s="151"/>
      <c r="Q2" s="151"/>
      <c r="R2" s="151"/>
      <c r="S2" s="151"/>
      <c r="T2" s="151"/>
      <c r="U2" s="151"/>
      <c r="V2" s="9"/>
      <c r="W2" s="9"/>
      <c r="X2" s="9"/>
    </row>
    <row r="3" spans="1:24" ht="15" customHeight="1" thickBot="1">
      <c r="A3" s="150"/>
      <c r="B3" s="150"/>
      <c r="C3" s="150"/>
      <c r="D3" s="150"/>
      <c r="E3" s="135"/>
      <c r="F3" s="152"/>
      <c r="G3" s="152"/>
      <c r="H3" s="152"/>
      <c r="I3" s="152"/>
      <c r="J3" s="152"/>
      <c r="K3" s="152"/>
      <c r="L3" s="152"/>
      <c r="M3" s="152"/>
      <c r="N3" s="152"/>
      <c r="O3" s="152"/>
      <c r="P3" s="152"/>
      <c r="Q3" s="152"/>
      <c r="R3" s="152"/>
      <c r="S3" s="152"/>
      <c r="T3" s="152"/>
      <c r="U3" s="152"/>
      <c r="V3" s="10"/>
      <c r="W3" s="10"/>
      <c r="X3" s="10"/>
    </row>
    <row r="4" spans="1:24" s="11" customFormat="1">
      <c r="A4" s="153" t="s">
        <v>56</v>
      </c>
      <c r="B4" s="154"/>
      <c r="C4" s="154"/>
      <c r="D4" s="154" t="s">
        <v>52</v>
      </c>
      <c r="E4" s="154"/>
      <c r="F4" s="154"/>
      <c r="G4" s="154"/>
      <c r="H4" s="155"/>
      <c r="I4" s="155"/>
      <c r="J4" s="155"/>
      <c r="K4" s="155"/>
      <c r="L4" s="155"/>
      <c r="M4" s="155"/>
      <c r="N4" s="156"/>
      <c r="O4" s="157" t="s">
        <v>126</v>
      </c>
      <c r="P4" s="158"/>
      <c r="Q4" s="158"/>
      <c r="R4" s="158"/>
      <c r="S4" s="158"/>
      <c r="T4" s="158"/>
      <c r="U4" s="158"/>
      <c r="V4" s="158"/>
      <c r="W4" s="159"/>
      <c r="X4" s="160"/>
    </row>
    <row r="5" spans="1:24" s="1" customFormat="1" ht="12">
      <c r="A5" s="163" t="s">
        <v>125</v>
      </c>
      <c r="B5" s="164"/>
      <c r="C5" s="164"/>
      <c r="D5" s="164"/>
      <c r="E5" s="164"/>
      <c r="F5" s="164"/>
      <c r="G5" s="164"/>
      <c r="H5" s="164"/>
      <c r="I5" s="164"/>
      <c r="J5" s="164"/>
      <c r="K5" s="164"/>
      <c r="L5" s="164"/>
      <c r="M5" s="164"/>
      <c r="N5" s="165"/>
      <c r="O5" s="166" t="s">
        <v>108</v>
      </c>
      <c r="P5" s="167"/>
      <c r="Q5" s="167"/>
      <c r="R5" s="167"/>
      <c r="S5" s="167"/>
      <c r="T5" s="167"/>
      <c r="U5" s="167"/>
      <c r="V5" s="167"/>
      <c r="W5" s="161"/>
      <c r="X5" s="162"/>
    </row>
    <row r="6" spans="1:24" s="13" customFormat="1" ht="11">
      <c r="A6" s="168" t="s">
        <v>18</v>
      </c>
      <c r="B6" s="169"/>
      <c r="C6" s="169"/>
      <c r="D6" s="170"/>
      <c r="E6" s="115"/>
      <c r="F6" s="168" t="s">
        <v>19</v>
      </c>
      <c r="G6" s="169"/>
      <c r="H6" s="169"/>
      <c r="I6" s="169"/>
      <c r="J6" s="169"/>
      <c r="K6" s="169"/>
      <c r="L6" s="169"/>
      <c r="M6" s="169"/>
      <c r="N6" s="170"/>
      <c r="O6" s="102" t="s">
        <v>20</v>
      </c>
      <c r="P6" s="15"/>
      <c r="Q6" s="15"/>
      <c r="R6" s="15"/>
      <c r="S6" s="102" t="s">
        <v>91</v>
      </c>
      <c r="T6" s="15" t="s">
        <v>21</v>
      </c>
      <c r="U6" s="15"/>
      <c r="V6" s="15"/>
      <c r="X6" s="16"/>
    </row>
    <row r="7" spans="1:24" s="1" customFormat="1" ht="16.5" customHeight="1">
      <c r="A7" s="171">
        <v>10</v>
      </c>
      <c r="B7" s="172"/>
      <c r="C7" s="172"/>
      <c r="D7" s="173"/>
      <c r="E7" s="136"/>
      <c r="F7" s="174">
        <v>42449</v>
      </c>
      <c r="G7" s="175"/>
      <c r="H7" s="175"/>
      <c r="I7" s="175"/>
      <c r="J7" s="175"/>
      <c r="K7" s="175"/>
      <c r="L7" s="175"/>
      <c r="M7" s="175"/>
      <c r="N7" s="176"/>
      <c r="O7" s="166" t="s">
        <v>107</v>
      </c>
      <c r="P7" s="167"/>
      <c r="Q7" s="167"/>
      <c r="R7" s="167"/>
      <c r="S7" s="167"/>
      <c r="T7" s="167" t="s">
        <v>109</v>
      </c>
      <c r="U7" s="167"/>
      <c r="V7" s="167"/>
      <c r="W7" s="167"/>
      <c r="X7" s="177"/>
    </row>
    <row r="8" spans="1:24" s="2" customFormat="1" ht="11.25" customHeight="1">
      <c r="A8" s="178" t="s">
        <v>23</v>
      </c>
      <c r="B8" s="179"/>
      <c r="C8" s="7" t="s">
        <v>24</v>
      </c>
      <c r="D8" s="178" t="s">
        <v>25</v>
      </c>
      <c r="E8" s="180"/>
      <c r="F8" s="179"/>
      <c r="G8" s="181" t="s">
        <v>29</v>
      </c>
      <c r="H8" s="184" t="s">
        <v>54</v>
      </c>
      <c r="I8" s="185"/>
      <c r="J8" s="185"/>
      <c r="K8" s="185"/>
      <c r="L8" s="185"/>
      <c r="M8" s="185"/>
      <c r="N8" s="186"/>
      <c r="O8" s="7" t="s">
        <v>30</v>
      </c>
      <c r="P8" s="7" t="s">
        <v>31</v>
      </c>
      <c r="Q8" s="7" t="s">
        <v>32</v>
      </c>
      <c r="R8" s="187" t="s">
        <v>33</v>
      </c>
      <c r="S8" s="187"/>
      <c r="T8" s="187"/>
      <c r="U8" s="187"/>
      <c r="V8" s="187"/>
      <c r="W8" s="187"/>
      <c r="X8" s="187" t="s">
        <v>53</v>
      </c>
    </row>
    <row r="9" spans="1:24" ht="17.25" customHeight="1">
      <c r="A9" s="188" t="s">
        <v>26</v>
      </c>
      <c r="B9" s="189"/>
      <c r="C9" s="192" t="s">
        <v>27</v>
      </c>
      <c r="D9" s="194" t="s">
        <v>28</v>
      </c>
      <c r="E9" s="195"/>
      <c r="F9" s="196"/>
      <c r="G9" s="182"/>
      <c r="H9" s="132" t="s">
        <v>36</v>
      </c>
      <c r="I9" s="133" t="s">
        <v>37</v>
      </c>
      <c r="J9" s="133" t="s">
        <v>38</v>
      </c>
      <c r="K9" s="133" t="s">
        <v>111</v>
      </c>
      <c r="L9" s="133" t="s">
        <v>39</v>
      </c>
      <c r="M9" s="133" t="s">
        <v>41</v>
      </c>
      <c r="N9" s="133" t="s">
        <v>42</v>
      </c>
      <c r="O9" s="6"/>
      <c r="P9" s="8"/>
      <c r="Q9" s="8"/>
      <c r="R9" s="187"/>
      <c r="S9" s="187"/>
      <c r="T9" s="187"/>
      <c r="U9" s="187"/>
      <c r="V9" s="187"/>
      <c r="W9" s="187"/>
      <c r="X9" s="187"/>
    </row>
    <row r="10" spans="1:24" ht="19.5" customHeight="1">
      <c r="A10" s="188"/>
      <c r="B10" s="189"/>
      <c r="C10" s="192"/>
      <c r="D10" s="194"/>
      <c r="E10" s="195"/>
      <c r="F10" s="196"/>
      <c r="G10" s="182"/>
      <c r="H10" s="100">
        <f t="shared" ref="H10:L10" si="0">I10-1</f>
        <v>42443</v>
      </c>
      <c r="I10" s="100">
        <f t="shared" si="0"/>
        <v>42444</v>
      </c>
      <c r="J10" s="100">
        <f t="shared" si="0"/>
        <v>42445</v>
      </c>
      <c r="K10" s="100">
        <f t="shared" si="0"/>
        <v>42446</v>
      </c>
      <c r="L10" s="100">
        <f t="shared" si="0"/>
        <v>42447</v>
      </c>
      <c r="M10" s="100">
        <f>N10-1</f>
        <v>42448</v>
      </c>
      <c r="N10" s="100">
        <f>F7</f>
        <v>42449</v>
      </c>
      <c r="O10" s="200" t="s">
        <v>46</v>
      </c>
      <c r="P10" s="200" t="s">
        <v>47</v>
      </c>
      <c r="Q10" s="200" t="s">
        <v>48</v>
      </c>
      <c r="R10" s="206" t="s">
        <v>44</v>
      </c>
      <c r="S10" s="206" t="s">
        <v>45</v>
      </c>
      <c r="T10" s="207"/>
      <c r="U10" s="207"/>
      <c r="V10" s="202" t="s">
        <v>35</v>
      </c>
      <c r="W10" s="203" t="s">
        <v>34</v>
      </c>
      <c r="X10" s="187"/>
    </row>
    <row r="11" spans="1:24" ht="18.75" hidden="1" customHeight="1">
      <c r="A11" s="188"/>
      <c r="B11" s="189"/>
      <c r="C11" s="192"/>
      <c r="D11" s="194"/>
      <c r="E11" s="195"/>
      <c r="F11" s="196"/>
      <c r="G11" s="182"/>
      <c r="H11" s="5"/>
      <c r="I11" s="4"/>
      <c r="J11" s="4"/>
      <c r="K11" s="4"/>
      <c r="L11" s="4"/>
      <c r="M11" s="4"/>
      <c r="N11" s="4"/>
      <c r="O11" s="200"/>
      <c r="P11" s="200"/>
      <c r="Q11" s="200"/>
      <c r="R11" s="206"/>
      <c r="S11" s="206"/>
      <c r="T11" s="207"/>
      <c r="U11" s="207"/>
      <c r="V11" s="202"/>
      <c r="W11" s="203"/>
      <c r="X11" s="187"/>
    </row>
    <row r="12" spans="1:24">
      <c r="A12" s="190"/>
      <c r="B12" s="191"/>
      <c r="C12" s="193"/>
      <c r="D12" s="197"/>
      <c r="E12" s="198"/>
      <c r="F12" s="199"/>
      <c r="G12" s="183"/>
      <c r="H12" s="204" t="s">
        <v>43</v>
      </c>
      <c r="I12" s="204"/>
      <c r="J12" s="204"/>
      <c r="K12" s="204"/>
      <c r="L12" s="204"/>
      <c r="M12" s="204"/>
      <c r="N12" s="205"/>
      <c r="O12" s="201"/>
      <c r="P12" s="201"/>
      <c r="Q12" s="201"/>
      <c r="R12" s="206"/>
      <c r="S12" s="206"/>
      <c r="T12" s="207"/>
      <c r="U12" s="207"/>
      <c r="V12" s="202"/>
      <c r="W12" s="203"/>
      <c r="X12" s="187"/>
    </row>
    <row r="13" spans="1:24" ht="15" customHeight="1">
      <c r="A13" s="208" t="s">
        <v>98</v>
      </c>
      <c r="B13" s="209"/>
      <c r="C13" s="210">
        <v>2</v>
      </c>
      <c r="D13" s="249" t="s">
        <v>123</v>
      </c>
      <c r="E13" s="250"/>
      <c r="F13" s="251"/>
      <c r="G13" s="220" t="s">
        <v>49</v>
      </c>
      <c r="H13" s="220"/>
      <c r="I13" s="220"/>
      <c r="J13" s="220"/>
      <c r="K13" s="220"/>
      <c r="L13" s="220"/>
      <c r="M13" s="220"/>
      <c r="N13" s="220"/>
      <c r="O13" s="232">
        <f>SUM(H13:N14)</f>
        <v>0</v>
      </c>
      <c r="P13" s="105" t="s">
        <v>110</v>
      </c>
      <c r="Q13" s="238">
        <f>P14*O13</f>
        <v>0</v>
      </c>
      <c r="R13" s="226">
        <v>31.54</v>
      </c>
      <c r="S13" s="226">
        <f>29.07+6.79+9.45</f>
        <v>45.31</v>
      </c>
      <c r="T13" s="226"/>
      <c r="U13" s="226"/>
      <c r="V13" s="226"/>
      <c r="W13" s="226">
        <f>S13+R13</f>
        <v>76.849999999999994</v>
      </c>
      <c r="X13" s="229">
        <f>Q15-W13+Q13</f>
        <v>391.9</v>
      </c>
    </row>
    <row r="14" spans="1:24">
      <c r="A14" s="221" t="s">
        <v>103</v>
      </c>
      <c r="B14" s="222"/>
      <c r="C14" s="210"/>
      <c r="D14" s="252"/>
      <c r="E14" s="253"/>
      <c r="F14" s="254"/>
      <c r="G14" s="220"/>
      <c r="H14" s="220"/>
      <c r="I14" s="220"/>
      <c r="J14" s="220"/>
      <c r="K14" s="220"/>
      <c r="L14" s="220"/>
      <c r="M14" s="220"/>
      <c r="N14" s="220"/>
      <c r="O14" s="233"/>
      <c r="P14" s="103">
        <f>P16/2+P16</f>
        <v>22.5</v>
      </c>
      <c r="Q14" s="239"/>
      <c r="R14" s="227"/>
      <c r="S14" s="227"/>
      <c r="T14" s="227"/>
      <c r="U14" s="227"/>
      <c r="V14" s="227"/>
      <c r="W14" s="227"/>
      <c r="X14" s="230"/>
    </row>
    <row r="15" spans="1:24">
      <c r="A15" s="261"/>
      <c r="B15" s="262"/>
      <c r="C15" s="210"/>
      <c r="D15" s="252"/>
      <c r="E15" s="253"/>
      <c r="F15" s="254"/>
      <c r="G15" s="223" t="s">
        <v>40</v>
      </c>
      <c r="H15" s="223">
        <v>9</v>
      </c>
      <c r="I15" s="223">
        <v>0</v>
      </c>
      <c r="J15" s="223">
        <v>8.75</v>
      </c>
      <c r="K15" s="223">
        <v>9.25</v>
      </c>
      <c r="L15" s="223">
        <v>4.25</v>
      </c>
      <c r="M15" s="223">
        <v>0</v>
      </c>
      <c r="N15" s="223">
        <v>0</v>
      </c>
      <c r="O15" s="234">
        <f>SUM(H15:N16)</f>
        <v>31.25</v>
      </c>
      <c r="P15" s="106" t="s">
        <v>110</v>
      </c>
      <c r="Q15" s="236">
        <f>P16*O15</f>
        <v>468.75</v>
      </c>
      <c r="R15" s="227"/>
      <c r="S15" s="227"/>
      <c r="T15" s="227"/>
      <c r="U15" s="227"/>
      <c r="V15" s="227"/>
      <c r="W15" s="227"/>
      <c r="X15" s="230"/>
    </row>
    <row r="16" spans="1:24">
      <c r="A16" s="224"/>
      <c r="B16" s="225"/>
      <c r="C16" s="210"/>
      <c r="D16" s="255"/>
      <c r="E16" s="256"/>
      <c r="F16" s="257"/>
      <c r="G16" s="223"/>
      <c r="H16" s="223"/>
      <c r="I16" s="223"/>
      <c r="J16" s="223"/>
      <c r="K16" s="223"/>
      <c r="L16" s="223"/>
      <c r="M16" s="223"/>
      <c r="N16" s="223"/>
      <c r="O16" s="235"/>
      <c r="P16" s="104">
        <v>15</v>
      </c>
      <c r="Q16" s="237"/>
      <c r="R16" s="228"/>
      <c r="S16" s="228"/>
      <c r="T16" s="228"/>
      <c r="U16" s="228"/>
      <c r="V16" s="228"/>
      <c r="W16" s="228"/>
      <c r="X16" s="231"/>
    </row>
    <row r="17" spans="1:24" ht="15" customHeight="1">
      <c r="A17" s="208" t="s">
        <v>99</v>
      </c>
      <c r="B17" s="209"/>
      <c r="C17" s="210">
        <v>2</v>
      </c>
      <c r="D17" s="249" t="s">
        <v>123</v>
      </c>
      <c r="E17" s="250"/>
      <c r="F17" s="251"/>
      <c r="G17" s="220" t="s">
        <v>49</v>
      </c>
      <c r="H17" s="220"/>
      <c r="I17" s="220"/>
      <c r="J17" s="220"/>
      <c r="K17" s="220"/>
      <c r="L17" s="220"/>
      <c r="M17" s="220"/>
      <c r="N17" s="220"/>
      <c r="O17" s="232">
        <f>SUM(H17:N18)</f>
        <v>0</v>
      </c>
      <c r="P17" s="105" t="s">
        <v>110</v>
      </c>
      <c r="Q17" s="238">
        <f>P18*O17</f>
        <v>0</v>
      </c>
      <c r="R17" s="226">
        <v>0</v>
      </c>
      <c r="S17" s="226">
        <v>16.29</v>
      </c>
      <c r="T17" s="226"/>
      <c r="U17" s="226"/>
      <c r="V17" s="226"/>
      <c r="W17" s="226">
        <f>S17+R17</f>
        <v>16.29</v>
      </c>
      <c r="X17" s="229">
        <f>Q19-W17</f>
        <v>178.71</v>
      </c>
    </row>
    <row r="18" spans="1:24">
      <c r="A18" s="221" t="s">
        <v>102</v>
      </c>
      <c r="B18" s="222"/>
      <c r="C18" s="210"/>
      <c r="D18" s="252"/>
      <c r="E18" s="253"/>
      <c r="F18" s="254"/>
      <c r="G18" s="220"/>
      <c r="H18" s="220"/>
      <c r="I18" s="220"/>
      <c r="J18" s="220"/>
      <c r="K18" s="220"/>
      <c r="L18" s="220"/>
      <c r="M18" s="220"/>
      <c r="N18" s="220"/>
      <c r="O18" s="233"/>
      <c r="P18" s="103">
        <f>P20/2+P20</f>
        <v>22.5</v>
      </c>
      <c r="Q18" s="239"/>
      <c r="R18" s="227"/>
      <c r="S18" s="227"/>
      <c r="T18" s="227"/>
      <c r="U18" s="227"/>
      <c r="V18" s="227"/>
      <c r="W18" s="227"/>
      <c r="X18" s="230"/>
    </row>
    <row r="19" spans="1:24">
      <c r="A19" s="261"/>
      <c r="B19" s="262"/>
      <c r="C19" s="210"/>
      <c r="D19" s="252"/>
      <c r="E19" s="253"/>
      <c r="F19" s="254"/>
      <c r="G19" s="223" t="s">
        <v>40</v>
      </c>
      <c r="H19" s="223">
        <v>0</v>
      </c>
      <c r="I19" s="223">
        <v>2</v>
      </c>
      <c r="J19" s="223">
        <v>4.75</v>
      </c>
      <c r="K19" s="223">
        <v>6.25</v>
      </c>
      <c r="L19" s="223">
        <v>0</v>
      </c>
      <c r="M19" s="223">
        <v>0</v>
      </c>
      <c r="N19" s="223">
        <v>0</v>
      </c>
      <c r="O19" s="223">
        <f>SUM(H19:N20)</f>
        <v>13</v>
      </c>
      <c r="P19" s="106" t="s">
        <v>110</v>
      </c>
      <c r="Q19" s="236">
        <f>P20*O19</f>
        <v>195</v>
      </c>
      <c r="R19" s="227"/>
      <c r="S19" s="227"/>
      <c r="T19" s="227"/>
      <c r="U19" s="227"/>
      <c r="V19" s="227"/>
      <c r="W19" s="227"/>
      <c r="X19" s="230"/>
    </row>
    <row r="20" spans="1:24">
      <c r="A20" s="224"/>
      <c r="B20" s="225"/>
      <c r="C20" s="210"/>
      <c r="D20" s="255"/>
      <c r="E20" s="256"/>
      <c r="F20" s="257"/>
      <c r="G20" s="223"/>
      <c r="H20" s="223"/>
      <c r="I20" s="223"/>
      <c r="J20" s="223"/>
      <c r="K20" s="223"/>
      <c r="L20" s="223"/>
      <c r="M20" s="223"/>
      <c r="N20" s="223"/>
      <c r="O20" s="223"/>
      <c r="P20" s="104">
        <v>15</v>
      </c>
      <c r="Q20" s="237"/>
      <c r="R20" s="228"/>
      <c r="S20" s="228"/>
      <c r="T20" s="228"/>
      <c r="U20" s="228"/>
      <c r="V20" s="228"/>
      <c r="W20" s="228"/>
      <c r="X20" s="231"/>
    </row>
    <row r="21" spans="1:24" ht="14" customHeight="1">
      <c r="A21" s="208"/>
      <c r="B21" s="209"/>
      <c r="C21" s="210"/>
      <c r="D21" s="211"/>
      <c r="E21" s="212"/>
      <c r="F21" s="213"/>
      <c r="G21" s="220"/>
      <c r="H21" s="220"/>
      <c r="I21" s="220"/>
      <c r="J21" s="220"/>
      <c r="K21" s="220"/>
      <c r="L21" s="220"/>
      <c r="M21" s="220"/>
      <c r="N21" s="220"/>
      <c r="O21" s="232"/>
      <c r="P21" s="105"/>
      <c r="Q21" s="238"/>
      <c r="R21" s="226"/>
      <c r="S21" s="226"/>
      <c r="T21" s="226"/>
      <c r="U21" s="226"/>
      <c r="V21" s="226"/>
      <c r="W21" s="226"/>
      <c r="X21" s="229"/>
    </row>
    <row r="22" spans="1:24">
      <c r="A22" s="221"/>
      <c r="B22" s="222"/>
      <c r="C22" s="210"/>
      <c r="D22" s="214"/>
      <c r="E22" s="215"/>
      <c r="F22" s="216"/>
      <c r="G22" s="220"/>
      <c r="H22" s="220"/>
      <c r="I22" s="220"/>
      <c r="J22" s="220"/>
      <c r="K22" s="220"/>
      <c r="L22" s="220"/>
      <c r="M22" s="220"/>
      <c r="N22" s="220"/>
      <c r="O22" s="233"/>
      <c r="P22" s="103"/>
      <c r="Q22" s="239"/>
      <c r="R22" s="227"/>
      <c r="S22" s="227"/>
      <c r="T22" s="227"/>
      <c r="U22" s="227"/>
      <c r="V22" s="227"/>
      <c r="W22" s="227"/>
      <c r="X22" s="230"/>
    </row>
    <row r="23" spans="1:24">
      <c r="A23" s="221"/>
      <c r="B23" s="222"/>
      <c r="C23" s="210"/>
      <c r="D23" s="214"/>
      <c r="E23" s="215"/>
      <c r="F23" s="216"/>
      <c r="G23" s="223"/>
      <c r="H23" s="223"/>
      <c r="I23" s="223"/>
      <c r="J23" s="223"/>
      <c r="K23" s="223"/>
      <c r="L23" s="223"/>
      <c r="M23" s="223"/>
      <c r="N23" s="223"/>
      <c r="O23" s="223"/>
      <c r="P23" s="106"/>
      <c r="Q23" s="236"/>
      <c r="R23" s="227"/>
      <c r="S23" s="227"/>
      <c r="T23" s="227"/>
      <c r="U23" s="227"/>
      <c r="V23" s="227"/>
      <c r="W23" s="227"/>
      <c r="X23" s="230"/>
    </row>
    <row r="24" spans="1:24">
      <c r="A24" s="224"/>
      <c r="B24" s="225"/>
      <c r="C24" s="210"/>
      <c r="D24" s="217"/>
      <c r="E24" s="218"/>
      <c r="F24" s="219"/>
      <c r="G24" s="223"/>
      <c r="H24" s="223"/>
      <c r="I24" s="223"/>
      <c r="J24" s="223"/>
      <c r="K24" s="223"/>
      <c r="L24" s="223"/>
      <c r="M24" s="223"/>
      <c r="N24" s="223"/>
      <c r="O24" s="223"/>
      <c r="P24" s="104"/>
      <c r="Q24" s="237"/>
      <c r="R24" s="228"/>
      <c r="S24" s="228"/>
      <c r="T24" s="228"/>
      <c r="U24" s="228"/>
      <c r="V24" s="228"/>
      <c r="W24" s="228"/>
      <c r="X24" s="231"/>
    </row>
    <row r="25" spans="1:24" ht="14" customHeight="1">
      <c r="A25" s="208"/>
      <c r="B25" s="209"/>
      <c r="C25" s="210"/>
      <c r="D25" s="211"/>
      <c r="E25" s="212"/>
      <c r="F25" s="213"/>
      <c r="G25" s="220"/>
      <c r="H25" s="220"/>
      <c r="I25" s="220"/>
      <c r="J25" s="220"/>
      <c r="K25" s="220"/>
      <c r="L25" s="220"/>
      <c r="M25" s="220"/>
      <c r="N25" s="220"/>
      <c r="O25" s="232"/>
      <c r="P25" s="105"/>
      <c r="Q25" s="248"/>
      <c r="R25" s="226"/>
      <c r="S25" s="226"/>
      <c r="T25" s="226"/>
      <c r="U25" s="226"/>
      <c r="V25" s="226"/>
      <c r="W25" s="226"/>
      <c r="X25" s="229"/>
    </row>
    <row r="26" spans="1:24">
      <c r="A26" s="221"/>
      <c r="B26" s="222"/>
      <c r="C26" s="210"/>
      <c r="D26" s="214"/>
      <c r="E26" s="215"/>
      <c r="F26" s="216"/>
      <c r="G26" s="220"/>
      <c r="H26" s="220"/>
      <c r="I26" s="220"/>
      <c r="J26" s="220"/>
      <c r="K26" s="220"/>
      <c r="L26" s="220"/>
      <c r="M26" s="220"/>
      <c r="N26" s="220"/>
      <c r="O26" s="233"/>
      <c r="P26" s="103"/>
      <c r="Q26" s="248"/>
      <c r="R26" s="227"/>
      <c r="S26" s="227"/>
      <c r="T26" s="227"/>
      <c r="U26" s="227"/>
      <c r="V26" s="227"/>
      <c r="W26" s="227"/>
      <c r="X26" s="230"/>
    </row>
    <row r="27" spans="1:24">
      <c r="A27" s="221"/>
      <c r="B27" s="222"/>
      <c r="C27" s="210"/>
      <c r="D27" s="214"/>
      <c r="E27" s="215"/>
      <c r="F27" s="216"/>
      <c r="G27" s="223"/>
      <c r="H27" s="223"/>
      <c r="I27" s="223"/>
      <c r="J27" s="223"/>
      <c r="K27" s="223"/>
      <c r="L27" s="223"/>
      <c r="M27" s="223"/>
      <c r="N27" s="223"/>
      <c r="O27" s="223"/>
      <c r="P27" s="106"/>
      <c r="Q27" s="236"/>
      <c r="R27" s="227"/>
      <c r="S27" s="227"/>
      <c r="T27" s="227"/>
      <c r="U27" s="227"/>
      <c r="V27" s="227"/>
      <c r="W27" s="227"/>
      <c r="X27" s="230"/>
    </row>
    <row r="28" spans="1:24">
      <c r="A28" s="224"/>
      <c r="B28" s="225"/>
      <c r="C28" s="210"/>
      <c r="D28" s="217"/>
      <c r="E28" s="218"/>
      <c r="F28" s="219"/>
      <c r="G28" s="223"/>
      <c r="H28" s="223"/>
      <c r="I28" s="223"/>
      <c r="J28" s="223"/>
      <c r="K28" s="223"/>
      <c r="L28" s="223"/>
      <c r="M28" s="223"/>
      <c r="N28" s="223"/>
      <c r="O28" s="223"/>
      <c r="P28" s="104"/>
      <c r="Q28" s="237"/>
      <c r="R28" s="228"/>
      <c r="S28" s="228"/>
      <c r="T28" s="228"/>
      <c r="U28" s="228"/>
      <c r="V28" s="228"/>
      <c r="W28" s="228"/>
      <c r="X28" s="231"/>
    </row>
    <row r="29" spans="1:24" ht="14" customHeight="1">
      <c r="A29" s="208"/>
      <c r="B29" s="209"/>
      <c r="C29" s="210"/>
      <c r="D29" s="211"/>
      <c r="E29" s="212"/>
      <c r="F29" s="213"/>
      <c r="G29" s="220"/>
      <c r="H29" s="220"/>
      <c r="I29" s="220"/>
      <c r="J29" s="220"/>
      <c r="K29" s="220"/>
      <c r="L29" s="220"/>
      <c r="M29" s="220"/>
      <c r="N29" s="220"/>
      <c r="O29" s="232"/>
      <c r="P29" s="105"/>
      <c r="Q29" s="248"/>
      <c r="R29" s="226"/>
      <c r="S29" s="226"/>
      <c r="T29" s="226"/>
      <c r="U29" s="226"/>
      <c r="V29" s="226"/>
      <c r="W29" s="226"/>
      <c r="X29" s="229"/>
    </row>
    <row r="30" spans="1:24">
      <c r="A30" s="221"/>
      <c r="B30" s="222"/>
      <c r="C30" s="210"/>
      <c r="D30" s="214"/>
      <c r="E30" s="215"/>
      <c r="F30" s="216"/>
      <c r="G30" s="220"/>
      <c r="H30" s="220"/>
      <c r="I30" s="220"/>
      <c r="J30" s="220"/>
      <c r="K30" s="220"/>
      <c r="L30" s="220"/>
      <c r="M30" s="220"/>
      <c r="N30" s="220"/>
      <c r="O30" s="233"/>
      <c r="P30" s="103"/>
      <c r="Q30" s="248"/>
      <c r="R30" s="227"/>
      <c r="S30" s="227"/>
      <c r="T30" s="227"/>
      <c r="U30" s="227"/>
      <c r="V30" s="227"/>
      <c r="W30" s="227"/>
      <c r="X30" s="230"/>
    </row>
    <row r="31" spans="1:24">
      <c r="A31" s="221"/>
      <c r="B31" s="222"/>
      <c r="C31" s="210"/>
      <c r="D31" s="214"/>
      <c r="E31" s="215"/>
      <c r="F31" s="216"/>
      <c r="G31" s="223"/>
      <c r="H31" s="223"/>
      <c r="I31" s="234"/>
      <c r="J31" s="234"/>
      <c r="K31" s="234"/>
      <c r="L31" s="234"/>
      <c r="M31" s="234"/>
      <c r="N31" s="234"/>
      <c r="O31" s="223"/>
      <c r="P31" s="106"/>
      <c r="Q31" s="236"/>
      <c r="R31" s="227"/>
      <c r="S31" s="227"/>
      <c r="T31" s="227"/>
      <c r="U31" s="227"/>
      <c r="V31" s="227"/>
      <c r="W31" s="227"/>
      <c r="X31" s="230"/>
    </row>
    <row r="32" spans="1:24">
      <c r="A32" s="224"/>
      <c r="B32" s="225"/>
      <c r="C32" s="210"/>
      <c r="D32" s="217"/>
      <c r="E32" s="218"/>
      <c r="F32" s="219"/>
      <c r="G32" s="223"/>
      <c r="H32" s="223"/>
      <c r="I32" s="235"/>
      <c r="J32" s="235"/>
      <c r="K32" s="235"/>
      <c r="L32" s="235"/>
      <c r="M32" s="235"/>
      <c r="N32" s="235"/>
      <c r="O32" s="223"/>
      <c r="P32" s="104"/>
      <c r="Q32" s="237"/>
      <c r="R32" s="228"/>
      <c r="S32" s="228"/>
      <c r="T32" s="228"/>
      <c r="U32" s="228"/>
      <c r="V32" s="228"/>
      <c r="W32" s="228"/>
      <c r="X32" s="231"/>
    </row>
    <row r="33" spans="1:24" ht="14" customHeight="1">
      <c r="A33" s="208"/>
      <c r="B33" s="209"/>
      <c r="C33" s="210"/>
      <c r="D33" s="211"/>
      <c r="E33" s="212"/>
      <c r="F33" s="213"/>
      <c r="G33" s="220"/>
      <c r="H33" s="220"/>
      <c r="I33" s="220"/>
      <c r="J33" s="220"/>
      <c r="K33" s="220"/>
      <c r="L33" s="220"/>
      <c r="M33" s="220"/>
      <c r="N33" s="220"/>
      <c r="O33" s="232"/>
      <c r="P33" s="105"/>
      <c r="Q33" s="248"/>
      <c r="R33" s="229"/>
      <c r="S33" s="226"/>
      <c r="T33" s="226"/>
      <c r="U33" s="226"/>
      <c r="V33" s="226"/>
      <c r="W33" s="226"/>
      <c r="X33" s="229"/>
    </row>
    <row r="34" spans="1:24">
      <c r="A34" s="221"/>
      <c r="B34" s="222"/>
      <c r="C34" s="210"/>
      <c r="D34" s="214"/>
      <c r="E34" s="215"/>
      <c r="F34" s="216"/>
      <c r="G34" s="220"/>
      <c r="H34" s="220"/>
      <c r="I34" s="220"/>
      <c r="J34" s="220"/>
      <c r="K34" s="220"/>
      <c r="L34" s="220"/>
      <c r="M34" s="220"/>
      <c r="N34" s="220"/>
      <c r="O34" s="233"/>
      <c r="P34" s="103"/>
      <c r="Q34" s="248"/>
      <c r="R34" s="230"/>
      <c r="S34" s="227"/>
      <c r="T34" s="227"/>
      <c r="U34" s="227"/>
      <c r="V34" s="227"/>
      <c r="W34" s="227"/>
      <c r="X34" s="230"/>
    </row>
    <row r="35" spans="1:24">
      <c r="A35" s="221"/>
      <c r="B35" s="222"/>
      <c r="C35" s="210"/>
      <c r="D35" s="214"/>
      <c r="E35" s="215"/>
      <c r="F35" s="216"/>
      <c r="G35" s="223"/>
      <c r="H35" s="223"/>
      <c r="I35" s="234"/>
      <c r="J35" s="234"/>
      <c r="K35" s="234"/>
      <c r="L35" s="234"/>
      <c r="M35" s="234"/>
      <c r="N35" s="234"/>
      <c r="O35" s="223"/>
      <c r="P35" s="106"/>
      <c r="Q35" s="236"/>
      <c r="R35" s="230"/>
      <c r="S35" s="227"/>
      <c r="T35" s="227"/>
      <c r="U35" s="227"/>
      <c r="V35" s="227"/>
      <c r="W35" s="227"/>
      <c r="X35" s="230"/>
    </row>
    <row r="36" spans="1:24">
      <c r="A36" s="224"/>
      <c r="B36" s="225"/>
      <c r="C36" s="210"/>
      <c r="D36" s="217"/>
      <c r="E36" s="218"/>
      <c r="F36" s="219"/>
      <c r="G36" s="223"/>
      <c r="H36" s="223"/>
      <c r="I36" s="235"/>
      <c r="J36" s="235"/>
      <c r="K36" s="235"/>
      <c r="L36" s="235"/>
      <c r="M36" s="235"/>
      <c r="N36" s="235"/>
      <c r="O36" s="223"/>
      <c r="P36" s="104"/>
      <c r="Q36" s="237"/>
      <c r="R36" s="231"/>
      <c r="S36" s="228"/>
      <c r="T36" s="228"/>
      <c r="U36" s="228"/>
      <c r="V36" s="228"/>
      <c r="W36" s="228"/>
      <c r="X36" s="231"/>
    </row>
    <row r="37" spans="1:24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</row>
    <row r="38" spans="1:24" ht="15.75" customHeight="1">
      <c r="A38" s="18" t="s">
        <v>58</v>
      </c>
      <c r="B38" s="101">
        <f>N10</f>
        <v>42449</v>
      </c>
      <c r="C38" s="20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 t="s">
        <v>82</v>
      </c>
      <c r="R38" s="18"/>
      <c r="S38" s="18"/>
      <c r="T38" s="18"/>
      <c r="U38" s="3"/>
      <c r="V38" s="3"/>
      <c r="W38" s="3"/>
    </row>
    <row r="39" spans="1:24" ht="18.75" customHeight="1">
      <c r="A39" s="29" t="s">
        <v>59</v>
      </c>
      <c r="B39" s="35" t="s">
        <v>83</v>
      </c>
      <c r="C39" s="31"/>
      <c r="D39" s="31"/>
      <c r="E39" s="31"/>
      <c r="F39" s="31"/>
      <c r="G39" s="31"/>
      <c r="H39" s="96" t="s">
        <v>75</v>
      </c>
      <c r="I39" s="96"/>
      <c r="J39" s="96"/>
      <c r="K39" s="27"/>
      <c r="L39" s="27"/>
      <c r="M39" s="25"/>
      <c r="N39" s="25"/>
      <c r="O39" s="25"/>
      <c r="P39" s="18"/>
      <c r="Q39" s="13" t="s">
        <v>90</v>
      </c>
      <c r="S39" s="18"/>
      <c r="T39" s="18"/>
      <c r="U39" s="3"/>
      <c r="V39" s="3"/>
      <c r="W39" s="3"/>
    </row>
    <row r="40" spans="1:24" ht="14.25" customHeight="1">
      <c r="A40" s="29"/>
      <c r="B40" s="21" t="s">
        <v>62</v>
      </c>
      <c r="C40" s="21"/>
      <c r="D40" s="21"/>
      <c r="E40" s="21"/>
      <c r="F40" s="31"/>
      <c r="G40" s="58"/>
      <c r="H40" s="21" t="s">
        <v>63</v>
      </c>
      <c r="I40" s="58"/>
      <c r="J40" s="21"/>
      <c r="K40" s="21"/>
      <c r="L40" s="24"/>
      <c r="M40" s="24"/>
      <c r="N40" s="24"/>
      <c r="O40" s="25"/>
      <c r="P40" s="17" t="s">
        <v>10</v>
      </c>
      <c r="R40" s="18"/>
      <c r="S40" s="18"/>
      <c r="T40" s="3"/>
      <c r="U40" s="3"/>
      <c r="V40" s="3"/>
    </row>
    <row r="41" spans="1:24" ht="12" customHeight="1">
      <c r="A41" s="17"/>
      <c r="F41" s="23"/>
      <c r="L41" s="95"/>
      <c r="M41" s="18"/>
      <c r="N41" s="18"/>
      <c r="O41" s="18"/>
      <c r="P41" s="18" t="s">
        <v>11</v>
      </c>
      <c r="R41" s="18"/>
      <c r="S41" s="18"/>
      <c r="T41" s="3"/>
      <c r="U41" s="3"/>
      <c r="V41" s="3"/>
    </row>
    <row r="42" spans="1:24" ht="12" customHeight="1">
      <c r="A42" s="17" t="s">
        <v>60</v>
      </c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 t="s">
        <v>12</v>
      </c>
      <c r="R42" s="18"/>
      <c r="S42" s="18"/>
      <c r="T42" s="3"/>
      <c r="U42" s="3"/>
      <c r="V42" s="3"/>
    </row>
    <row r="43" spans="1:24" ht="12" customHeight="1">
      <c r="A43" s="18"/>
      <c r="B43" s="18" t="s">
        <v>61</v>
      </c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25" t="s">
        <v>13</v>
      </c>
      <c r="R43" s="25"/>
      <c r="S43" s="25"/>
      <c r="T43" s="34"/>
      <c r="U43" s="34"/>
      <c r="V43" s="34"/>
    </row>
    <row r="44" spans="1:24" s="19" customFormat="1" ht="16.5" customHeight="1">
      <c r="A44" s="29"/>
      <c r="B44" s="25"/>
      <c r="C44" s="31" t="str">
        <f>C50</f>
        <v>Evankoff LLC</v>
      </c>
      <c r="D44" s="36"/>
      <c r="E44" s="36"/>
      <c r="F44" s="25"/>
      <c r="G44" s="25"/>
      <c r="H44" s="25"/>
      <c r="I44" s="25"/>
      <c r="J44" s="25"/>
      <c r="K44" s="25"/>
      <c r="L44" s="25"/>
      <c r="M44" s="25"/>
      <c r="N44" s="25"/>
      <c r="O44" s="25" t="s">
        <v>64</v>
      </c>
      <c r="P44" s="25"/>
    </row>
    <row r="45" spans="1:24">
      <c r="A45" s="24"/>
      <c r="B45" s="24"/>
      <c r="C45" s="24" t="s">
        <v>65</v>
      </c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5"/>
      <c r="P45" s="25"/>
      <c r="Q45" s="36" t="s">
        <v>16</v>
      </c>
      <c r="S45" s="19"/>
      <c r="T45" s="19"/>
      <c r="U45" s="19"/>
    </row>
    <row r="46" spans="1:24" s="19" customFormat="1" ht="15" thickBot="1">
      <c r="A46" s="31" t="s">
        <v>105</v>
      </c>
      <c r="B46" s="31"/>
      <c r="C46" s="31"/>
      <c r="D46" s="31"/>
      <c r="E46" s="31"/>
      <c r="F46" s="31"/>
      <c r="G46" s="25" t="s">
        <v>67</v>
      </c>
      <c r="H46" s="25"/>
      <c r="I46" s="25"/>
      <c r="J46" s="25"/>
      <c r="K46" s="25"/>
      <c r="L46" s="25"/>
      <c r="M46" s="25"/>
      <c r="N46" s="25"/>
      <c r="O46" s="25"/>
      <c r="P46" s="25"/>
      <c r="Q46" s="25"/>
    </row>
    <row r="47" spans="1:24">
      <c r="A47" s="24"/>
      <c r="B47" s="24" t="s">
        <v>66</v>
      </c>
      <c r="C47" s="24"/>
      <c r="D47" s="24"/>
      <c r="E47" s="24"/>
      <c r="F47" s="24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94"/>
      <c r="R47" s="70" t="s">
        <v>14</v>
      </c>
      <c r="S47" s="71"/>
      <c r="T47" s="72"/>
      <c r="U47" s="37"/>
      <c r="V47" s="73" t="s">
        <v>15</v>
      </c>
      <c r="W47" s="74" t="s">
        <v>93</v>
      </c>
      <c r="X47" s="75"/>
    </row>
    <row r="48" spans="1:24">
      <c r="A48" s="99">
        <f>H10</f>
        <v>42443</v>
      </c>
      <c r="B48" s="26" t="s">
        <v>68</v>
      </c>
      <c r="C48" s="244">
        <f>F7</f>
        <v>42449</v>
      </c>
      <c r="D48" s="244"/>
      <c r="E48" s="98"/>
      <c r="F48" s="33" t="s">
        <v>73</v>
      </c>
      <c r="J48" s="32"/>
      <c r="L48" s="25"/>
      <c r="M48" s="25"/>
      <c r="N48" s="25"/>
      <c r="O48" s="25"/>
      <c r="P48" s="25"/>
      <c r="Q48" s="76"/>
      <c r="R48" s="77"/>
      <c r="S48" s="77"/>
      <c r="T48" s="78"/>
      <c r="U48" s="79"/>
      <c r="V48" s="80"/>
      <c r="W48" s="80"/>
      <c r="X48" s="81"/>
    </row>
    <row r="49" spans="1:24" ht="14.25" customHeight="1" thickBot="1">
      <c r="A49" s="24" t="s">
        <v>74</v>
      </c>
      <c r="B49" s="25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5"/>
      <c r="Q49" s="82"/>
      <c r="R49" s="83"/>
      <c r="S49" s="83"/>
      <c r="T49" s="84"/>
      <c r="U49" s="85"/>
      <c r="V49" s="86"/>
      <c r="W49" s="86"/>
      <c r="X49" s="87"/>
    </row>
    <row r="50" spans="1:24" ht="18.75" customHeight="1">
      <c r="A50" s="25"/>
      <c r="B50" s="25"/>
      <c r="C50" s="31" t="str">
        <f>A5</f>
        <v>Evankoff LLC</v>
      </c>
      <c r="D50" s="25"/>
      <c r="E50" s="25"/>
      <c r="F50" s="25"/>
      <c r="G50" s="25"/>
      <c r="H50" s="25"/>
      <c r="I50" s="25"/>
      <c r="J50" s="25"/>
      <c r="K50" s="25"/>
      <c r="L50" s="25"/>
      <c r="M50" s="25" t="s">
        <v>69</v>
      </c>
      <c r="N50" s="25"/>
      <c r="O50" s="25"/>
      <c r="P50" s="25"/>
      <c r="Q50" s="107" t="s">
        <v>128</v>
      </c>
      <c r="R50" s="108"/>
      <c r="S50" s="240" t="s">
        <v>97</v>
      </c>
      <c r="T50" s="240"/>
      <c r="U50" s="240"/>
      <c r="V50" s="240"/>
      <c r="W50" s="240"/>
      <c r="X50" s="241"/>
    </row>
    <row r="51" spans="1:24">
      <c r="A51" s="24"/>
      <c r="B51" s="24"/>
      <c r="C51" s="24" t="s">
        <v>65</v>
      </c>
      <c r="D51" s="24"/>
      <c r="E51" s="24"/>
      <c r="F51" s="24"/>
      <c r="G51" s="24"/>
      <c r="H51" s="24"/>
      <c r="I51" s="24"/>
      <c r="J51" s="24"/>
      <c r="K51" s="24"/>
      <c r="L51" s="24"/>
      <c r="M51" s="25"/>
      <c r="N51" s="25"/>
      <c r="O51" s="25"/>
      <c r="P51" s="25"/>
      <c r="Q51" s="109" t="s">
        <v>127</v>
      </c>
      <c r="R51" s="110"/>
      <c r="S51" s="242"/>
      <c r="T51" s="242"/>
      <c r="U51" s="242"/>
      <c r="V51" s="242"/>
      <c r="W51" s="242"/>
      <c r="X51" s="243"/>
    </row>
    <row r="52" spans="1:24" ht="12.75" customHeight="1" thickBot="1">
      <c r="A52" s="25" t="s">
        <v>70</v>
      </c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39"/>
      <c r="R52" s="88"/>
      <c r="S52" s="88"/>
      <c r="T52" s="89"/>
      <c r="U52" s="41"/>
      <c r="V52" s="40"/>
      <c r="W52" s="40"/>
      <c r="X52" s="42"/>
    </row>
    <row r="53" spans="1:24" ht="12.75" customHeight="1">
      <c r="A53" s="25" t="s">
        <v>71</v>
      </c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107" t="s">
        <v>128</v>
      </c>
      <c r="R53" s="108"/>
      <c r="S53" s="240" t="s">
        <v>95</v>
      </c>
      <c r="T53" s="240"/>
      <c r="U53" s="240"/>
      <c r="V53" s="240"/>
      <c r="W53" s="240"/>
      <c r="X53" s="241"/>
    </row>
    <row r="54" spans="1:24" ht="12.75" customHeight="1">
      <c r="A54" s="25" t="s">
        <v>72</v>
      </c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109" t="s">
        <v>127</v>
      </c>
      <c r="R54" s="110"/>
      <c r="S54" s="242"/>
      <c r="T54" s="242"/>
      <c r="U54" s="242"/>
      <c r="V54" s="242"/>
      <c r="W54" s="242"/>
      <c r="X54" s="243"/>
    </row>
    <row r="55" spans="1:24" ht="12.75" customHeight="1" thickBot="1">
      <c r="A55" s="25" t="s">
        <v>0</v>
      </c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53"/>
      <c r="R55" s="54"/>
      <c r="S55" s="54"/>
      <c r="T55" s="54"/>
      <c r="U55" s="55"/>
      <c r="V55" s="10"/>
      <c r="W55" s="10"/>
      <c r="X55" s="56"/>
    </row>
    <row r="56" spans="1:24" ht="18" customHeight="1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48"/>
      <c r="R56" s="49"/>
      <c r="S56" s="49"/>
      <c r="T56" s="49"/>
      <c r="U56" s="50"/>
      <c r="V56" s="51"/>
      <c r="W56" s="51"/>
      <c r="X56" s="52"/>
    </row>
    <row r="57" spans="1:24" ht="18" customHeight="1" thickBot="1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5"/>
      <c r="Q57" s="53"/>
      <c r="R57" s="54"/>
      <c r="S57" s="54"/>
      <c r="T57" s="54"/>
      <c r="U57" s="55"/>
      <c r="V57" s="10"/>
      <c r="W57" s="10"/>
      <c r="X57" s="56"/>
    </row>
    <row r="58" spans="1:24" ht="18" customHeight="1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5"/>
      <c r="Q58" s="48"/>
      <c r="R58" s="49"/>
      <c r="S58" s="49"/>
      <c r="T58" s="49"/>
      <c r="U58" s="50"/>
      <c r="V58" s="51"/>
      <c r="W58" s="51"/>
      <c r="X58" s="52"/>
    </row>
    <row r="59" spans="1:24" ht="21" customHeight="1" thickBot="1">
      <c r="A59" s="24"/>
      <c r="B59" s="28" t="s">
        <v>2</v>
      </c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5"/>
      <c r="Q59" s="53"/>
      <c r="R59" s="54"/>
      <c r="S59" s="54"/>
      <c r="T59" s="54"/>
      <c r="U59" s="55"/>
      <c r="V59" s="10"/>
      <c r="W59" s="10"/>
      <c r="X59" s="56"/>
    </row>
    <row r="60" spans="1:24" ht="12" customHeight="1">
      <c r="A60" s="30" t="s">
        <v>3</v>
      </c>
      <c r="B60" s="30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5"/>
      <c r="Q60" s="48" t="s">
        <v>17</v>
      </c>
      <c r="R60" s="49"/>
      <c r="S60" s="49"/>
      <c r="T60" s="49"/>
      <c r="U60" s="49"/>
      <c r="V60" s="51"/>
      <c r="W60" s="51"/>
      <c r="X60" s="52"/>
    </row>
    <row r="61" spans="1:24" ht="12" customHeight="1">
      <c r="A61" s="27" t="s">
        <v>4</v>
      </c>
      <c r="B61" s="30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5"/>
      <c r="Q61" s="111" t="s">
        <v>96</v>
      </c>
      <c r="R61" s="44"/>
      <c r="S61" s="44"/>
      <c r="T61" s="44"/>
      <c r="U61" s="44"/>
      <c r="V61" s="46"/>
      <c r="W61" s="46"/>
      <c r="X61" s="47"/>
    </row>
    <row r="62" spans="1:24" ht="12" customHeight="1">
      <c r="A62" s="27" t="s">
        <v>5</v>
      </c>
      <c r="B62" s="30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5"/>
      <c r="Q62" s="121"/>
      <c r="R62" s="122"/>
      <c r="S62" s="44"/>
      <c r="T62" s="44"/>
      <c r="U62" s="44"/>
      <c r="V62" s="46"/>
      <c r="W62" s="46"/>
      <c r="X62" s="47"/>
    </row>
    <row r="63" spans="1:24" ht="12" customHeight="1">
      <c r="A63" s="27"/>
      <c r="B63" s="30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5"/>
      <c r="Q63" s="121"/>
      <c r="R63" s="122"/>
      <c r="S63" s="44"/>
      <c r="T63" s="44"/>
      <c r="U63" s="44"/>
      <c r="V63" s="46"/>
      <c r="W63" s="46"/>
      <c r="X63" s="47"/>
    </row>
    <row r="64" spans="1:24" ht="12" customHeight="1">
      <c r="A64" s="29" t="s">
        <v>7</v>
      </c>
      <c r="B64" s="29" t="s">
        <v>6</v>
      </c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121"/>
      <c r="R64" s="122"/>
      <c r="S64" s="44"/>
      <c r="T64" s="44"/>
      <c r="U64" s="44"/>
      <c r="V64" s="46"/>
      <c r="W64" s="46"/>
      <c r="X64" s="47"/>
    </row>
    <row r="65" spans="1:24" ht="12" customHeight="1">
      <c r="A65" s="25" t="s">
        <v>8</v>
      </c>
      <c r="B65" s="29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43"/>
      <c r="R65" s="44"/>
      <c r="S65" s="44"/>
      <c r="T65" s="44"/>
      <c r="U65" s="44"/>
      <c r="V65" s="46"/>
      <c r="W65" s="46"/>
      <c r="X65" s="47"/>
    </row>
    <row r="66" spans="1:24" ht="12" customHeight="1">
      <c r="A66" s="25" t="s">
        <v>9</v>
      </c>
      <c r="B66" s="29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43"/>
      <c r="R66" s="44"/>
      <c r="S66" s="44"/>
      <c r="T66" s="44"/>
      <c r="U66" s="44"/>
      <c r="V66" s="46"/>
      <c r="W66" s="46"/>
      <c r="X66" s="47"/>
    </row>
    <row r="67" spans="1:24" ht="12" customHeight="1" thickBot="1">
      <c r="A67" s="25"/>
      <c r="B67" s="29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53"/>
      <c r="R67" s="54"/>
      <c r="S67" s="54"/>
      <c r="T67" s="54"/>
      <c r="U67" s="54"/>
      <c r="V67" s="10"/>
      <c r="W67" s="10"/>
      <c r="X67" s="56"/>
    </row>
    <row r="68" spans="1:24" ht="12" customHeight="1">
      <c r="A68" s="25"/>
      <c r="B68" s="25" t="s">
        <v>57</v>
      </c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</row>
    <row r="69" spans="1:24" ht="12" customHeight="1">
      <c r="A69" s="25"/>
      <c r="B69" s="25" t="s">
        <v>1</v>
      </c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12" t="s">
        <v>50</v>
      </c>
      <c r="R69" s="22"/>
      <c r="S69" s="22"/>
      <c r="T69" s="67"/>
      <c r="U69" s="57" t="s">
        <v>51</v>
      </c>
      <c r="V69" s="58"/>
      <c r="W69" s="58"/>
      <c r="X69" s="59"/>
    </row>
    <row r="70" spans="1:24" ht="11.25" customHeight="1">
      <c r="A70" s="25"/>
      <c r="B70" s="25" t="s">
        <v>81</v>
      </c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63"/>
      <c r="T70" s="68"/>
      <c r="U70" s="61"/>
      <c r="V70" s="38"/>
      <c r="W70" s="38"/>
      <c r="X70" s="60"/>
    </row>
    <row r="71" spans="1:24" ht="13.5" customHeight="1">
      <c r="A71" s="25"/>
      <c r="B71" s="97" t="s">
        <v>80</v>
      </c>
      <c r="C71" s="29" t="s">
        <v>76</v>
      </c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93" t="str">
        <f>B39</f>
        <v>Eric Coffie</v>
      </c>
      <c r="R71" s="90"/>
      <c r="S71" s="90" t="str">
        <f>H39</f>
        <v>President</v>
      </c>
      <c r="T71" s="68"/>
      <c r="U71" s="61"/>
      <c r="V71" s="38"/>
      <c r="W71" s="38"/>
      <c r="X71" s="60"/>
    </row>
    <row r="72" spans="1:24" ht="10.5" customHeight="1">
      <c r="A72" s="19"/>
      <c r="B72" s="25"/>
      <c r="C72" s="25" t="s">
        <v>77</v>
      </c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19"/>
      <c r="Q72" s="91"/>
      <c r="R72" s="92"/>
      <c r="S72" s="92"/>
      <c r="T72" s="69"/>
      <c r="U72" s="62"/>
      <c r="V72" s="116"/>
      <c r="W72" s="116"/>
      <c r="X72" s="117"/>
    </row>
    <row r="73" spans="1:24" ht="10.5" customHeight="1">
      <c r="A73" s="19"/>
      <c r="B73" s="19"/>
      <c r="C73" s="25" t="s">
        <v>78</v>
      </c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</row>
    <row r="74" spans="1:24" ht="10.5" customHeight="1">
      <c r="B74" s="19"/>
      <c r="C74" s="25" t="s">
        <v>79</v>
      </c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Q74" s="64" t="s">
        <v>86</v>
      </c>
      <c r="R74" s="58"/>
      <c r="S74" s="58"/>
      <c r="T74" s="58"/>
      <c r="U74" s="58"/>
      <c r="V74" s="58"/>
      <c r="W74" s="58"/>
      <c r="X74" s="59"/>
    </row>
    <row r="75" spans="1:24" ht="10.5" customHeight="1">
      <c r="Q75" s="66" t="s">
        <v>87</v>
      </c>
      <c r="R75" s="38"/>
      <c r="S75" s="38"/>
      <c r="T75" s="38"/>
      <c r="U75" s="38"/>
      <c r="V75" s="38"/>
      <c r="W75" s="38"/>
      <c r="X75" s="60"/>
    </row>
    <row r="76" spans="1:24" ht="10.5" customHeight="1">
      <c r="Q76" s="66" t="s">
        <v>88</v>
      </c>
      <c r="R76" s="38"/>
      <c r="S76" s="38"/>
      <c r="T76" s="38"/>
      <c r="U76" s="38"/>
      <c r="V76" s="38"/>
      <c r="W76" s="38"/>
      <c r="X76" s="60"/>
    </row>
    <row r="77" spans="1:24" ht="10.5" customHeight="1">
      <c r="Q77" s="65" t="s">
        <v>89</v>
      </c>
      <c r="R77" s="116"/>
      <c r="S77" s="116"/>
      <c r="T77" s="116"/>
      <c r="U77" s="116"/>
      <c r="V77" s="116"/>
      <c r="W77" s="116"/>
      <c r="X77" s="117"/>
    </row>
  </sheetData>
  <mergeCells count="235">
    <mergeCell ref="A1:D3"/>
    <mergeCell ref="F1:U3"/>
    <mergeCell ref="A4:C4"/>
    <mergeCell ref="D4:G4"/>
    <mergeCell ref="H4:N4"/>
    <mergeCell ref="O4:V4"/>
    <mergeCell ref="W4:X5"/>
    <mergeCell ref="A5:N5"/>
    <mergeCell ref="O5:V5"/>
    <mergeCell ref="A6:D6"/>
    <mergeCell ref="F6:N6"/>
    <mergeCell ref="A7:D7"/>
    <mergeCell ref="F7:N7"/>
    <mergeCell ref="O7:S7"/>
    <mergeCell ref="T7:X7"/>
    <mergeCell ref="A8:B8"/>
    <mergeCell ref="D8:F8"/>
    <mergeCell ref="G8:G12"/>
    <mergeCell ref="H8:N8"/>
    <mergeCell ref="R8:W9"/>
    <mergeCell ref="X8:X12"/>
    <mergeCell ref="A9:B12"/>
    <mergeCell ref="C9:C12"/>
    <mergeCell ref="D9:F12"/>
    <mergeCell ref="O10:O12"/>
    <mergeCell ref="V10:V12"/>
    <mergeCell ref="W10:W12"/>
    <mergeCell ref="H12:N12"/>
    <mergeCell ref="R10:R12"/>
    <mergeCell ref="S10:S12"/>
    <mergeCell ref="T10:T12"/>
    <mergeCell ref="U10:U12"/>
    <mergeCell ref="A13:B13"/>
    <mergeCell ref="C13:C16"/>
    <mergeCell ref="D13:F16"/>
    <mergeCell ref="G13:G14"/>
    <mergeCell ref="H13:H14"/>
    <mergeCell ref="I13:I14"/>
    <mergeCell ref="J13:J14"/>
    <mergeCell ref="P10:P12"/>
    <mergeCell ref="Q10:Q12"/>
    <mergeCell ref="Q15:Q16"/>
    <mergeCell ref="A16:B16"/>
    <mergeCell ref="X13:X16"/>
    <mergeCell ref="A14:B14"/>
    <mergeCell ref="A15:B15"/>
    <mergeCell ref="G15:G16"/>
    <mergeCell ref="H15:H16"/>
    <mergeCell ref="I15:I16"/>
    <mergeCell ref="J15:J16"/>
    <mergeCell ref="K15:K16"/>
    <mergeCell ref="L15:L16"/>
    <mergeCell ref="M15:M16"/>
    <mergeCell ref="R13:R16"/>
    <mergeCell ref="S13:S16"/>
    <mergeCell ref="T13:T16"/>
    <mergeCell ref="U13:U16"/>
    <mergeCell ref="V13:V16"/>
    <mergeCell ref="W13:W16"/>
    <mergeCell ref="K13:K14"/>
    <mergeCell ref="L13:L14"/>
    <mergeCell ref="M13:M14"/>
    <mergeCell ref="N13:N14"/>
    <mergeCell ref="O13:O14"/>
    <mergeCell ref="Q13:Q14"/>
    <mergeCell ref="N15:N16"/>
    <mergeCell ref="O15:O16"/>
    <mergeCell ref="A17:B17"/>
    <mergeCell ref="C17:C20"/>
    <mergeCell ref="D17:F20"/>
    <mergeCell ref="G17:G18"/>
    <mergeCell ref="H17:H18"/>
    <mergeCell ref="I17:I18"/>
    <mergeCell ref="W17:W20"/>
    <mergeCell ref="X17:X20"/>
    <mergeCell ref="A18:B18"/>
    <mergeCell ref="A19:B19"/>
    <mergeCell ref="G19:G20"/>
    <mergeCell ref="H19:H20"/>
    <mergeCell ref="I19:I20"/>
    <mergeCell ref="J19:J20"/>
    <mergeCell ref="K19:K20"/>
    <mergeCell ref="L19:L20"/>
    <mergeCell ref="Q17:Q18"/>
    <mergeCell ref="R17:R20"/>
    <mergeCell ref="S17:S20"/>
    <mergeCell ref="T17:T20"/>
    <mergeCell ref="U17:U20"/>
    <mergeCell ref="V17:V20"/>
    <mergeCell ref="J17:J18"/>
    <mergeCell ref="K17:K18"/>
    <mergeCell ref="L17:L18"/>
    <mergeCell ref="M17:M18"/>
    <mergeCell ref="N17:N18"/>
    <mergeCell ref="O17:O18"/>
    <mergeCell ref="K21:K22"/>
    <mergeCell ref="L21:L22"/>
    <mergeCell ref="M21:M22"/>
    <mergeCell ref="N21:N22"/>
    <mergeCell ref="M19:M20"/>
    <mergeCell ref="N19:N20"/>
    <mergeCell ref="O19:O20"/>
    <mergeCell ref="Q19:Q20"/>
    <mergeCell ref="A20:B20"/>
    <mergeCell ref="A21:B21"/>
    <mergeCell ref="C21:C24"/>
    <mergeCell ref="D21:F24"/>
    <mergeCell ref="G21:G22"/>
    <mergeCell ref="H21:H22"/>
    <mergeCell ref="L23:L24"/>
    <mergeCell ref="M23:M24"/>
    <mergeCell ref="N23:N24"/>
    <mergeCell ref="O23:O24"/>
    <mergeCell ref="Q23:Q24"/>
    <mergeCell ref="A24:B24"/>
    <mergeCell ref="V21:V24"/>
    <mergeCell ref="W21:W24"/>
    <mergeCell ref="X21:X24"/>
    <mergeCell ref="A22:B22"/>
    <mergeCell ref="A23:B23"/>
    <mergeCell ref="G23:G24"/>
    <mergeCell ref="H23:H24"/>
    <mergeCell ref="I23:I24"/>
    <mergeCell ref="J23:J24"/>
    <mergeCell ref="K23:K24"/>
    <mergeCell ref="O21:O22"/>
    <mergeCell ref="Q21:Q22"/>
    <mergeCell ref="R21:R24"/>
    <mergeCell ref="S21:S24"/>
    <mergeCell ref="T21:T24"/>
    <mergeCell ref="U21:U24"/>
    <mergeCell ref="I21:I22"/>
    <mergeCell ref="J21:J22"/>
    <mergeCell ref="W25:W28"/>
    <mergeCell ref="X25:X28"/>
    <mergeCell ref="A26:B26"/>
    <mergeCell ref="A27:B27"/>
    <mergeCell ref="G27:G28"/>
    <mergeCell ref="H27:H28"/>
    <mergeCell ref="I27:I28"/>
    <mergeCell ref="J27:J28"/>
    <mergeCell ref="K27:K28"/>
    <mergeCell ref="L27:L28"/>
    <mergeCell ref="Q25:Q26"/>
    <mergeCell ref="R25:R28"/>
    <mergeCell ref="S25:S28"/>
    <mergeCell ref="T25:T28"/>
    <mergeCell ref="U25:U28"/>
    <mergeCell ref="V25:V28"/>
    <mergeCell ref="J25:J26"/>
    <mergeCell ref="K25:K26"/>
    <mergeCell ref="L25:L26"/>
    <mergeCell ref="M25:M26"/>
    <mergeCell ref="N25:N26"/>
    <mergeCell ref="O25:O26"/>
    <mergeCell ref="A25:B25"/>
    <mergeCell ref="C25:C28"/>
    <mergeCell ref="M27:M28"/>
    <mergeCell ref="N27:N28"/>
    <mergeCell ref="O27:O28"/>
    <mergeCell ref="Q27:Q28"/>
    <mergeCell ref="A28:B28"/>
    <mergeCell ref="A29:B29"/>
    <mergeCell ref="C29:C32"/>
    <mergeCell ref="D29:F32"/>
    <mergeCell ref="G29:G30"/>
    <mergeCell ref="H29:H30"/>
    <mergeCell ref="D25:F28"/>
    <mergeCell ref="G25:G26"/>
    <mergeCell ref="H25:H26"/>
    <mergeCell ref="I25:I26"/>
    <mergeCell ref="L31:L32"/>
    <mergeCell ref="M31:M32"/>
    <mergeCell ref="N31:N32"/>
    <mergeCell ref="O31:O32"/>
    <mergeCell ref="Q31:Q32"/>
    <mergeCell ref="A32:B32"/>
    <mergeCell ref="V29:V32"/>
    <mergeCell ref="W29:W32"/>
    <mergeCell ref="X29:X32"/>
    <mergeCell ref="A30:B30"/>
    <mergeCell ref="A31:B31"/>
    <mergeCell ref="G31:G32"/>
    <mergeCell ref="H31:H32"/>
    <mergeCell ref="I31:I32"/>
    <mergeCell ref="J31:J32"/>
    <mergeCell ref="K31:K32"/>
    <mergeCell ref="O29:O30"/>
    <mergeCell ref="Q29:Q30"/>
    <mergeCell ref="R29:R32"/>
    <mergeCell ref="S29:S32"/>
    <mergeCell ref="T29:T32"/>
    <mergeCell ref="U29:U32"/>
    <mergeCell ref="I29:I30"/>
    <mergeCell ref="J29:J30"/>
    <mergeCell ref="K29:K30"/>
    <mergeCell ref="L29:L30"/>
    <mergeCell ref="M29:M30"/>
    <mergeCell ref="N29:N30"/>
    <mergeCell ref="J33:J34"/>
    <mergeCell ref="K33:K34"/>
    <mergeCell ref="L33:L34"/>
    <mergeCell ref="M33:M34"/>
    <mergeCell ref="N33:N34"/>
    <mergeCell ref="O33:O34"/>
    <mergeCell ref="A33:B33"/>
    <mergeCell ref="C33:C36"/>
    <mergeCell ref="D33:F36"/>
    <mergeCell ref="G33:G34"/>
    <mergeCell ref="H33:H34"/>
    <mergeCell ref="I33:I34"/>
    <mergeCell ref="S50:X51"/>
    <mergeCell ref="S53:X54"/>
    <mergeCell ref="M35:M36"/>
    <mergeCell ref="N35:N36"/>
    <mergeCell ref="O35:O36"/>
    <mergeCell ref="Q35:Q36"/>
    <mergeCell ref="A36:B36"/>
    <mergeCell ref="C48:D48"/>
    <mergeCell ref="W33:W36"/>
    <mergeCell ref="X33:X36"/>
    <mergeCell ref="A34:B34"/>
    <mergeCell ref="A35:B35"/>
    <mergeCell ref="G35:G36"/>
    <mergeCell ref="H35:H36"/>
    <mergeCell ref="I35:I36"/>
    <mergeCell ref="J35:J36"/>
    <mergeCell ref="K35:K36"/>
    <mergeCell ref="L35:L36"/>
    <mergeCell ref="Q33:Q34"/>
    <mergeCell ref="R33:R36"/>
    <mergeCell ref="S33:S36"/>
    <mergeCell ref="T33:T36"/>
    <mergeCell ref="U33:U36"/>
    <mergeCell ref="V33:V36"/>
  </mergeCells>
  <phoneticPr fontId="11" type="noConversion"/>
  <pageMargins left="0.7" right="0.7" top="0.75" bottom="0.75" header="0.3" footer="0.3"/>
  <pageSetup scale="77" orientation="landscape" horizontalDpi="4294967292" verticalDpi="4294967292"/>
  <rowBreaks count="1" manualBreakCount="1">
    <brk id="36" max="16383" man="1"/>
  </rowBreaks>
  <colBreaks count="1" manualBreakCount="1">
    <brk id="24" max="1048575" man="1"/>
  </colBreaks>
  <extLst>
    <ext xmlns:mx="http://schemas.microsoft.com/office/mac/excel/2008/main" uri="{64002731-A6B0-56B0-2670-7721B7C09600}">
      <mx:PLV Mode="1" OnePage="0" WScale="77"/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77"/>
  <sheetViews>
    <sheetView view="pageLayout" zoomScaleNormal="125" zoomScalePageLayoutView="125" workbookViewId="0">
      <selection activeCell="S21" sqref="S21:S24"/>
    </sheetView>
  </sheetViews>
  <sheetFormatPr baseColWidth="10" defaultColWidth="8.83203125" defaultRowHeight="14" x14ac:dyDescent="0"/>
  <cols>
    <col min="1" max="1" width="10.33203125" customWidth="1"/>
    <col min="2" max="2" width="11.1640625" customWidth="1"/>
    <col min="3" max="3" width="5" customWidth="1"/>
    <col min="4" max="4" width="5.1640625" customWidth="1"/>
    <col min="5" max="5" width="4.6640625" customWidth="1"/>
    <col min="6" max="6" width="4.83203125" customWidth="1"/>
    <col min="7" max="7" width="3.6640625" customWidth="1"/>
    <col min="8" max="8" width="5" customWidth="1"/>
    <col min="9" max="9" width="4.6640625" customWidth="1"/>
    <col min="10" max="11" width="5.33203125" customWidth="1"/>
    <col min="12" max="12" width="4.83203125" customWidth="1"/>
    <col min="13" max="13" width="5.5" customWidth="1"/>
    <col min="14" max="14" width="5.1640625" customWidth="1"/>
    <col min="16" max="17" width="9.83203125" bestFit="1" customWidth="1"/>
    <col min="18" max="18" width="7.6640625" customWidth="1"/>
    <col min="19" max="19" width="9.5" customWidth="1"/>
    <col min="20" max="20" width="6" hidden="1" customWidth="1"/>
    <col min="21" max="21" width="4.33203125" hidden="1" customWidth="1"/>
    <col min="22" max="22" width="7.6640625" hidden="1" customWidth="1"/>
    <col min="23" max="23" width="9.33203125" customWidth="1"/>
    <col min="24" max="24" width="12.6640625" customWidth="1"/>
  </cols>
  <sheetData>
    <row r="1" spans="1:24" ht="15" customHeight="1">
      <c r="A1" s="149" t="s">
        <v>22</v>
      </c>
      <c r="B1" s="149"/>
      <c r="C1" s="149"/>
      <c r="D1" s="149"/>
      <c r="E1" s="138"/>
      <c r="F1" s="151" t="s">
        <v>55</v>
      </c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9"/>
      <c r="W1" s="9"/>
      <c r="X1" s="9"/>
    </row>
    <row r="2" spans="1:24">
      <c r="A2" s="149"/>
      <c r="B2" s="149"/>
      <c r="C2" s="149"/>
      <c r="D2" s="149"/>
      <c r="E2" s="138"/>
      <c r="F2" s="151"/>
      <c r="G2" s="151"/>
      <c r="H2" s="151"/>
      <c r="I2" s="151"/>
      <c r="J2" s="151"/>
      <c r="K2" s="151"/>
      <c r="L2" s="151"/>
      <c r="M2" s="151"/>
      <c r="N2" s="151"/>
      <c r="O2" s="151"/>
      <c r="P2" s="151"/>
      <c r="Q2" s="151"/>
      <c r="R2" s="151"/>
      <c r="S2" s="151"/>
      <c r="T2" s="151"/>
      <c r="U2" s="151"/>
      <c r="V2" s="9"/>
      <c r="W2" s="9"/>
      <c r="X2" s="9"/>
    </row>
    <row r="3" spans="1:24" ht="15" customHeight="1" thickBot="1">
      <c r="A3" s="150"/>
      <c r="B3" s="150"/>
      <c r="C3" s="150"/>
      <c r="D3" s="150"/>
      <c r="E3" s="139"/>
      <c r="F3" s="152"/>
      <c r="G3" s="152"/>
      <c r="H3" s="152"/>
      <c r="I3" s="152"/>
      <c r="J3" s="152"/>
      <c r="K3" s="152"/>
      <c r="L3" s="152"/>
      <c r="M3" s="152"/>
      <c r="N3" s="152"/>
      <c r="O3" s="152"/>
      <c r="P3" s="152"/>
      <c r="Q3" s="152"/>
      <c r="R3" s="152"/>
      <c r="S3" s="152"/>
      <c r="T3" s="152"/>
      <c r="U3" s="152"/>
      <c r="V3" s="10"/>
      <c r="W3" s="10"/>
      <c r="X3" s="10"/>
    </row>
    <row r="4" spans="1:24" s="11" customFormat="1">
      <c r="A4" s="153" t="s">
        <v>56</v>
      </c>
      <c r="B4" s="154"/>
      <c r="C4" s="154"/>
      <c r="D4" s="154" t="s">
        <v>52</v>
      </c>
      <c r="E4" s="154"/>
      <c r="F4" s="154"/>
      <c r="G4" s="154"/>
      <c r="H4" s="155"/>
      <c r="I4" s="155"/>
      <c r="J4" s="155"/>
      <c r="K4" s="155"/>
      <c r="L4" s="155"/>
      <c r="M4" s="155"/>
      <c r="N4" s="156"/>
      <c r="O4" s="157" t="s">
        <v>126</v>
      </c>
      <c r="P4" s="158"/>
      <c r="Q4" s="158"/>
      <c r="R4" s="158"/>
      <c r="S4" s="158"/>
      <c r="T4" s="158"/>
      <c r="U4" s="158"/>
      <c r="V4" s="158"/>
      <c r="W4" s="159"/>
      <c r="X4" s="160"/>
    </row>
    <row r="5" spans="1:24" s="1" customFormat="1" ht="12">
      <c r="A5" s="163" t="s">
        <v>125</v>
      </c>
      <c r="B5" s="164"/>
      <c r="C5" s="164"/>
      <c r="D5" s="164"/>
      <c r="E5" s="164"/>
      <c r="F5" s="164"/>
      <c r="G5" s="164"/>
      <c r="H5" s="164"/>
      <c r="I5" s="164"/>
      <c r="J5" s="164"/>
      <c r="K5" s="164"/>
      <c r="L5" s="164"/>
      <c r="M5" s="164"/>
      <c r="N5" s="165"/>
      <c r="O5" s="166" t="s">
        <v>108</v>
      </c>
      <c r="P5" s="167"/>
      <c r="Q5" s="167"/>
      <c r="R5" s="167"/>
      <c r="S5" s="167"/>
      <c r="T5" s="167"/>
      <c r="U5" s="167"/>
      <c r="V5" s="167"/>
      <c r="W5" s="161"/>
      <c r="X5" s="162"/>
    </row>
    <row r="6" spans="1:24" s="13" customFormat="1" ht="11">
      <c r="A6" s="168" t="s">
        <v>18</v>
      </c>
      <c r="B6" s="169"/>
      <c r="C6" s="169"/>
      <c r="D6" s="170"/>
      <c r="E6" s="115"/>
      <c r="F6" s="168" t="s">
        <v>19</v>
      </c>
      <c r="G6" s="169"/>
      <c r="H6" s="169"/>
      <c r="I6" s="169"/>
      <c r="J6" s="169"/>
      <c r="K6" s="169"/>
      <c r="L6" s="169"/>
      <c r="M6" s="169"/>
      <c r="N6" s="170"/>
      <c r="O6" s="102" t="s">
        <v>20</v>
      </c>
      <c r="P6" s="15"/>
      <c r="Q6" s="15"/>
      <c r="R6" s="15"/>
      <c r="S6" s="102" t="s">
        <v>91</v>
      </c>
      <c r="T6" s="15" t="s">
        <v>21</v>
      </c>
      <c r="U6" s="15"/>
      <c r="V6" s="15"/>
      <c r="X6" s="16"/>
    </row>
    <row r="7" spans="1:24" s="1" customFormat="1" ht="16.5" customHeight="1">
      <c r="A7" s="171">
        <v>11</v>
      </c>
      <c r="B7" s="172"/>
      <c r="C7" s="172"/>
      <c r="D7" s="173"/>
      <c r="E7" s="137"/>
      <c r="F7" s="174">
        <v>42456</v>
      </c>
      <c r="G7" s="175"/>
      <c r="H7" s="175"/>
      <c r="I7" s="175"/>
      <c r="J7" s="175"/>
      <c r="K7" s="175"/>
      <c r="L7" s="175"/>
      <c r="M7" s="175"/>
      <c r="N7" s="176"/>
      <c r="O7" s="166" t="s">
        <v>107</v>
      </c>
      <c r="P7" s="167"/>
      <c r="Q7" s="167"/>
      <c r="R7" s="167"/>
      <c r="S7" s="167"/>
      <c r="T7" s="167" t="s">
        <v>109</v>
      </c>
      <c r="U7" s="167"/>
      <c r="V7" s="167"/>
      <c r="W7" s="167"/>
      <c r="X7" s="177"/>
    </row>
    <row r="8" spans="1:24" s="2" customFormat="1" ht="11.25" customHeight="1">
      <c r="A8" s="178" t="s">
        <v>23</v>
      </c>
      <c r="B8" s="179"/>
      <c r="C8" s="7" t="s">
        <v>24</v>
      </c>
      <c r="D8" s="178" t="s">
        <v>25</v>
      </c>
      <c r="E8" s="180"/>
      <c r="F8" s="179"/>
      <c r="G8" s="181" t="s">
        <v>29</v>
      </c>
      <c r="H8" s="184" t="s">
        <v>54</v>
      </c>
      <c r="I8" s="185"/>
      <c r="J8" s="185"/>
      <c r="K8" s="185"/>
      <c r="L8" s="185"/>
      <c r="M8" s="185"/>
      <c r="N8" s="186"/>
      <c r="O8" s="7" t="s">
        <v>30</v>
      </c>
      <c r="P8" s="7" t="s">
        <v>31</v>
      </c>
      <c r="Q8" s="7" t="s">
        <v>32</v>
      </c>
      <c r="R8" s="187" t="s">
        <v>33</v>
      </c>
      <c r="S8" s="187"/>
      <c r="T8" s="187"/>
      <c r="U8" s="187"/>
      <c r="V8" s="187"/>
      <c r="W8" s="187"/>
      <c r="X8" s="187" t="s">
        <v>53</v>
      </c>
    </row>
    <row r="9" spans="1:24" ht="17.25" customHeight="1">
      <c r="A9" s="188" t="s">
        <v>26</v>
      </c>
      <c r="B9" s="189"/>
      <c r="C9" s="192" t="s">
        <v>27</v>
      </c>
      <c r="D9" s="194" t="s">
        <v>28</v>
      </c>
      <c r="E9" s="195"/>
      <c r="F9" s="196"/>
      <c r="G9" s="182"/>
      <c r="H9" s="132" t="s">
        <v>36</v>
      </c>
      <c r="I9" s="133" t="s">
        <v>37</v>
      </c>
      <c r="J9" s="133" t="s">
        <v>38</v>
      </c>
      <c r="K9" s="133" t="s">
        <v>111</v>
      </c>
      <c r="L9" s="133" t="s">
        <v>39</v>
      </c>
      <c r="M9" s="133" t="s">
        <v>41</v>
      </c>
      <c r="N9" s="133" t="s">
        <v>42</v>
      </c>
      <c r="O9" s="6"/>
      <c r="P9" s="8"/>
      <c r="Q9" s="8"/>
      <c r="R9" s="187"/>
      <c r="S9" s="187"/>
      <c r="T9" s="187"/>
      <c r="U9" s="187"/>
      <c r="V9" s="187"/>
      <c r="W9" s="187"/>
      <c r="X9" s="187"/>
    </row>
    <row r="10" spans="1:24" ht="19.5" customHeight="1">
      <c r="A10" s="188"/>
      <c r="B10" s="189"/>
      <c r="C10" s="192"/>
      <c r="D10" s="194"/>
      <c r="E10" s="195"/>
      <c r="F10" s="196"/>
      <c r="G10" s="182"/>
      <c r="H10" s="100">
        <f t="shared" ref="H10:L10" si="0">I10-1</f>
        <v>42450</v>
      </c>
      <c r="I10" s="100">
        <f t="shared" si="0"/>
        <v>42451</v>
      </c>
      <c r="J10" s="100">
        <f t="shared" si="0"/>
        <v>42452</v>
      </c>
      <c r="K10" s="100">
        <f t="shared" si="0"/>
        <v>42453</v>
      </c>
      <c r="L10" s="100">
        <f t="shared" si="0"/>
        <v>42454</v>
      </c>
      <c r="M10" s="100">
        <f>N10-1</f>
        <v>42455</v>
      </c>
      <c r="N10" s="100">
        <f>F7</f>
        <v>42456</v>
      </c>
      <c r="O10" s="200" t="s">
        <v>46</v>
      </c>
      <c r="P10" s="200" t="s">
        <v>47</v>
      </c>
      <c r="Q10" s="200" t="s">
        <v>48</v>
      </c>
      <c r="R10" s="206" t="s">
        <v>44</v>
      </c>
      <c r="S10" s="206" t="s">
        <v>45</v>
      </c>
      <c r="T10" s="207"/>
      <c r="U10" s="207"/>
      <c r="V10" s="202" t="s">
        <v>35</v>
      </c>
      <c r="W10" s="203" t="s">
        <v>34</v>
      </c>
      <c r="X10" s="187"/>
    </row>
    <row r="11" spans="1:24" ht="18.75" hidden="1" customHeight="1">
      <c r="A11" s="188"/>
      <c r="B11" s="189"/>
      <c r="C11" s="192"/>
      <c r="D11" s="194"/>
      <c r="E11" s="195"/>
      <c r="F11" s="196"/>
      <c r="G11" s="182"/>
      <c r="H11" s="5"/>
      <c r="I11" s="4"/>
      <c r="J11" s="4"/>
      <c r="K11" s="4"/>
      <c r="L11" s="4"/>
      <c r="M11" s="4"/>
      <c r="N11" s="4"/>
      <c r="O11" s="200"/>
      <c r="P11" s="200"/>
      <c r="Q11" s="200"/>
      <c r="R11" s="206"/>
      <c r="S11" s="206"/>
      <c r="T11" s="207"/>
      <c r="U11" s="207"/>
      <c r="V11" s="202"/>
      <c r="W11" s="203"/>
      <c r="X11" s="187"/>
    </row>
    <row r="12" spans="1:24">
      <c r="A12" s="190"/>
      <c r="B12" s="191"/>
      <c r="C12" s="193"/>
      <c r="D12" s="197"/>
      <c r="E12" s="198"/>
      <c r="F12" s="199"/>
      <c r="G12" s="183"/>
      <c r="H12" s="204" t="s">
        <v>43</v>
      </c>
      <c r="I12" s="204"/>
      <c r="J12" s="204"/>
      <c r="K12" s="204"/>
      <c r="L12" s="204"/>
      <c r="M12" s="204"/>
      <c r="N12" s="205"/>
      <c r="O12" s="201"/>
      <c r="P12" s="201"/>
      <c r="Q12" s="201"/>
      <c r="R12" s="206"/>
      <c r="S12" s="206"/>
      <c r="T12" s="207"/>
      <c r="U12" s="207"/>
      <c r="V12" s="202"/>
      <c r="W12" s="203"/>
      <c r="X12" s="187"/>
    </row>
    <row r="13" spans="1:24" ht="15" customHeight="1">
      <c r="A13" s="208" t="s">
        <v>98</v>
      </c>
      <c r="B13" s="209"/>
      <c r="C13" s="210">
        <v>2</v>
      </c>
      <c r="D13" s="249" t="s">
        <v>123</v>
      </c>
      <c r="E13" s="250"/>
      <c r="F13" s="251"/>
      <c r="G13" s="220" t="s">
        <v>49</v>
      </c>
      <c r="H13" s="220"/>
      <c r="I13" s="220"/>
      <c r="J13" s="220"/>
      <c r="K13" s="220"/>
      <c r="L13" s="220"/>
      <c r="M13" s="220"/>
      <c r="N13" s="220"/>
      <c r="O13" s="232">
        <f>SUM(H13:N14)</f>
        <v>0</v>
      </c>
      <c r="P13" s="105" t="s">
        <v>110</v>
      </c>
      <c r="Q13" s="238">
        <f>P14*O13</f>
        <v>0</v>
      </c>
      <c r="R13" s="226">
        <v>49.54</v>
      </c>
      <c r="S13" s="226">
        <f>36.5+8.54+14.97</f>
        <v>60.01</v>
      </c>
      <c r="T13" s="226"/>
      <c r="U13" s="226"/>
      <c r="V13" s="226"/>
      <c r="W13" s="226">
        <f>S13+R13</f>
        <v>109.55</v>
      </c>
      <c r="X13" s="229">
        <f>Q15-W13+Q13</f>
        <v>479.2</v>
      </c>
    </row>
    <row r="14" spans="1:24">
      <c r="A14" s="221" t="s">
        <v>103</v>
      </c>
      <c r="B14" s="222"/>
      <c r="C14" s="210"/>
      <c r="D14" s="252"/>
      <c r="E14" s="253"/>
      <c r="F14" s="254"/>
      <c r="G14" s="220"/>
      <c r="H14" s="220"/>
      <c r="I14" s="220"/>
      <c r="J14" s="220"/>
      <c r="K14" s="220"/>
      <c r="L14" s="220"/>
      <c r="M14" s="220"/>
      <c r="N14" s="220"/>
      <c r="O14" s="233"/>
      <c r="P14" s="103">
        <f>P16/2+P16</f>
        <v>22.5</v>
      </c>
      <c r="Q14" s="239"/>
      <c r="R14" s="227"/>
      <c r="S14" s="227"/>
      <c r="T14" s="227"/>
      <c r="U14" s="227"/>
      <c r="V14" s="227"/>
      <c r="W14" s="227"/>
      <c r="X14" s="230"/>
    </row>
    <row r="15" spans="1:24">
      <c r="A15" s="261"/>
      <c r="B15" s="262"/>
      <c r="C15" s="210"/>
      <c r="D15" s="252"/>
      <c r="E15" s="253"/>
      <c r="F15" s="254"/>
      <c r="G15" s="223" t="s">
        <v>40</v>
      </c>
      <c r="H15" s="223">
        <v>8</v>
      </c>
      <c r="I15" s="223">
        <v>9.5</v>
      </c>
      <c r="J15" s="223">
        <v>7</v>
      </c>
      <c r="K15" s="223">
        <v>8.5</v>
      </c>
      <c r="L15" s="223">
        <v>6.25</v>
      </c>
      <c r="M15" s="223">
        <v>0</v>
      </c>
      <c r="N15" s="223">
        <v>0</v>
      </c>
      <c r="O15" s="234">
        <f>SUM(H15:N16)</f>
        <v>39.25</v>
      </c>
      <c r="P15" s="106" t="s">
        <v>110</v>
      </c>
      <c r="Q15" s="236">
        <f>P16*O15</f>
        <v>588.75</v>
      </c>
      <c r="R15" s="227"/>
      <c r="S15" s="227"/>
      <c r="T15" s="227"/>
      <c r="U15" s="227"/>
      <c r="V15" s="227"/>
      <c r="W15" s="227"/>
      <c r="X15" s="230"/>
    </row>
    <row r="16" spans="1:24">
      <c r="A16" s="224"/>
      <c r="B16" s="225"/>
      <c r="C16" s="210"/>
      <c r="D16" s="255"/>
      <c r="E16" s="256"/>
      <c r="F16" s="257"/>
      <c r="G16" s="223"/>
      <c r="H16" s="223"/>
      <c r="I16" s="223"/>
      <c r="J16" s="223"/>
      <c r="K16" s="223"/>
      <c r="L16" s="223"/>
      <c r="M16" s="223"/>
      <c r="N16" s="223"/>
      <c r="O16" s="235"/>
      <c r="P16" s="104">
        <v>15</v>
      </c>
      <c r="Q16" s="237"/>
      <c r="R16" s="228"/>
      <c r="S16" s="228"/>
      <c r="T16" s="228"/>
      <c r="U16" s="228"/>
      <c r="V16" s="228"/>
      <c r="W16" s="228"/>
      <c r="X16" s="231"/>
    </row>
    <row r="17" spans="1:24" ht="15" customHeight="1">
      <c r="A17" s="208" t="s">
        <v>99</v>
      </c>
      <c r="B17" s="209"/>
      <c r="C17" s="210">
        <v>2</v>
      </c>
      <c r="D17" s="249" t="s">
        <v>123</v>
      </c>
      <c r="E17" s="250"/>
      <c r="F17" s="251"/>
      <c r="G17" s="220" t="s">
        <v>49</v>
      </c>
      <c r="H17" s="220"/>
      <c r="I17" s="220"/>
      <c r="J17" s="220"/>
      <c r="K17" s="220"/>
      <c r="L17" s="220"/>
      <c r="M17" s="220"/>
      <c r="N17" s="220"/>
      <c r="O17" s="232">
        <f>SUM(H17:N18)</f>
        <v>0</v>
      </c>
      <c r="P17" s="105" t="s">
        <v>110</v>
      </c>
      <c r="Q17" s="238">
        <f>P18*O17</f>
        <v>0</v>
      </c>
      <c r="R17" s="226">
        <v>0</v>
      </c>
      <c r="S17" s="226">
        <v>0</v>
      </c>
      <c r="T17" s="226"/>
      <c r="U17" s="226"/>
      <c r="V17" s="226"/>
      <c r="W17" s="226">
        <f>S17+R17</f>
        <v>0</v>
      </c>
      <c r="X17" s="229">
        <f>Q19-W17</f>
        <v>0</v>
      </c>
    </row>
    <row r="18" spans="1:24">
      <c r="A18" s="221" t="s">
        <v>102</v>
      </c>
      <c r="B18" s="222"/>
      <c r="C18" s="210"/>
      <c r="D18" s="252"/>
      <c r="E18" s="253"/>
      <c r="F18" s="254"/>
      <c r="G18" s="220"/>
      <c r="H18" s="220"/>
      <c r="I18" s="220"/>
      <c r="J18" s="220"/>
      <c r="K18" s="220"/>
      <c r="L18" s="220"/>
      <c r="M18" s="220"/>
      <c r="N18" s="220"/>
      <c r="O18" s="233"/>
      <c r="P18" s="103">
        <f>P20/2+P20</f>
        <v>22.5</v>
      </c>
      <c r="Q18" s="239"/>
      <c r="R18" s="227"/>
      <c r="S18" s="227"/>
      <c r="T18" s="227"/>
      <c r="U18" s="227"/>
      <c r="V18" s="227"/>
      <c r="W18" s="227"/>
      <c r="X18" s="230"/>
    </row>
    <row r="19" spans="1:24">
      <c r="A19" s="261"/>
      <c r="B19" s="262"/>
      <c r="C19" s="210"/>
      <c r="D19" s="252"/>
      <c r="E19" s="253"/>
      <c r="F19" s="254"/>
      <c r="G19" s="223" t="s">
        <v>40</v>
      </c>
      <c r="H19" s="223">
        <v>0</v>
      </c>
      <c r="I19" s="223">
        <v>0</v>
      </c>
      <c r="J19" s="223">
        <v>0</v>
      </c>
      <c r="K19" s="223">
        <v>0</v>
      </c>
      <c r="L19" s="223">
        <v>0</v>
      </c>
      <c r="M19" s="223">
        <v>0</v>
      </c>
      <c r="N19" s="223">
        <v>0</v>
      </c>
      <c r="O19" s="223">
        <f>SUM(H19:N20)</f>
        <v>0</v>
      </c>
      <c r="P19" s="106" t="s">
        <v>110</v>
      </c>
      <c r="Q19" s="236">
        <f>P20*O19</f>
        <v>0</v>
      </c>
      <c r="R19" s="227"/>
      <c r="S19" s="227"/>
      <c r="T19" s="227"/>
      <c r="U19" s="227"/>
      <c r="V19" s="227"/>
      <c r="W19" s="227"/>
      <c r="X19" s="230"/>
    </row>
    <row r="20" spans="1:24">
      <c r="A20" s="224"/>
      <c r="B20" s="225"/>
      <c r="C20" s="210"/>
      <c r="D20" s="255"/>
      <c r="E20" s="256"/>
      <c r="F20" s="257"/>
      <c r="G20" s="223"/>
      <c r="H20" s="223"/>
      <c r="I20" s="223"/>
      <c r="J20" s="223"/>
      <c r="K20" s="223"/>
      <c r="L20" s="223"/>
      <c r="M20" s="223"/>
      <c r="N20" s="223"/>
      <c r="O20" s="223"/>
      <c r="P20" s="104">
        <v>15</v>
      </c>
      <c r="Q20" s="237"/>
      <c r="R20" s="228"/>
      <c r="S20" s="228"/>
      <c r="T20" s="228"/>
      <c r="U20" s="228"/>
      <c r="V20" s="228"/>
      <c r="W20" s="228"/>
      <c r="X20" s="231"/>
    </row>
    <row r="21" spans="1:24" ht="14" customHeight="1">
      <c r="A21" s="208"/>
      <c r="B21" s="209"/>
      <c r="C21" s="210"/>
      <c r="D21" s="211"/>
      <c r="E21" s="212"/>
      <c r="F21" s="213"/>
      <c r="G21" s="220"/>
      <c r="H21" s="220"/>
      <c r="I21" s="220"/>
      <c r="J21" s="220"/>
      <c r="K21" s="220"/>
      <c r="L21" s="220"/>
      <c r="M21" s="220"/>
      <c r="N21" s="220"/>
      <c r="O21" s="232"/>
      <c r="P21" s="105"/>
      <c r="Q21" s="238"/>
      <c r="R21" s="226"/>
      <c r="S21" s="226"/>
      <c r="T21" s="226"/>
      <c r="U21" s="226"/>
      <c r="V21" s="226"/>
      <c r="W21" s="226"/>
      <c r="X21" s="229"/>
    </row>
    <row r="22" spans="1:24">
      <c r="A22" s="221"/>
      <c r="B22" s="222"/>
      <c r="C22" s="210"/>
      <c r="D22" s="214"/>
      <c r="E22" s="215"/>
      <c r="F22" s="216"/>
      <c r="G22" s="220"/>
      <c r="H22" s="220"/>
      <c r="I22" s="220"/>
      <c r="J22" s="220"/>
      <c r="K22" s="220"/>
      <c r="L22" s="220"/>
      <c r="M22" s="220"/>
      <c r="N22" s="220"/>
      <c r="O22" s="233"/>
      <c r="P22" s="103"/>
      <c r="Q22" s="239"/>
      <c r="R22" s="227"/>
      <c r="S22" s="227"/>
      <c r="T22" s="227"/>
      <c r="U22" s="227"/>
      <c r="V22" s="227"/>
      <c r="W22" s="227"/>
      <c r="X22" s="230"/>
    </row>
    <row r="23" spans="1:24">
      <c r="A23" s="221"/>
      <c r="B23" s="222"/>
      <c r="C23" s="210"/>
      <c r="D23" s="214"/>
      <c r="E23" s="215"/>
      <c r="F23" s="216"/>
      <c r="G23" s="223"/>
      <c r="H23" s="223"/>
      <c r="I23" s="223"/>
      <c r="J23" s="223"/>
      <c r="K23" s="223"/>
      <c r="L23" s="223"/>
      <c r="M23" s="223"/>
      <c r="N23" s="223"/>
      <c r="O23" s="223"/>
      <c r="P23" s="106"/>
      <c r="Q23" s="236"/>
      <c r="R23" s="227"/>
      <c r="S23" s="227"/>
      <c r="T23" s="227"/>
      <c r="U23" s="227"/>
      <c r="V23" s="227"/>
      <c r="W23" s="227"/>
      <c r="X23" s="230"/>
    </row>
    <row r="24" spans="1:24">
      <c r="A24" s="224"/>
      <c r="B24" s="225"/>
      <c r="C24" s="210"/>
      <c r="D24" s="217"/>
      <c r="E24" s="218"/>
      <c r="F24" s="219"/>
      <c r="G24" s="223"/>
      <c r="H24" s="223"/>
      <c r="I24" s="223"/>
      <c r="J24" s="223"/>
      <c r="K24" s="223"/>
      <c r="L24" s="223"/>
      <c r="M24" s="223"/>
      <c r="N24" s="223"/>
      <c r="O24" s="223"/>
      <c r="P24" s="104"/>
      <c r="Q24" s="237"/>
      <c r="R24" s="228"/>
      <c r="S24" s="228"/>
      <c r="T24" s="228"/>
      <c r="U24" s="228"/>
      <c r="V24" s="228"/>
      <c r="W24" s="228"/>
      <c r="X24" s="231"/>
    </row>
    <row r="25" spans="1:24" ht="14" customHeight="1">
      <c r="A25" s="208"/>
      <c r="B25" s="209"/>
      <c r="C25" s="210"/>
      <c r="D25" s="211"/>
      <c r="E25" s="212"/>
      <c r="F25" s="213"/>
      <c r="G25" s="220"/>
      <c r="H25" s="220"/>
      <c r="I25" s="220"/>
      <c r="J25" s="220"/>
      <c r="K25" s="220"/>
      <c r="L25" s="220"/>
      <c r="M25" s="220"/>
      <c r="N25" s="220"/>
      <c r="O25" s="232"/>
      <c r="P25" s="105"/>
      <c r="Q25" s="248"/>
      <c r="R25" s="226"/>
      <c r="S25" s="226"/>
      <c r="T25" s="226"/>
      <c r="U25" s="226"/>
      <c r="V25" s="226"/>
      <c r="W25" s="226"/>
      <c r="X25" s="229"/>
    </row>
    <row r="26" spans="1:24">
      <c r="A26" s="221"/>
      <c r="B26" s="222"/>
      <c r="C26" s="210"/>
      <c r="D26" s="214"/>
      <c r="E26" s="215"/>
      <c r="F26" s="216"/>
      <c r="G26" s="220"/>
      <c r="H26" s="220"/>
      <c r="I26" s="220"/>
      <c r="J26" s="220"/>
      <c r="K26" s="220"/>
      <c r="L26" s="220"/>
      <c r="M26" s="220"/>
      <c r="N26" s="220"/>
      <c r="O26" s="233"/>
      <c r="P26" s="103"/>
      <c r="Q26" s="248"/>
      <c r="R26" s="227"/>
      <c r="S26" s="227"/>
      <c r="T26" s="227"/>
      <c r="U26" s="227"/>
      <c r="V26" s="227"/>
      <c r="W26" s="227"/>
      <c r="X26" s="230"/>
    </row>
    <row r="27" spans="1:24">
      <c r="A27" s="221"/>
      <c r="B27" s="222"/>
      <c r="C27" s="210"/>
      <c r="D27" s="214"/>
      <c r="E27" s="215"/>
      <c r="F27" s="216"/>
      <c r="G27" s="223"/>
      <c r="H27" s="223"/>
      <c r="I27" s="223"/>
      <c r="J27" s="223"/>
      <c r="K27" s="223"/>
      <c r="L27" s="223"/>
      <c r="M27" s="223"/>
      <c r="N27" s="223"/>
      <c r="O27" s="223"/>
      <c r="P27" s="106"/>
      <c r="Q27" s="236"/>
      <c r="R27" s="227"/>
      <c r="S27" s="227"/>
      <c r="T27" s="227"/>
      <c r="U27" s="227"/>
      <c r="V27" s="227"/>
      <c r="W27" s="227"/>
      <c r="X27" s="230"/>
    </row>
    <row r="28" spans="1:24">
      <c r="A28" s="224"/>
      <c r="B28" s="225"/>
      <c r="C28" s="210"/>
      <c r="D28" s="217"/>
      <c r="E28" s="218"/>
      <c r="F28" s="219"/>
      <c r="G28" s="223"/>
      <c r="H28" s="223"/>
      <c r="I28" s="223"/>
      <c r="J28" s="223"/>
      <c r="K28" s="223"/>
      <c r="L28" s="223"/>
      <c r="M28" s="223"/>
      <c r="N28" s="223"/>
      <c r="O28" s="223"/>
      <c r="P28" s="104"/>
      <c r="Q28" s="237"/>
      <c r="R28" s="228"/>
      <c r="S28" s="228"/>
      <c r="T28" s="228"/>
      <c r="U28" s="228"/>
      <c r="V28" s="228"/>
      <c r="W28" s="228"/>
      <c r="X28" s="231"/>
    </row>
    <row r="29" spans="1:24" ht="14" customHeight="1">
      <c r="A29" s="208"/>
      <c r="B29" s="209"/>
      <c r="C29" s="210"/>
      <c r="D29" s="211"/>
      <c r="E29" s="212"/>
      <c r="F29" s="213"/>
      <c r="G29" s="220"/>
      <c r="H29" s="220"/>
      <c r="I29" s="220"/>
      <c r="J29" s="220"/>
      <c r="K29" s="220"/>
      <c r="L29" s="220"/>
      <c r="M29" s="220"/>
      <c r="N29" s="220"/>
      <c r="O29" s="232"/>
      <c r="P29" s="105"/>
      <c r="Q29" s="248"/>
      <c r="R29" s="226"/>
      <c r="S29" s="226"/>
      <c r="T29" s="226"/>
      <c r="U29" s="226"/>
      <c r="V29" s="226"/>
      <c r="W29" s="226"/>
      <c r="X29" s="229"/>
    </row>
    <row r="30" spans="1:24">
      <c r="A30" s="221"/>
      <c r="B30" s="222"/>
      <c r="C30" s="210"/>
      <c r="D30" s="214"/>
      <c r="E30" s="215"/>
      <c r="F30" s="216"/>
      <c r="G30" s="220"/>
      <c r="H30" s="220"/>
      <c r="I30" s="220"/>
      <c r="J30" s="220"/>
      <c r="K30" s="220"/>
      <c r="L30" s="220"/>
      <c r="M30" s="220"/>
      <c r="N30" s="220"/>
      <c r="O30" s="233"/>
      <c r="P30" s="103"/>
      <c r="Q30" s="248"/>
      <c r="R30" s="227"/>
      <c r="S30" s="227"/>
      <c r="T30" s="227"/>
      <c r="U30" s="227"/>
      <c r="V30" s="227"/>
      <c r="W30" s="227"/>
      <c r="X30" s="230"/>
    </row>
    <row r="31" spans="1:24">
      <c r="A31" s="221"/>
      <c r="B31" s="222"/>
      <c r="C31" s="210"/>
      <c r="D31" s="214"/>
      <c r="E31" s="215"/>
      <c r="F31" s="216"/>
      <c r="G31" s="223"/>
      <c r="H31" s="223"/>
      <c r="I31" s="234"/>
      <c r="J31" s="234"/>
      <c r="K31" s="234"/>
      <c r="L31" s="234"/>
      <c r="M31" s="234"/>
      <c r="N31" s="234"/>
      <c r="O31" s="223"/>
      <c r="P31" s="106"/>
      <c r="Q31" s="236"/>
      <c r="R31" s="227"/>
      <c r="S31" s="227"/>
      <c r="T31" s="227"/>
      <c r="U31" s="227"/>
      <c r="V31" s="227"/>
      <c r="W31" s="227"/>
      <c r="X31" s="230"/>
    </row>
    <row r="32" spans="1:24">
      <c r="A32" s="224"/>
      <c r="B32" s="225"/>
      <c r="C32" s="210"/>
      <c r="D32" s="217"/>
      <c r="E32" s="218"/>
      <c r="F32" s="219"/>
      <c r="G32" s="223"/>
      <c r="H32" s="223"/>
      <c r="I32" s="235"/>
      <c r="J32" s="235"/>
      <c r="K32" s="235"/>
      <c r="L32" s="235"/>
      <c r="M32" s="235"/>
      <c r="N32" s="235"/>
      <c r="O32" s="223"/>
      <c r="P32" s="104"/>
      <c r="Q32" s="237"/>
      <c r="R32" s="228"/>
      <c r="S32" s="228"/>
      <c r="T32" s="228"/>
      <c r="U32" s="228"/>
      <c r="V32" s="228"/>
      <c r="W32" s="228"/>
      <c r="X32" s="231"/>
    </row>
    <row r="33" spans="1:24" ht="14" customHeight="1">
      <c r="A33" s="208"/>
      <c r="B33" s="209"/>
      <c r="C33" s="210"/>
      <c r="D33" s="211"/>
      <c r="E33" s="212"/>
      <c r="F33" s="213"/>
      <c r="G33" s="220"/>
      <c r="H33" s="220"/>
      <c r="I33" s="220"/>
      <c r="J33" s="220"/>
      <c r="K33" s="220"/>
      <c r="L33" s="220"/>
      <c r="M33" s="220"/>
      <c r="N33" s="220"/>
      <c r="O33" s="232"/>
      <c r="P33" s="105"/>
      <c r="Q33" s="248"/>
      <c r="R33" s="229"/>
      <c r="S33" s="226"/>
      <c r="T33" s="226"/>
      <c r="U33" s="226"/>
      <c r="V33" s="226"/>
      <c r="W33" s="226"/>
      <c r="X33" s="229"/>
    </row>
    <row r="34" spans="1:24">
      <c r="A34" s="221"/>
      <c r="B34" s="222"/>
      <c r="C34" s="210"/>
      <c r="D34" s="214"/>
      <c r="E34" s="215"/>
      <c r="F34" s="216"/>
      <c r="G34" s="220"/>
      <c r="H34" s="220"/>
      <c r="I34" s="220"/>
      <c r="J34" s="220"/>
      <c r="K34" s="220"/>
      <c r="L34" s="220"/>
      <c r="M34" s="220"/>
      <c r="N34" s="220"/>
      <c r="O34" s="233"/>
      <c r="P34" s="103"/>
      <c r="Q34" s="248"/>
      <c r="R34" s="230"/>
      <c r="S34" s="227"/>
      <c r="T34" s="227"/>
      <c r="U34" s="227"/>
      <c r="V34" s="227"/>
      <c r="W34" s="227"/>
      <c r="X34" s="230"/>
    </row>
    <row r="35" spans="1:24">
      <c r="A35" s="221"/>
      <c r="B35" s="222"/>
      <c r="C35" s="210"/>
      <c r="D35" s="214"/>
      <c r="E35" s="215"/>
      <c r="F35" s="216"/>
      <c r="G35" s="223"/>
      <c r="H35" s="223"/>
      <c r="I35" s="234"/>
      <c r="J35" s="234"/>
      <c r="K35" s="234"/>
      <c r="L35" s="234"/>
      <c r="M35" s="234"/>
      <c r="N35" s="234"/>
      <c r="O35" s="223"/>
      <c r="P35" s="106"/>
      <c r="Q35" s="236"/>
      <c r="R35" s="230"/>
      <c r="S35" s="227"/>
      <c r="T35" s="227"/>
      <c r="U35" s="227"/>
      <c r="V35" s="227"/>
      <c r="W35" s="227"/>
      <c r="X35" s="230"/>
    </row>
    <row r="36" spans="1:24">
      <c r="A36" s="224"/>
      <c r="B36" s="225"/>
      <c r="C36" s="210"/>
      <c r="D36" s="217"/>
      <c r="E36" s="218"/>
      <c r="F36" s="219"/>
      <c r="G36" s="223"/>
      <c r="H36" s="223"/>
      <c r="I36" s="235"/>
      <c r="J36" s="235"/>
      <c r="K36" s="235"/>
      <c r="L36" s="235"/>
      <c r="M36" s="235"/>
      <c r="N36" s="235"/>
      <c r="O36" s="223"/>
      <c r="P36" s="104"/>
      <c r="Q36" s="237"/>
      <c r="R36" s="231"/>
      <c r="S36" s="228"/>
      <c r="T36" s="228"/>
      <c r="U36" s="228"/>
      <c r="V36" s="228"/>
      <c r="W36" s="228"/>
      <c r="X36" s="231"/>
    </row>
    <row r="37" spans="1:24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</row>
    <row r="38" spans="1:24" ht="15.75" customHeight="1">
      <c r="A38" s="18" t="s">
        <v>58</v>
      </c>
      <c r="B38" s="101">
        <f>N10</f>
        <v>42456</v>
      </c>
      <c r="C38" s="20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 t="s">
        <v>82</v>
      </c>
      <c r="R38" s="18"/>
      <c r="S38" s="18"/>
      <c r="T38" s="18"/>
      <c r="U38" s="3"/>
      <c r="V38" s="3"/>
      <c r="W38" s="3"/>
    </row>
    <row r="39" spans="1:24" ht="18.75" customHeight="1">
      <c r="A39" s="29" t="s">
        <v>59</v>
      </c>
      <c r="B39" s="35" t="s">
        <v>83</v>
      </c>
      <c r="C39" s="31"/>
      <c r="D39" s="31"/>
      <c r="E39" s="31"/>
      <c r="F39" s="31"/>
      <c r="G39" s="31"/>
      <c r="H39" s="96" t="s">
        <v>75</v>
      </c>
      <c r="I39" s="96"/>
      <c r="J39" s="96"/>
      <c r="K39" s="27"/>
      <c r="L39" s="27"/>
      <c r="M39" s="25"/>
      <c r="N39" s="25"/>
      <c r="O39" s="25"/>
      <c r="P39" s="18"/>
      <c r="Q39" s="13" t="s">
        <v>90</v>
      </c>
      <c r="S39" s="18"/>
      <c r="T39" s="18"/>
      <c r="U39" s="3"/>
      <c r="V39" s="3"/>
      <c r="W39" s="3"/>
    </row>
    <row r="40" spans="1:24" ht="14.25" customHeight="1">
      <c r="A40" s="29"/>
      <c r="B40" s="21" t="s">
        <v>62</v>
      </c>
      <c r="C40" s="21"/>
      <c r="D40" s="21"/>
      <c r="E40" s="21"/>
      <c r="F40" s="31"/>
      <c r="G40" s="58"/>
      <c r="H40" s="21" t="s">
        <v>63</v>
      </c>
      <c r="I40" s="58"/>
      <c r="J40" s="21"/>
      <c r="K40" s="21"/>
      <c r="L40" s="24"/>
      <c r="M40" s="24"/>
      <c r="N40" s="24"/>
      <c r="O40" s="25"/>
      <c r="P40" s="17" t="s">
        <v>10</v>
      </c>
      <c r="R40" s="18"/>
      <c r="S40" s="18"/>
      <c r="T40" s="3"/>
      <c r="U40" s="3"/>
      <c r="V40" s="3"/>
    </row>
    <row r="41" spans="1:24" ht="12" customHeight="1">
      <c r="A41" s="17"/>
      <c r="F41" s="23"/>
      <c r="L41" s="95"/>
      <c r="M41" s="18"/>
      <c r="N41" s="18"/>
      <c r="O41" s="18"/>
      <c r="P41" s="18" t="s">
        <v>11</v>
      </c>
      <c r="R41" s="18"/>
      <c r="S41" s="18"/>
      <c r="T41" s="3"/>
      <c r="U41" s="3"/>
      <c r="V41" s="3"/>
    </row>
    <row r="42" spans="1:24" ht="12" customHeight="1">
      <c r="A42" s="17" t="s">
        <v>60</v>
      </c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 t="s">
        <v>12</v>
      </c>
      <c r="R42" s="18"/>
      <c r="S42" s="18"/>
      <c r="T42" s="3"/>
      <c r="U42" s="3"/>
      <c r="V42" s="3"/>
    </row>
    <row r="43" spans="1:24" ht="12" customHeight="1">
      <c r="A43" s="18"/>
      <c r="B43" s="18" t="s">
        <v>61</v>
      </c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25" t="s">
        <v>13</v>
      </c>
      <c r="R43" s="25"/>
      <c r="S43" s="25"/>
      <c r="T43" s="34"/>
      <c r="U43" s="34"/>
      <c r="V43" s="34"/>
    </row>
    <row r="44" spans="1:24" s="19" customFormat="1" ht="16.5" customHeight="1">
      <c r="A44" s="29"/>
      <c r="B44" s="25"/>
      <c r="C44" s="31" t="str">
        <f>C50</f>
        <v>Evankoff LLC</v>
      </c>
      <c r="D44" s="36"/>
      <c r="E44" s="36"/>
      <c r="F44" s="25"/>
      <c r="G44" s="25"/>
      <c r="H44" s="25"/>
      <c r="I44" s="25"/>
      <c r="J44" s="25"/>
      <c r="K44" s="25"/>
      <c r="L44" s="25"/>
      <c r="M44" s="25"/>
      <c r="N44" s="25"/>
      <c r="O44" s="25" t="s">
        <v>64</v>
      </c>
      <c r="P44" s="25"/>
    </row>
    <row r="45" spans="1:24">
      <c r="A45" s="24"/>
      <c r="B45" s="24"/>
      <c r="C45" s="24" t="s">
        <v>65</v>
      </c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5"/>
      <c r="P45" s="25"/>
      <c r="Q45" s="36" t="s">
        <v>16</v>
      </c>
      <c r="S45" s="19"/>
      <c r="T45" s="19"/>
      <c r="U45" s="19"/>
    </row>
    <row r="46" spans="1:24" s="19" customFormat="1" ht="15" thickBot="1">
      <c r="A46" s="31" t="s">
        <v>105</v>
      </c>
      <c r="B46" s="31"/>
      <c r="C46" s="31"/>
      <c r="D46" s="31"/>
      <c r="E46" s="31"/>
      <c r="F46" s="31"/>
      <c r="G46" s="25" t="s">
        <v>67</v>
      </c>
      <c r="H46" s="25"/>
      <c r="I46" s="25"/>
      <c r="J46" s="25"/>
      <c r="K46" s="25"/>
      <c r="L46" s="25"/>
      <c r="M46" s="25"/>
      <c r="N46" s="25"/>
      <c r="O46" s="25"/>
      <c r="P46" s="25"/>
      <c r="Q46" s="25"/>
    </row>
    <row r="47" spans="1:24">
      <c r="A47" s="24"/>
      <c r="B47" s="24" t="s">
        <v>66</v>
      </c>
      <c r="C47" s="24"/>
      <c r="D47" s="24"/>
      <c r="E47" s="24"/>
      <c r="F47" s="24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94"/>
      <c r="R47" s="70" t="s">
        <v>14</v>
      </c>
      <c r="S47" s="71"/>
      <c r="T47" s="72"/>
      <c r="U47" s="37"/>
      <c r="V47" s="73" t="s">
        <v>15</v>
      </c>
      <c r="W47" s="74" t="s">
        <v>93</v>
      </c>
      <c r="X47" s="75"/>
    </row>
    <row r="48" spans="1:24">
      <c r="A48" s="99">
        <f>H10</f>
        <v>42450</v>
      </c>
      <c r="B48" s="26" t="s">
        <v>68</v>
      </c>
      <c r="C48" s="244">
        <f>F7</f>
        <v>42456</v>
      </c>
      <c r="D48" s="244"/>
      <c r="E48" s="98"/>
      <c r="F48" s="33" t="s">
        <v>73</v>
      </c>
      <c r="J48" s="32"/>
      <c r="L48" s="25"/>
      <c r="M48" s="25"/>
      <c r="N48" s="25"/>
      <c r="O48" s="25"/>
      <c r="P48" s="25"/>
      <c r="Q48" s="76"/>
      <c r="R48" s="77"/>
      <c r="S48" s="77"/>
      <c r="T48" s="78"/>
      <c r="U48" s="79"/>
      <c r="V48" s="80"/>
      <c r="W48" s="80"/>
      <c r="X48" s="81"/>
    </row>
    <row r="49" spans="1:24" ht="14.25" customHeight="1" thickBot="1">
      <c r="A49" s="24" t="s">
        <v>74</v>
      </c>
      <c r="B49" s="25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5"/>
      <c r="Q49" s="82"/>
      <c r="R49" s="83"/>
      <c r="S49" s="83"/>
      <c r="T49" s="84"/>
      <c r="U49" s="85"/>
      <c r="V49" s="86"/>
      <c r="W49" s="86"/>
      <c r="X49" s="87"/>
    </row>
    <row r="50" spans="1:24" ht="18.75" customHeight="1">
      <c r="A50" s="25"/>
      <c r="B50" s="25"/>
      <c r="C50" s="31" t="str">
        <f>A5</f>
        <v>Evankoff LLC</v>
      </c>
      <c r="D50" s="25"/>
      <c r="E50" s="25"/>
      <c r="F50" s="25"/>
      <c r="G50" s="25"/>
      <c r="H50" s="25"/>
      <c r="I50" s="25"/>
      <c r="J50" s="25"/>
      <c r="K50" s="25"/>
      <c r="L50" s="25"/>
      <c r="M50" s="25" t="s">
        <v>69</v>
      </c>
      <c r="N50" s="25"/>
      <c r="O50" s="25"/>
      <c r="P50" s="25"/>
      <c r="Q50" s="107" t="s">
        <v>128</v>
      </c>
      <c r="R50" s="108"/>
      <c r="S50" s="240" t="s">
        <v>97</v>
      </c>
      <c r="T50" s="240"/>
      <c r="U50" s="240"/>
      <c r="V50" s="240"/>
      <c r="W50" s="240"/>
      <c r="X50" s="241"/>
    </row>
    <row r="51" spans="1:24">
      <c r="A51" s="24"/>
      <c r="B51" s="24"/>
      <c r="C51" s="24" t="s">
        <v>65</v>
      </c>
      <c r="D51" s="24"/>
      <c r="E51" s="24"/>
      <c r="F51" s="24"/>
      <c r="G51" s="24"/>
      <c r="H51" s="24"/>
      <c r="I51" s="24"/>
      <c r="J51" s="24"/>
      <c r="K51" s="24"/>
      <c r="L51" s="24"/>
      <c r="M51" s="25"/>
      <c r="N51" s="25"/>
      <c r="O51" s="25"/>
      <c r="P51" s="25"/>
      <c r="Q51" s="109" t="s">
        <v>127</v>
      </c>
      <c r="R51" s="110"/>
      <c r="S51" s="242"/>
      <c r="T51" s="242"/>
      <c r="U51" s="242"/>
      <c r="V51" s="242"/>
      <c r="W51" s="242"/>
      <c r="X51" s="243"/>
    </row>
    <row r="52" spans="1:24" ht="12.75" customHeight="1" thickBot="1">
      <c r="A52" s="25" t="s">
        <v>70</v>
      </c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39"/>
      <c r="R52" s="88"/>
      <c r="S52" s="88"/>
      <c r="T52" s="89"/>
      <c r="U52" s="41"/>
      <c r="V52" s="40"/>
      <c r="W52" s="40"/>
      <c r="X52" s="42"/>
    </row>
    <row r="53" spans="1:24" ht="12.75" customHeight="1">
      <c r="A53" s="25" t="s">
        <v>71</v>
      </c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107" t="s">
        <v>128</v>
      </c>
      <c r="R53" s="108"/>
      <c r="S53" s="240" t="s">
        <v>95</v>
      </c>
      <c r="T53" s="240"/>
      <c r="U53" s="240"/>
      <c r="V53" s="240"/>
      <c r="W53" s="240"/>
      <c r="X53" s="241"/>
    </row>
    <row r="54" spans="1:24" ht="12.75" customHeight="1">
      <c r="A54" s="25" t="s">
        <v>72</v>
      </c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109" t="s">
        <v>127</v>
      </c>
      <c r="R54" s="110"/>
      <c r="S54" s="242"/>
      <c r="T54" s="242"/>
      <c r="U54" s="242"/>
      <c r="V54" s="242"/>
      <c r="W54" s="242"/>
      <c r="X54" s="243"/>
    </row>
    <row r="55" spans="1:24" ht="12.75" customHeight="1" thickBot="1">
      <c r="A55" s="25" t="s">
        <v>0</v>
      </c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53"/>
      <c r="R55" s="54"/>
      <c r="S55" s="54"/>
      <c r="T55" s="54"/>
      <c r="U55" s="55"/>
      <c r="V55" s="10"/>
      <c r="W55" s="10"/>
      <c r="X55" s="56"/>
    </row>
    <row r="56" spans="1:24" ht="18" customHeight="1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48"/>
      <c r="R56" s="49"/>
      <c r="S56" s="49"/>
      <c r="T56" s="49"/>
      <c r="U56" s="50"/>
      <c r="V56" s="51"/>
      <c r="W56" s="51"/>
      <c r="X56" s="52"/>
    </row>
    <row r="57" spans="1:24" ht="18" customHeight="1" thickBot="1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5"/>
      <c r="Q57" s="53"/>
      <c r="R57" s="54"/>
      <c r="S57" s="54"/>
      <c r="T57" s="54"/>
      <c r="U57" s="55"/>
      <c r="V57" s="10"/>
      <c r="W57" s="10"/>
      <c r="X57" s="56"/>
    </row>
    <row r="58" spans="1:24" ht="18" customHeight="1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5"/>
      <c r="Q58" s="48"/>
      <c r="R58" s="49"/>
      <c r="S58" s="49"/>
      <c r="T58" s="49"/>
      <c r="U58" s="50"/>
      <c r="V58" s="51"/>
      <c r="W58" s="51"/>
      <c r="X58" s="52"/>
    </row>
    <row r="59" spans="1:24" ht="21" customHeight="1" thickBot="1">
      <c r="A59" s="24"/>
      <c r="B59" s="28" t="s">
        <v>2</v>
      </c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5"/>
      <c r="Q59" s="53"/>
      <c r="R59" s="54"/>
      <c r="S59" s="54"/>
      <c r="T59" s="54"/>
      <c r="U59" s="55"/>
      <c r="V59" s="10"/>
      <c r="W59" s="10"/>
      <c r="X59" s="56"/>
    </row>
    <row r="60" spans="1:24" ht="12" customHeight="1">
      <c r="A60" s="30" t="s">
        <v>3</v>
      </c>
      <c r="B60" s="30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5"/>
      <c r="Q60" s="48" t="s">
        <v>17</v>
      </c>
      <c r="R60" s="49"/>
      <c r="S60" s="49"/>
      <c r="T60" s="49"/>
      <c r="U60" s="49"/>
      <c r="V60" s="51"/>
      <c r="W60" s="51"/>
      <c r="X60" s="52"/>
    </row>
    <row r="61" spans="1:24" ht="12" customHeight="1">
      <c r="A61" s="27" t="s">
        <v>4</v>
      </c>
      <c r="B61" s="30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5"/>
      <c r="Q61" s="111" t="s">
        <v>96</v>
      </c>
      <c r="R61" s="44"/>
      <c r="S61" s="44"/>
      <c r="T61" s="44"/>
      <c r="U61" s="44"/>
      <c r="V61" s="46"/>
      <c r="W61" s="46"/>
      <c r="X61" s="47"/>
    </row>
    <row r="62" spans="1:24" ht="12" customHeight="1">
      <c r="A62" s="27" t="s">
        <v>5</v>
      </c>
      <c r="B62" s="30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5"/>
      <c r="Q62" s="121"/>
      <c r="R62" s="122"/>
      <c r="S62" s="44"/>
      <c r="T62" s="44"/>
      <c r="U62" s="44"/>
      <c r="V62" s="46"/>
      <c r="W62" s="46"/>
      <c r="X62" s="47"/>
    </row>
    <row r="63" spans="1:24" ht="12" customHeight="1">
      <c r="A63" s="27"/>
      <c r="B63" s="30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5"/>
      <c r="Q63" s="121"/>
      <c r="R63" s="122"/>
      <c r="S63" s="44"/>
      <c r="T63" s="44"/>
      <c r="U63" s="44"/>
      <c r="V63" s="46"/>
      <c r="W63" s="46"/>
      <c r="X63" s="47"/>
    </row>
    <row r="64" spans="1:24" ht="12" customHeight="1">
      <c r="A64" s="29" t="s">
        <v>7</v>
      </c>
      <c r="B64" s="29" t="s">
        <v>6</v>
      </c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121"/>
      <c r="R64" s="122"/>
      <c r="S64" s="44"/>
      <c r="T64" s="44"/>
      <c r="U64" s="44"/>
      <c r="V64" s="46"/>
      <c r="W64" s="46"/>
      <c r="X64" s="47"/>
    </row>
    <row r="65" spans="1:24" ht="12" customHeight="1">
      <c r="A65" s="25" t="s">
        <v>8</v>
      </c>
      <c r="B65" s="29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43"/>
      <c r="R65" s="44"/>
      <c r="S65" s="44"/>
      <c r="T65" s="44"/>
      <c r="U65" s="44"/>
      <c r="V65" s="46"/>
      <c r="W65" s="46"/>
      <c r="X65" s="47"/>
    </row>
    <row r="66" spans="1:24" ht="12" customHeight="1">
      <c r="A66" s="25" t="s">
        <v>9</v>
      </c>
      <c r="B66" s="29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43"/>
      <c r="R66" s="44"/>
      <c r="S66" s="44"/>
      <c r="T66" s="44"/>
      <c r="U66" s="44"/>
      <c r="V66" s="46"/>
      <c r="W66" s="46"/>
      <c r="X66" s="47"/>
    </row>
    <row r="67" spans="1:24" ht="12" customHeight="1" thickBot="1">
      <c r="A67" s="25"/>
      <c r="B67" s="29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53"/>
      <c r="R67" s="54"/>
      <c r="S67" s="54"/>
      <c r="T67" s="54"/>
      <c r="U67" s="54"/>
      <c r="V67" s="10"/>
      <c r="W67" s="10"/>
      <c r="X67" s="56"/>
    </row>
    <row r="68" spans="1:24" ht="12" customHeight="1">
      <c r="A68" s="25"/>
      <c r="B68" s="25" t="s">
        <v>57</v>
      </c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</row>
    <row r="69" spans="1:24" ht="12" customHeight="1">
      <c r="A69" s="25"/>
      <c r="B69" s="25" t="s">
        <v>1</v>
      </c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12" t="s">
        <v>50</v>
      </c>
      <c r="R69" s="22"/>
      <c r="S69" s="22"/>
      <c r="T69" s="67"/>
      <c r="U69" s="57" t="s">
        <v>51</v>
      </c>
      <c r="V69" s="58"/>
      <c r="W69" s="58"/>
      <c r="X69" s="59"/>
    </row>
    <row r="70" spans="1:24" ht="11.25" customHeight="1">
      <c r="A70" s="25"/>
      <c r="B70" s="25" t="s">
        <v>81</v>
      </c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63"/>
      <c r="T70" s="68"/>
      <c r="U70" s="61"/>
      <c r="V70" s="38"/>
      <c r="W70" s="38"/>
      <c r="X70" s="60"/>
    </row>
    <row r="71" spans="1:24" ht="13.5" customHeight="1">
      <c r="A71" s="25"/>
      <c r="B71" s="97" t="s">
        <v>80</v>
      </c>
      <c r="C71" s="29" t="s">
        <v>76</v>
      </c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93" t="str">
        <f>B39</f>
        <v>Eric Coffie</v>
      </c>
      <c r="R71" s="90"/>
      <c r="S71" s="90" t="str">
        <f>H39</f>
        <v>President</v>
      </c>
      <c r="T71" s="68"/>
      <c r="U71" s="61"/>
      <c r="V71" s="38"/>
      <c r="W71" s="38"/>
      <c r="X71" s="60"/>
    </row>
    <row r="72" spans="1:24" ht="10.5" customHeight="1">
      <c r="A72" s="19"/>
      <c r="B72" s="25"/>
      <c r="C72" s="25" t="s">
        <v>77</v>
      </c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19"/>
      <c r="Q72" s="91"/>
      <c r="R72" s="92"/>
      <c r="S72" s="92"/>
      <c r="T72" s="69"/>
      <c r="U72" s="62"/>
      <c r="V72" s="116"/>
      <c r="W72" s="116"/>
      <c r="X72" s="117"/>
    </row>
    <row r="73" spans="1:24" ht="10.5" customHeight="1">
      <c r="A73" s="19"/>
      <c r="B73" s="19"/>
      <c r="C73" s="25" t="s">
        <v>78</v>
      </c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</row>
    <row r="74" spans="1:24" ht="10.5" customHeight="1">
      <c r="B74" s="19"/>
      <c r="C74" s="25" t="s">
        <v>79</v>
      </c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Q74" s="64" t="s">
        <v>86</v>
      </c>
      <c r="R74" s="58"/>
      <c r="S74" s="58"/>
      <c r="T74" s="58"/>
      <c r="U74" s="58"/>
      <c r="V74" s="58"/>
      <c r="W74" s="58"/>
      <c r="X74" s="59"/>
    </row>
    <row r="75" spans="1:24" ht="10.5" customHeight="1">
      <c r="Q75" s="66" t="s">
        <v>87</v>
      </c>
      <c r="R75" s="38"/>
      <c r="S75" s="38"/>
      <c r="T75" s="38"/>
      <c r="U75" s="38"/>
      <c r="V75" s="38"/>
      <c r="W75" s="38"/>
      <c r="X75" s="60"/>
    </row>
    <row r="76" spans="1:24" ht="10.5" customHeight="1">
      <c r="Q76" s="66" t="s">
        <v>88</v>
      </c>
      <c r="R76" s="38"/>
      <c r="S76" s="38"/>
      <c r="T76" s="38"/>
      <c r="U76" s="38"/>
      <c r="V76" s="38"/>
      <c r="W76" s="38"/>
      <c r="X76" s="60"/>
    </row>
    <row r="77" spans="1:24" ht="10.5" customHeight="1">
      <c r="Q77" s="65" t="s">
        <v>89</v>
      </c>
      <c r="R77" s="116"/>
      <c r="S77" s="116"/>
      <c r="T77" s="116"/>
      <c r="U77" s="116"/>
      <c r="V77" s="116"/>
      <c r="W77" s="116"/>
      <c r="X77" s="117"/>
    </row>
  </sheetData>
  <mergeCells count="235">
    <mergeCell ref="S50:X51"/>
    <mergeCell ref="S53:X54"/>
    <mergeCell ref="M35:M36"/>
    <mergeCell ref="N35:N36"/>
    <mergeCell ref="O35:O36"/>
    <mergeCell ref="Q35:Q36"/>
    <mergeCell ref="A36:B36"/>
    <mergeCell ref="C48:D48"/>
    <mergeCell ref="W33:W36"/>
    <mergeCell ref="X33:X36"/>
    <mergeCell ref="A34:B34"/>
    <mergeCell ref="A35:B35"/>
    <mergeCell ref="G35:G36"/>
    <mergeCell ref="H35:H36"/>
    <mergeCell ref="I35:I36"/>
    <mergeCell ref="J35:J36"/>
    <mergeCell ref="K35:K36"/>
    <mergeCell ref="L35:L36"/>
    <mergeCell ref="Q33:Q34"/>
    <mergeCell ref="R33:R36"/>
    <mergeCell ref="S33:S36"/>
    <mergeCell ref="T33:T36"/>
    <mergeCell ref="U33:U36"/>
    <mergeCell ref="V33:V36"/>
    <mergeCell ref="J33:J34"/>
    <mergeCell ref="K33:K34"/>
    <mergeCell ref="L33:L34"/>
    <mergeCell ref="M33:M34"/>
    <mergeCell ref="N33:N34"/>
    <mergeCell ref="O33:O34"/>
    <mergeCell ref="A33:B33"/>
    <mergeCell ref="C33:C36"/>
    <mergeCell ref="D33:F36"/>
    <mergeCell ref="G33:G34"/>
    <mergeCell ref="H33:H34"/>
    <mergeCell ref="I33:I34"/>
    <mergeCell ref="V29:V32"/>
    <mergeCell ref="W29:W32"/>
    <mergeCell ref="X29:X32"/>
    <mergeCell ref="A30:B30"/>
    <mergeCell ref="A31:B31"/>
    <mergeCell ref="G31:G32"/>
    <mergeCell ref="H31:H32"/>
    <mergeCell ref="I31:I32"/>
    <mergeCell ref="J31:J32"/>
    <mergeCell ref="K31:K32"/>
    <mergeCell ref="O29:O30"/>
    <mergeCell ref="Q29:Q30"/>
    <mergeCell ref="R29:R32"/>
    <mergeCell ref="S29:S32"/>
    <mergeCell ref="T29:T32"/>
    <mergeCell ref="U29:U32"/>
    <mergeCell ref="I29:I30"/>
    <mergeCell ref="J29:J30"/>
    <mergeCell ref="K29:K30"/>
    <mergeCell ref="L29:L30"/>
    <mergeCell ref="M29:M30"/>
    <mergeCell ref="N29:N30"/>
    <mergeCell ref="M27:M28"/>
    <mergeCell ref="N27:N28"/>
    <mergeCell ref="O27:O28"/>
    <mergeCell ref="Q27:Q28"/>
    <mergeCell ref="A28:B28"/>
    <mergeCell ref="A29:B29"/>
    <mergeCell ref="C29:C32"/>
    <mergeCell ref="D29:F32"/>
    <mergeCell ref="G29:G30"/>
    <mergeCell ref="H29:H30"/>
    <mergeCell ref="D25:F28"/>
    <mergeCell ref="G25:G26"/>
    <mergeCell ref="H25:H26"/>
    <mergeCell ref="I25:I26"/>
    <mergeCell ref="L31:L32"/>
    <mergeCell ref="M31:M32"/>
    <mergeCell ref="N31:N32"/>
    <mergeCell ref="O31:O32"/>
    <mergeCell ref="Q31:Q32"/>
    <mergeCell ref="A32:B32"/>
    <mergeCell ref="W25:W28"/>
    <mergeCell ref="X25:X28"/>
    <mergeCell ref="A26:B26"/>
    <mergeCell ref="A27:B27"/>
    <mergeCell ref="G27:G28"/>
    <mergeCell ref="H27:H28"/>
    <mergeCell ref="I27:I28"/>
    <mergeCell ref="J27:J28"/>
    <mergeCell ref="K27:K28"/>
    <mergeCell ref="L27:L28"/>
    <mergeCell ref="Q25:Q26"/>
    <mergeCell ref="R25:R28"/>
    <mergeCell ref="S25:S28"/>
    <mergeCell ref="T25:T28"/>
    <mergeCell ref="U25:U28"/>
    <mergeCell ref="V25:V28"/>
    <mergeCell ref="J25:J26"/>
    <mergeCell ref="K25:K26"/>
    <mergeCell ref="L25:L26"/>
    <mergeCell ref="M25:M26"/>
    <mergeCell ref="N25:N26"/>
    <mergeCell ref="O25:O26"/>
    <mergeCell ref="A25:B25"/>
    <mergeCell ref="C25:C28"/>
    <mergeCell ref="V21:V24"/>
    <mergeCell ref="W21:W24"/>
    <mergeCell ref="X21:X24"/>
    <mergeCell ref="A22:B22"/>
    <mergeCell ref="A23:B23"/>
    <mergeCell ref="G23:G24"/>
    <mergeCell ref="H23:H24"/>
    <mergeCell ref="I23:I24"/>
    <mergeCell ref="J23:J24"/>
    <mergeCell ref="K23:K24"/>
    <mergeCell ref="O21:O22"/>
    <mergeCell ref="Q21:Q22"/>
    <mergeCell ref="R21:R24"/>
    <mergeCell ref="S21:S24"/>
    <mergeCell ref="T21:T24"/>
    <mergeCell ref="U21:U24"/>
    <mergeCell ref="I21:I22"/>
    <mergeCell ref="J21:J22"/>
    <mergeCell ref="Q19:Q20"/>
    <mergeCell ref="A20:B20"/>
    <mergeCell ref="A21:B21"/>
    <mergeCell ref="C21:C24"/>
    <mergeCell ref="D21:F24"/>
    <mergeCell ref="G21:G22"/>
    <mergeCell ref="H21:H22"/>
    <mergeCell ref="L23:L24"/>
    <mergeCell ref="M23:M24"/>
    <mergeCell ref="N23:N24"/>
    <mergeCell ref="O23:O24"/>
    <mergeCell ref="Q23:Q24"/>
    <mergeCell ref="A24:B24"/>
    <mergeCell ref="L17:L18"/>
    <mergeCell ref="M17:M18"/>
    <mergeCell ref="N17:N18"/>
    <mergeCell ref="O17:O18"/>
    <mergeCell ref="K21:K22"/>
    <mergeCell ref="L21:L22"/>
    <mergeCell ref="M21:M22"/>
    <mergeCell ref="N21:N22"/>
    <mergeCell ref="M19:M20"/>
    <mergeCell ref="N19:N20"/>
    <mergeCell ref="O19:O20"/>
    <mergeCell ref="A17:B17"/>
    <mergeCell ref="C17:C20"/>
    <mergeCell ref="D17:F20"/>
    <mergeCell ref="G17:G18"/>
    <mergeCell ref="H17:H18"/>
    <mergeCell ref="I17:I18"/>
    <mergeCell ref="W17:W20"/>
    <mergeCell ref="X17:X20"/>
    <mergeCell ref="A18:B18"/>
    <mergeCell ref="A19:B19"/>
    <mergeCell ref="G19:G20"/>
    <mergeCell ref="H19:H20"/>
    <mergeCell ref="I19:I20"/>
    <mergeCell ref="J19:J20"/>
    <mergeCell ref="K19:K20"/>
    <mergeCell ref="L19:L20"/>
    <mergeCell ref="Q17:Q18"/>
    <mergeCell ref="R17:R20"/>
    <mergeCell ref="S17:S20"/>
    <mergeCell ref="T17:T20"/>
    <mergeCell ref="U17:U20"/>
    <mergeCell ref="V17:V20"/>
    <mergeCell ref="J17:J18"/>
    <mergeCell ref="K17:K18"/>
    <mergeCell ref="X13:X16"/>
    <mergeCell ref="A14:B14"/>
    <mergeCell ref="A15:B15"/>
    <mergeCell ref="G15:G16"/>
    <mergeCell ref="H15:H16"/>
    <mergeCell ref="I15:I16"/>
    <mergeCell ref="J15:J16"/>
    <mergeCell ref="K15:K16"/>
    <mergeCell ref="L15:L16"/>
    <mergeCell ref="M15:M16"/>
    <mergeCell ref="R13:R16"/>
    <mergeCell ref="S13:S16"/>
    <mergeCell ref="T13:T16"/>
    <mergeCell ref="U13:U16"/>
    <mergeCell ref="V13:V16"/>
    <mergeCell ref="W13:W16"/>
    <mergeCell ref="K13:K14"/>
    <mergeCell ref="L13:L14"/>
    <mergeCell ref="M13:M14"/>
    <mergeCell ref="N13:N14"/>
    <mergeCell ref="O13:O14"/>
    <mergeCell ref="Q13:Q14"/>
    <mergeCell ref="N15:N16"/>
    <mergeCell ref="O15:O16"/>
    <mergeCell ref="A13:B13"/>
    <mergeCell ref="C13:C16"/>
    <mergeCell ref="D13:F16"/>
    <mergeCell ref="G13:G14"/>
    <mergeCell ref="H13:H14"/>
    <mergeCell ref="I13:I14"/>
    <mergeCell ref="J13:J14"/>
    <mergeCell ref="P10:P12"/>
    <mergeCell ref="Q10:Q12"/>
    <mergeCell ref="Q15:Q16"/>
    <mergeCell ref="A16:B16"/>
    <mergeCell ref="A6:D6"/>
    <mergeCell ref="F6:N6"/>
    <mergeCell ref="A7:D7"/>
    <mergeCell ref="F7:N7"/>
    <mergeCell ref="O7:S7"/>
    <mergeCell ref="T7:X7"/>
    <mergeCell ref="A8:B8"/>
    <mergeCell ref="D8:F8"/>
    <mergeCell ref="G8:G12"/>
    <mergeCell ref="H8:N8"/>
    <mergeCell ref="R8:W9"/>
    <mergeCell ref="X8:X12"/>
    <mergeCell ref="A9:B12"/>
    <mergeCell ref="C9:C12"/>
    <mergeCell ref="D9:F12"/>
    <mergeCell ref="O10:O12"/>
    <mergeCell ref="V10:V12"/>
    <mergeCell ref="W10:W12"/>
    <mergeCell ref="H12:N12"/>
    <mergeCell ref="R10:R12"/>
    <mergeCell ref="S10:S12"/>
    <mergeCell ref="T10:T12"/>
    <mergeCell ref="U10:U12"/>
    <mergeCell ref="A1:D3"/>
    <mergeCell ref="F1:U3"/>
    <mergeCell ref="A4:C4"/>
    <mergeCell ref="D4:G4"/>
    <mergeCell ref="H4:N4"/>
    <mergeCell ref="O4:V4"/>
    <mergeCell ref="W4:X5"/>
    <mergeCell ref="A5:N5"/>
    <mergeCell ref="O5:V5"/>
  </mergeCells>
  <phoneticPr fontId="11" type="noConversion"/>
  <pageMargins left="0.7" right="0.7" top="0.75" bottom="0.75" header="0.3" footer="0.3"/>
  <pageSetup scale="77" orientation="landscape" horizontalDpi="4294967292" verticalDpi="4294967292"/>
  <rowBreaks count="1" manualBreakCount="1">
    <brk id="36" max="16383" man="1"/>
  </rowBreaks>
  <colBreaks count="1" manualBreakCount="1">
    <brk id="24" max="1048575" man="1"/>
  </colBreaks>
  <extLst>
    <ext xmlns:mx="http://schemas.microsoft.com/office/mac/excel/2008/main" uri="{64002731-A6B0-56B0-2670-7721B7C09600}">
      <mx:PLV Mode="1" OnePage="0" WScale="77"/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77"/>
  <sheetViews>
    <sheetView view="pageLayout" zoomScaleNormal="125" zoomScalePageLayoutView="125" workbookViewId="0">
      <selection activeCell="S21" sqref="S21:S24"/>
    </sheetView>
  </sheetViews>
  <sheetFormatPr baseColWidth="10" defaultColWidth="8.83203125" defaultRowHeight="14" x14ac:dyDescent="0"/>
  <cols>
    <col min="1" max="1" width="10.33203125" customWidth="1"/>
    <col min="2" max="2" width="11.1640625" customWidth="1"/>
    <col min="3" max="3" width="5" customWidth="1"/>
    <col min="4" max="4" width="5.1640625" customWidth="1"/>
    <col min="5" max="5" width="4.6640625" customWidth="1"/>
    <col min="6" max="6" width="4.83203125" customWidth="1"/>
    <col min="7" max="7" width="3.6640625" customWidth="1"/>
    <col min="8" max="8" width="5" customWidth="1"/>
    <col min="9" max="9" width="4.6640625" customWidth="1"/>
    <col min="10" max="11" width="5.33203125" customWidth="1"/>
    <col min="12" max="12" width="4.83203125" customWidth="1"/>
    <col min="13" max="13" width="5.5" customWidth="1"/>
    <col min="14" max="14" width="5.1640625" customWidth="1"/>
    <col min="16" max="17" width="9.83203125" bestFit="1" customWidth="1"/>
    <col min="18" max="18" width="7.6640625" customWidth="1"/>
    <col min="19" max="19" width="9.5" customWidth="1"/>
    <col min="20" max="20" width="6" hidden="1" customWidth="1"/>
    <col min="21" max="21" width="4.33203125" hidden="1" customWidth="1"/>
    <col min="22" max="22" width="7.6640625" hidden="1" customWidth="1"/>
    <col min="23" max="23" width="9.33203125" customWidth="1"/>
    <col min="24" max="24" width="12.6640625" customWidth="1"/>
  </cols>
  <sheetData>
    <row r="1" spans="1:24" ht="15" customHeight="1">
      <c r="A1" s="149" t="s">
        <v>22</v>
      </c>
      <c r="B1" s="149"/>
      <c r="C1" s="149"/>
      <c r="D1" s="149"/>
      <c r="E1" s="140"/>
      <c r="F1" s="151" t="s">
        <v>55</v>
      </c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9"/>
      <c r="W1" s="9"/>
      <c r="X1" s="9"/>
    </row>
    <row r="2" spans="1:24">
      <c r="A2" s="149"/>
      <c r="B2" s="149"/>
      <c r="C2" s="149"/>
      <c r="D2" s="149"/>
      <c r="E2" s="140"/>
      <c r="F2" s="151"/>
      <c r="G2" s="151"/>
      <c r="H2" s="151"/>
      <c r="I2" s="151"/>
      <c r="J2" s="151"/>
      <c r="K2" s="151"/>
      <c r="L2" s="151"/>
      <c r="M2" s="151"/>
      <c r="N2" s="151"/>
      <c r="O2" s="151"/>
      <c r="P2" s="151"/>
      <c r="Q2" s="151"/>
      <c r="R2" s="151"/>
      <c r="S2" s="151"/>
      <c r="T2" s="151"/>
      <c r="U2" s="151"/>
      <c r="V2" s="9"/>
      <c r="W2" s="9"/>
      <c r="X2" s="9"/>
    </row>
    <row r="3" spans="1:24" ht="15" customHeight="1" thickBot="1">
      <c r="A3" s="150"/>
      <c r="B3" s="150"/>
      <c r="C3" s="150"/>
      <c r="D3" s="150"/>
      <c r="E3" s="141"/>
      <c r="F3" s="152"/>
      <c r="G3" s="152"/>
      <c r="H3" s="152"/>
      <c r="I3" s="152"/>
      <c r="J3" s="152"/>
      <c r="K3" s="152"/>
      <c r="L3" s="152"/>
      <c r="M3" s="152"/>
      <c r="N3" s="152"/>
      <c r="O3" s="152"/>
      <c r="P3" s="152"/>
      <c r="Q3" s="152"/>
      <c r="R3" s="152"/>
      <c r="S3" s="152"/>
      <c r="T3" s="152"/>
      <c r="U3" s="152"/>
      <c r="V3" s="10"/>
      <c r="W3" s="10"/>
      <c r="X3" s="10"/>
    </row>
    <row r="4" spans="1:24" s="11" customFormat="1">
      <c r="A4" s="153" t="s">
        <v>56</v>
      </c>
      <c r="B4" s="154"/>
      <c r="C4" s="154"/>
      <c r="D4" s="154" t="s">
        <v>52</v>
      </c>
      <c r="E4" s="154"/>
      <c r="F4" s="154"/>
      <c r="G4" s="154"/>
      <c r="H4" s="155"/>
      <c r="I4" s="155"/>
      <c r="J4" s="155"/>
      <c r="K4" s="155"/>
      <c r="L4" s="155"/>
      <c r="M4" s="155"/>
      <c r="N4" s="156"/>
      <c r="O4" s="157" t="s">
        <v>126</v>
      </c>
      <c r="P4" s="158"/>
      <c r="Q4" s="158"/>
      <c r="R4" s="158"/>
      <c r="S4" s="158"/>
      <c r="T4" s="158"/>
      <c r="U4" s="158"/>
      <c r="V4" s="158"/>
      <c r="W4" s="159"/>
      <c r="X4" s="160"/>
    </row>
    <row r="5" spans="1:24" s="1" customFormat="1" ht="12">
      <c r="A5" s="163" t="s">
        <v>125</v>
      </c>
      <c r="B5" s="164"/>
      <c r="C5" s="164"/>
      <c r="D5" s="164"/>
      <c r="E5" s="164"/>
      <c r="F5" s="164"/>
      <c r="G5" s="164"/>
      <c r="H5" s="164"/>
      <c r="I5" s="164"/>
      <c r="J5" s="164"/>
      <c r="K5" s="164"/>
      <c r="L5" s="164"/>
      <c r="M5" s="164"/>
      <c r="N5" s="165"/>
      <c r="O5" s="166" t="s">
        <v>108</v>
      </c>
      <c r="P5" s="167"/>
      <c r="Q5" s="167"/>
      <c r="R5" s="167"/>
      <c r="S5" s="167"/>
      <c r="T5" s="167"/>
      <c r="U5" s="167"/>
      <c r="V5" s="167"/>
      <c r="W5" s="161"/>
      <c r="X5" s="162"/>
    </row>
    <row r="6" spans="1:24" s="13" customFormat="1" ht="11">
      <c r="A6" s="168" t="s">
        <v>18</v>
      </c>
      <c r="B6" s="169"/>
      <c r="C6" s="169"/>
      <c r="D6" s="170"/>
      <c r="E6" s="115"/>
      <c r="F6" s="168" t="s">
        <v>19</v>
      </c>
      <c r="G6" s="169"/>
      <c r="H6" s="169"/>
      <c r="I6" s="169"/>
      <c r="J6" s="169"/>
      <c r="K6" s="169"/>
      <c r="L6" s="169"/>
      <c r="M6" s="169"/>
      <c r="N6" s="170"/>
      <c r="O6" s="102" t="s">
        <v>20</v>
      </c>
      <c r="P6" s="15"/>
      <c r="Q6" s="15"/>
      <c r="R6" s="15"/>
      <c r="S6" s="102" t="s">
        <v>91</v>
      </c>
      <c r="T6" s="15" t="s">
        <v>21</v>
      </c>
      <c r="U6" s="15"/>
      <c r="V6" s="15"/>
      <c r="X6" s="16"/>
    </row>
    <row r="7" spans="1:24" s="1" customFormat="1" ht="16.5" customHeight="1">
      <c r="A7" s="171">
        <v>12</v>
      </c>
      <c r="B7" s="172"/>
      <c r="C7" s="172"/>
      <c r="D7" s="173"/>
      <c r="E7" s="142"/>
      <c r="F7" s="174">
        <v>42463</v>
      </c>
      <c r="G7" s="175"/>
      <c r="H7" s="175"/>
      <c r="I7" s="175"/>
      <c r="J7" s="175"/>
      <c r="K7" s="175"/>
      <c r="L7" s="175"/>
      <c r="M7" s="175"/>
      <c r="N7" s="176"/>
      <c r="O7" s="166" t="s">
        <v>107</v>
      </c>
      <c r="P7" s="167"/>
      <c r="Q7" s="167"/>
      <c r="R7" s="167"/>
      <c r="S7" s="167"/>
      <c r="T7" s="167" t="s">
        <v>109</v>
      </c>
      <c r="U7" s="167"/>
      <c r="V7" s="167"/>
      <c r="W7" s="167"/>
      <c r="X7" s="177"/>
    </row>
    <row r="8" spans="1:24" s="2" customFormat="1" ht="11.25" customHeight="1">
      <c r="A8" s="178" t="s">
        <v>23</v>
      </c>
      <c r="B8" s="179"/>
      <c r="C8" s="7" t="s">
        <v>24</v>
      </c>
      <c r="D8" s="178" t="s">
        <v>25</v>
      </c>
      <c r="E8" s="180"/>
      <c r="F8" s="179"/>
      <c r="G8" s="181" t="s">
        <v>29</v>
      </c>
      <c r="H8" s="184" t="s">
        <v>54</v>
      </c>
      <c r="I8" s="185"/>
      <c r="J8" s="185"/>
      <c r="K8" s="185"/>
      <c r="L8" s="185"/>
      <c r="M8" s="185"/>
      <c r="N8" s="186"/>
      <c r="O8" s="7" t="s">
        <v>30</v>
      </c>
      <c r="P8" s="7" t="s">
        <v>31</v>
      </c>
      <c r="Q8" s="7" t="s">
        <v>32</v>
      </c>
      <c r="R8" s="187" t="s">
        <v>33</v>
      </c>
      <c r="S8" s="187"/>
      <c r="T8" s="187"/>
      <c r="U8" s="187"/>
      <c r="V8" s="187"/>
      <c r="W8" s="187"/>
      <c r="X8" s="187" t="s">
        <v>53</v>
      </c>
    </row>
    <row r="9" spans="1:24" ht="17.25" customHeight="1">
      <c r="A9" s="188" t="s">
        <v>26</v>
      </c>
      <c r="B9" s="189"/>
      <c r="C9" s="192" t="s">
        <v>27</v>
      </c>
      <c r="D9" s="194" t="s">
        <v>28</v>
      </c>
      <c r="E9" s="195"/>
      <c r="F9" s="196"/>
      <c r="G9" s="182"/>
      <c r="H9" s="132" t="s">
        <v>36</v>
      </c>
      <c r="I9" s="133" t="s">
        <v>37</v>
      </c>
      <c r="J9" s="133" t="s">
        <v>38</v>
      </c>
      <c r="K9" s="133" t="s">
        <v>111</v>
      </c>
      <c r="L9" s="133" t="s">
        <v>39</v>
      </c>
      <c r="M9" s="133" t="s">
        <v>41</v>
      </c>
      <c r="N9" s="133" t="s">
        <v>42</v>
      </c>
      <c r="O9" s="6"/>
      <c r="P9" s="8"/>
      <c r="Q9" s="8"/>
      <c r="R9" s="187"/>
      <c r="S9" s="187"/>
      <c r="T9" s="187"/>
      <c r="U9" s="187"/>
      <c r="V9" s="187"/>
      <c r="W9" s="187"/>
      <c r="X9" s="187"/>
    </row>
    <row r="10" spans="1:24" ht="19.5" customHeight="1">
      <c r="A10" s="188"/>
      <c r="B10" s="189"/>
      <c r="C10" s="192"/>
      <c r="D10" s="194"/>
      <c r="E10" s="195"/>
      <c r="F10" s="196"/>
      <c r="G10" s="182"/>
      <c r="H10" s="100">
        <f t="shared" ref="H10:L10" si="0">I10-1</f>
        <v>42457</v>
      </c>
      <c r="I10" s="100">
        <f t="shared" si="0"/>
        <v>42458</v>
      </c>
      <c r="J10" s="100">
        <f t="shared" si="0"/>
        <v>42459</v>
      </c>
      <c r="K10" s="100">
        <f t="shared" si="0"/>
        <v>42460</v>
      </c>
      <c r="L10" s="100">
        <f t="shared" si="0"/>
        <v>42461</v>
      </c>
      <c r="M10" s="100">
        <f>N10-1</f>
        <v>42462</v>
      </c>
      <c r="N10" s="100">
        <f>F7</f>
        <v>42463</v>
      </c>
      <c r="O10" s="200" t="s">
        <v>46</v>
      </c>
      <c r="P10" s="200" t="s">
        <v>47</v>
      </c>
      <c r="Q10" s="200" t="s">
        <v>48</v>
      </c>
      <c r="R10" s="206" t="s">
        <v>44</v>
      </c>
      <c r="S10" s="206" t="s">
        <v>45</v>
      </c>
      <c r="T10" s="207"/>
      <c r="U10" s="207"/>
      <c r="V10" s="202" t="s">
        <v>35</v>
      </c>
      <c r="W10" s="203" t="s">
        <v>34</v>
      </c>
      <c r="X10" s="187"/>
    </row>
    <row r="11" spans="1:24" ht="18.75" hidden="1" customHeight="1">
      <c r="A11" s="188"/>
      <c r="B11" s="189"/>
      <c r="C11" s="192"/>
      <c r="D11" s="194"/>
      <c r="E11" s="195"/>
      <c r="F11" s="196"/>
      <c r="G11" s="182"/>
      <c r="H11" s="5"/>
      <c r="I11" s="4"/>
      <c r="J11" s="4"/>
      <c r="K11" s="4"/>
      <c r="L11" s="4"/>
      <c r="M11" s="4"/>
      <c r="N11" s="4"/>
      <c r="O11" s="200"/>
      <c r="P11" s="200"/>
      <c r="Q11" s="200"/>
      <c r="R11" s="206"/>
      <c r="S11" s="206"/>
      <c r="T11" s="207"/>
      <c r="U11" s="207"/>
      <c r="V11" s="202"/>
      <c r="W11" s="203"/>
      <c r="X11" s="187"/>
    </row>
    <row r="12" spans="1:24">
      <c r="A12" s="190"/>
      <c r="B12" s="191"/>
      <c r="C12" s="193"/>
      <c r="D12" s="197"/>
      <c r="E12" s="198"/>
      <c r="F12" s="199"/>
      <c r="G12" s="183"/>
      <c r="H12" s="204" t="s">
        <v>43</v>
      </c>
      <c r="I12" s="204"/>
      <c r="J12" s="204"/>
      <c r="K12" s="204"/>
      <c r="L12" s="204"/>
      <c r="M12" s="204"/>
      <c r="N12" s="205"/>
      <c r="O12" s="201"/>
      <c r="P12" s="201"/>
      <c r="Q12" s="201"/>
      <c r="R12" s="206"/>
      <c r="S12" s="206"/>
      <c r="T12" s="207"/>
      <c r="U12" s="207"/>
      <c r="V12" s="202"/>
      <c r="W12" s="203"/>
      <c r="X12" s="187"/>
    </row>
    <row r="13" spans="1:24" ht="15" customHeight="1">
      <c r="A13" s="208" t="s">
        <v>98</v>
      </c>
      <c r="B13" s="209"/>
      <c r="C13" s="210">
        <v>2</v>
      </c>
      <c r="D13" s="249" t="s">
        <v>123</v>
      </c>
      <c r="E13" s="250"/>
      <c r="F13" s="251"/>
      <c r="G13" s="220" t="s">
        <v>49</v>
      </c>
      <c r="H13" s="220"/>
      <c r="I13" s="220"/>
      <c r="J13" s="220"/>
      <c r="K13" s="220"/>
      <c r="L13" s="220"/>
      <c r="M13" s="220"/>
      <c r="N13" s="220"/>
      <c r="O13" s="232">
        <f>SUM(H13:N14)</f>
        <v>0</v>
      </c>
      <c r="P13" s="105" t="s">
        <v>110</v>
      </c>
      <c r="Q13" s="238">
        <f>P14*O13</f>
        <v>0</v>
      </c>
      <c r="R13" s="226">
        <v>0</v>
      </c>
      <c r="S13" s="226">
        <v>9.18</v>
      </c>
      <c r="T13" s="226"/>
      <c r="U13" s="226"/>
      <c r="V13" s="226"/>
      <c r="W13" s="226">
        <f>S13+R13</f>
        <v>9.18</v>
      </c>
      <c r="X13" s="229">
        <f>Q15-W13+Q13</f>
        <v>110.82</v>
      </c>
    </row>
    <row r="14" spans="1:24">
      <c r="A14" s="221" t="s">
        <v>103</v>
      </c>
      <c r="B14" s="222"/>
      <c r="C14" s="210"/>
      <c r="D14" s="252"/>
      <c r="E14" s="253"/>
      <c r="F14" s="254"/>
      <c r="G14" s="220"/>
      <c r="H14" s="220"/>
      <c r="I14" s="220"/>
      <c r="J14" s="220"/>
      <c r="K14" s="220"/>
      <c r="L14" s="220"/>
      <c r="M14" s="220"/>
      <c r="N14" s="220"/>
      <c r="O14" s="233"/>
      <c r="P14" s="103">
        <f>P16/2+P16</f>
        <v>22.5</v>
      </c>
      <c r="Q14" s="239"/>
      <c r="R14" s="227"/>
      <c r="S14" s="227"/>
      <c r="T14" s="227"/>
      <c r="U14" s="227"/>
      <c r="V14" s="227"/>
      <c r="W14" s="227"/>
      <c r="X14" s="230"/>
    </row>
    <row r="15" spans="1:24">
      <c r="A15" s="261"/>
      <c r="B15" s="262"/>
      <c r="C15" s="210"/>
      <c r="D15" s="252"/>
      <c r="E15" s="253"/>
      <c r="F15" s="254"/>
      <c r="G15" s="223" t="s">
        <v>40</v>
      </c>
      <c r="H15" s="223">
        <v>1</v>
      </c>
      <c r="I15" s="223">
        <v>3</v>
      </c>
      <c r="J15" s="223">
        <v>2</v>
      </c>
      <c r="K15" s="223">
        <v>0</v>
      </c>
      <c r="L15" s="223">
        <v>2</v>
      </c>
      <c r="M15" s="223">
        <v>0</v>
      </c>
      <c r="N15" s="223">
        <v>0</v>
      </c>
      <c r="O15" s="234">
        <f>SUM(H15:N16)</f>
        <v>8</v>
      </c>
      <c r="P15" s="106" t="s">
        <v>110</v>
      </c>
      <c r="Q15" s="236">
        <f>P16*O15</f>
        <v>120</v>
      </c>
      <c r="R15" s="227"/>
      <c r="S15" s="227"/>
      <c r="T15" s="227"/>
      <c r="U15" s="227"/>
      <c r="V15" s="227"/>
      <c r="W15" s="227"/>
      <c r="X15" s="230"/>
    </row>
    <row r="16" spans="1:24">
      <c r="A16" s="224"/>
      <c r="B16" s="225"/>
      <c r="C16" s="210"/>
      <c r="D16" s="255"/>
      <c r="E16" s="256"/>
      <c r="F16" s="257"/>
      <c r="G16" s="223"/>
      <c r="H16" s="223"/>
      <c r="I16" s="223"/>
      <c r="J16" s="223"/>
      <c r="K16" s="223"/>
      <c r="L16" s="223"/>
      <c r="M16" s="223"/>
      <c r="N16" s="223"/>
      <c r="O16" s="235"/>
      <c r="P16" s="104">
        <v>15</v>
      </c>
      <c r="Q16" s="237"/>
      <c r="R16" s="228"/>
      <c r="S16" s="228"/>
      <c r="T16" s="228"/>
      <c r="U16" s="228"/>
      <c r="V16" s="228"/>
      <c r="W16" s="228"/>
      <c r="X16" s="231"/>
    </row>
    <row r="17" spans="1:24" ht="15" customHeight="1">
      <c r="A17" s="208" t="s">
        <v>99</v>
      </c>
      <c r="B17" s="209"/>
      <c r="C17" s="210">
        <v>2</v>
      </c>
      <c r="D17" s="249" t="s">
        <v>123</v>
      </c>
      <c r="E17" s="250"/>
      <c r="F17" s="251"/>
      <c r="G17" s="220" t="s">
        <v>49</v>
      </c>
      <c r="H17" s="220"/>
      <c r="I17" s="220"/>
      <c r="J17" s="220"/>
      <c r="K17" s="220"/>
      <c r="L17" s="220"/>
      <c r="M17" s="220"/>
      <c r="N17" s="220"/>
      <c r="O17" s="232">
        <f>SUM(H17:N18)</f>
        <v>0</v>
      </c>
      <c r="P17" s="105" t="s">
        <v>110</v>
      </c>
      <c r="Q17" s="238">
        <f>P18*O17</f>
        <v>0</v>
      </c>
      <c r="R17" s="226">
        <v>0</v>
      </c>
      <c r="S17" s="226">
        <v>0</v>
      </c>
      <c r="T17" s="226"/>
      <c r="U17" s="226"/>
      <c r="V17" s="226"/>
      <c r="W17" s="226">
        <f>S17+R17</f>
        <v>0</v>
      </c>
      <c r="X17" s="229">
        <f>Q19-W17</f>
        <v>0</v>
      </c>
    </row>
    <row r="18" spans="1:24">
      <c r="A18" s="221" t="s">
        <v>102</v>
      </c>
      <c r="B18" s="222"/>
      <c r="C18" s="210"/>
      <c r="D18" s="252"/>
      <c r="E18" s="253"/>
      <c r="F18" s="254"/>
      <c r="G18" s="220"/>
      <c r="H18" s="220"/>
      <c r="I18" s="220"/>
      <c r="J18" s="220"/>
      <c r="K18" s="220"/>
      <c r="L18" s="220"/>
      <c r="M18" s="220"/>
      <c r="N18" s="220"/>
      <c r="O18" s="233"/>
      <c r="P18" s="103">
        <f>P20/2+P20</f>
        <v>22.5</v>
      </c>
      <c r="Q18" s="239"/>
      <c r="R18" s="227"/>
      <c r="S18" s="227"/>
      <c r="T18" s="227"/>
      <c r="U18" s="227"/>
      <c r="V18" s="227"/>
      <c r="W18" s="227"/>
      <c r="X18" s="230"/>
    </row>
    <row r="19" spans="1:24">
      <c r="A19" s="261"/>
      <c r="B19" s="262"/>
      <c r="C19" s="210"/>
      <c r="D19" s="252"/>
      <c r="E19" s="253"/>
      <c r="F19" s="254"/>
      <c r="G19" s="223" t="s">
        <v>40</v>
      </c>
      <c r="H19" s="223">
        <v>0</v>
      </c>
      <c r="I19" s="223">
        <v>0</v>
      </c>
      <c r="J19" s="223">
        <v>0</v>
      </c>
      <c r="K19" s="223">
        <v>0</v>
      </c>
      <c r="L19" s="223">
        <v>0</v>
      </c>
      <c r="M19" s="223">
        <v>0</v>
      </c>
      <c r="N19" s="223">
        <v>0</v>
      </c>
      <c r="O19" s="223">
        <f>SUM(H19:N20)</f>
        <v>0</v>
      </c>
      <c r="P19" s="106" t="s">
        <v>110</v>
      </c>
      <c r="Q19" s="236">
        <f>P20*O19</f>
        <v>0</v>
      </c>
      <c r="R19" s="227"/>
      <c r="S19" s="227"/>
      <c r="T19" s="227"/>
      <c r="U19" s="227"/>
      <c r="V19" s="227"/>
      <c r="W19" s="227"/>
      <c r="X19" s="230"/>
    </row>
    <row r="20" spans="1:24">
      <c r="A20" s="224"/>
      <c r="B20" s="225"/>
      <c r="C20" s="210"/>
      <c r="D20" s="255"/>
      <c r="E20" s="256"/>
      <c r="F20" s="257"/>
      <c r="G20" s="223"/>
      <c r="H20" s="223"/>
      <c r="I20" s="223"/>
      <c r="J20" s="223"/>
      <c r="K20" s="223"/>
      <c r="L20" s="223"/>
      <c r="M20" s="223"/>
      <c r="N20" s="223"/>
      <c r="O20" s="223"/>
      <c r="P20" s="104">
        <v>15</v>
      </c>
      <c r="Q20" s="237"/>
      <c r="R20" s="228"/>
      <c r="S20" s="228"/>
      <c r="T20" s="228"/>
      <c r="U20" s="228"/>
      <c r="V20" s="228"/>
      <c r="W20" s="228"/>
      <c r="X20" s="231"/>
    </row>
    <row r="21" spans="1:24" ht="14" customHeight="1">
      <c r="A21" s="208"/>
      <c r="B21" s="209"/>
      <c r="C21" s="210"/>
      <c r="D21" s="211"/>
      <c r="E21" s="212"/>
      <c r="F21" s="213"/>
      <c r="G21" s="220"/>
      <c r="H21" s="220"/>
      <c r="I21" s="220"/>
      <c r="J21" s="220"/>
      <c r="K21" s="220"/>
      <c r="L21" s="220"/>
      <c r="M21" s="220"/>
      <c r="N21" s="220"/>
      <c r="O21" s="232"/>
      <c r="P21" s="105"/>
      <c r="Q21" s="238"/>
      <c r="R21" s="226"/>
      <c r="S21" s="226"/>
      <c r="T21" s="226"/>
      <c r="U21" s="226"/>
      <c r="V21" s="226"/>
      <c r="W21" s="226"/>
      <c r="X21" s="229"/>
    </row>
    <row r="22" spans="1:24">
      <c r="A22" s="221"/>
      <c r="B22" s="222"/>
      <c r="C22" s="210"/>
      <c r="D22" s="214"/>
      <c r="E22" s="215"/>
      <c r="F22" s="216"/>
      <c r="G22" s="220"/>
      <c r="H22" s="220"/>
      <c r="I22" s="220"/>
      <c r="J22" s="220"/>
      <c r="K22" s="220"/>
      <c r="L22" s="220"/>
      <c r="M22" s="220"/>
      <c r="N22" s="220"/>
      <c r="O22" s="233"/>
      <c r="P22" s="103"/>
      <c r="Q22" s="239"/>
      <c r="R22" s="227"/>
      <c r="S22" s="227"/>
      <c r="T22" s="227"/>
      <c r="U22" s="227"/>
      <c r="V22" s="227"/>
      <c r="W22" s="227"/>
      <c r="X22" s="230"/>
    </row>
    <row r="23" spans="1:24">
      <c r="A23" s="221"/>
      <c r="B23" s="222"/>
      <c r="C23" s="210"/>
      <c r="D23" s="214"/>
      <c r="E23" s="215"/>
      <c r="F23" s="216"/>
      <c r="G23" s="223"/>
      <c r="H23" s="223"/>
      <c r="I23" s="223"/>
      <c r="J23" s="223"/>
      <c r="K23" s="223"/>
      <c r="L23" s="223"/>
      <c r="M23" s="223"/>
      <c r="N23" s="223"/>
      <c r="O23" s="223"/>
      <c r="P23" s="106"/>
      <c r="Q23" s="236"/>
      <c r="R23" s="227"/>
      <c r="S23" s="227"/>
      <c r="T23" s="227"/>
      <c r="U23" s="227"/>
      <c r="V23" s="227"/>
      <c r="W23" s="227"/>
      <c r="X23" s="230"/>
    </row>
    <row r="24" spans="1:24">
      <c r="A24" s="224"/>
      <c r="B24" s="225"/>
      <c r="C24" s="210"/>
      <c r="D24" s="217"/>
      <c r="E24" s="218"/>
      <c r="F24" s="219"/>
      <c r="G24" s="223"/>
      <c r="H24" s="223"/>
      <c r="I24" s="223"/>
      <c r="J24" s="223"/>
      <c r="K24" s="223"/>
      <c r="L24" s="223"/>
      <c r="M24" s="223"/>
      <c r="N24" s="223"/>
      <c r="O24" s="223"/>
      <c r="P24" s="104"/>
      <c r="Q24" s="237"/>
      <c r="R24" s="228"/>
      <c r="S24" s="228"/>
      <c r="T24" s="228"/>
      <c r="U24" s="228"/>
      <c r="V24" s="228"/>
      <c r="W24" s="228"/>
      <c r="X24" s="231"/>
    </row>
    <row r="25" spans="1:24" ht="14" customHeight="1">
      <c r="A25" s="208"/>
      <c r="B25" s="209"/>
      <c r="C25" s="210"/>
      <c r="D25" s="211"/>
      <c r="E25" s="212"/>
      <c r="F25" s="213"/>
      <c r="G25" s="220"/>
      <c r="H25" s="220"/>
      <c r="I25" s="220"/>
      <c r="J25" s="220"/>
      <c r="K25" s="220"/>
      <c r="L25" s="220"/>
      <c r="M25" s="220"/>
      <c r="N25" s="220"/>
      <c r="O25" s="232"/>
      <c r="P25" s="105"/>
      <c r="Q25" s="248"/>
      <c r="R25" s="226"/>
      <c r="S25" s="226"/>
      <c r="T25" s="226"/>
      <c r="U25" s="226"/>
      <c r="V25" s="226"/>
      <c r="W25" s="226"/>
      <c r="X25" s="229"/>
    </row>
    <row r="26" spans="1:24">
      <c r="A26" s="221"/>
      <c r="B26" s="222"/>
      <c r="C26" s="210"/>
      <c r="D26" s="214"/>
      <c r="E26" s="215"/>
      <c r="F26" s="216"/>
      <c r="G26" s="220"/>
      <c r="H26" s="220"/>
      <c r="I26" s="220"/>
      <c r="J26" s="220"/>
      <c r="K26" s="220"/>
      <c r="L26" s="220"/>
      <c r="M26" s="220"/>
      <c r="N26" s="220"/>
      <c r="O26" s="233"/>
      <c r="P26" s="103"/>
      <c r="Q26" s="248"/>
      <c r="R26" s="227"/>
      <c r="S26" s="227"/>
      <c r="T26" s="227"/>
      <c r="U26" s="227"/>
      <c r="V26" s="227"/>
      <c r="W26" s="227"/>
      <c r="X26" s="230"/>
    </row>
    <row r="27" spans="1:24">
      <c r="A27" s="221"/>
      <c r="B27" s="222"/>
      <c r="C27" s="210"/>
      <c r="D27" s="214"/>
      <c r="E27" s="215"/>
      <c r="F27" s="216"/>
      <c r="G27" s="223"/>
      <c r="H27" s="223"/>
      <c r="I27" s="223"/>
      <c r="J27" s="223"/>
      <c r="K27" s="223"/>
      <c r="L27" s="223"/>
      <c r="M27" s="223"/>
      <c r="N27" s="223"/>
      <c r="O27" s="223"/>
      <c r="P27" s="106"/>
      <c r="Q27" s="236"/>
      <c r="R27" s="227"/>
      <c r="S27" s="227"/>
      <c r="T27" s="227"/>
      <c r="U27" s="227"/>
      <c r="V27" s="227"/>
      <c r="W27" s="227"/>
      <c r="X27" s="230"/>
    </row>
    <row r="28" spans="1:24">
      <c r="A28" s="224"/>
      <c r="B28" s="225"/>
      <c r="C28" s="210"/>
      <c r="D28" s="217"/>
      <c r="E28" s="218"/>
      <c r="F28" s="219"/>
      <c r="G28" s="223"/>
      <c r="H28" s="223"/>
      <c r="I28" s="223"/>
      <c r="J28" s="223"/>
      <c r="K28" s="223"/>
      <c r="L28" s="223"/>
      <c r="M28" s="223"/>
      <c r="N28" s="223"/>
      <c r="O28" s="223"/>
      <c r="P28" s="104"/>
      <c r="Q28" s="237"/>
      <c r="R28" s="228"/>
      <c r="S28" s="228"/>
      <c r="T28" s="228"/>
      <c r="U28" s="228"/>
      <c r="V28" s="228"/>
      <c r="W28" s="228"/>
      <c r="X28" s="231"/>
    </row>
    <row r="29" spans="1:24" ht="14" customHeight="1">
      <c r="A29" s="208"/>
      <c r="B29" s="209"/>
      <c r="C29" s="210"/>
      <c r="D29" s="211"/>
      <c r="E29" s="212"/>
      <c r="F29" s="213"/>
      <c r="G29" s="220"/>
      <c r="H29" s="220"/>
      <c r="I29" s="220"/>
      <c r="J29" s="220"/>
      <c r="K29" s="220"/>
      <c r="L29" s="220"/>
      <c r="M29" s="220"/>
      <c r="N29" s="220"/>
      <c r="O29" s="232"/>
      <c r="P29" s="105"/>
      <c r="Q29" s="248"/>
      <c r="R29" s="226"/>
      <c r="S29" s="226"/>
      <c r="T29" s="226"/>
      <c r="U29" s="226"/>
      <c r="V29" s="226"/>
      <c r="W29" s="226"/>
      <c r="X29" s="229"/>
    </row>
    <row r="30" spans="1:24">
      <c r="A30" s="221"/>
      <c r="B30" s="222"/>
      <c r="C30" s="210"/>
      <c r="D30" s="214"/>
      <c r="E30" s="215"/>
      <c r="F30" s="216"/>
      <c r="G30" s="220"/>
      <c r="H30" s="220"/>
      <c r="I30" s="220"/>
      <c r="J30" s="220"/>
      <c r="K30" s="220"/>
      <c r="L30" s="220"/>
      <c r="M30" s="220"/>
      <c r="N30" s="220"/>
      <c r="O30" s="233"/>
      <c r="P30" s="103"/>
      <c r="Q30" s="248"/>
      <c r="R30" s="227"/>
      <c r="S30" s="227"/>
      <c r="T30" s="227"/>
      <c r="U30" s="227"/>
      <c r="V30" s="227"/>
      <c r="W30" s="227"/>
      <c r="X30" s="230"/>
    </row>
    <row r="31" spans="1:24">
      <c r="A31" s="221"/>
      <c r="B31" s="222"/>
      <c r="C31" s="210"/>
      <c r="D31" s="214"/>
      <c r="E31" s="215"/>
      <c r="F31" s="216"/>
      <c r="G31" s="223"/>
      <c r="H31" s="223"/>
      <c r="I31" s="234"/>
      <c r="J31" s="234"/>
      <c r="K31" s="234"/>
      <c r="L31" s="234"/>
      <c r="M31" s="234"/>
      <c r="N31" s="234"/>
      <c r="O31" s="223"/>
      <c r="P31" s="106"/>
      <c r="Q31" s="236"/>
      <c r="R31" s="227"/>
      <c r="S31" s="227"/>
      <c r="T31" s="227"/>
      <c r="U31" s="227"/>
      <c r="V31" s="227"/>
      <c r="W31" s="227"/>
      <c r="X31" s="230"/>
    </row>
    <row r="32" spans="1:24">
      <c r="A32" s="224"/>
      <c r="B32" s="225"/>
      <c r="C32" s="210"/>
      <c r="D32" s="217"/>
      <c r="E32" s="218"/>
      <c r="F32" s="219"/>
      <c r="G32" s="223"/>
      <c r="H32" s="223"/>
      <c r="I32" s="235"/>
      <c r="J32" s="235"/>
      <c r="K32" s="235"/>
      <c r="L32" s="235"/>
      <c r="M32" s="235"/>
      <c r="N32" s="235"/>
      <c r="O32" s="223"/>
      <c r="P32" s="104"/>
      <c r="Q32" s="237"/>
      <c r="R32" s="228"/>
      <c r="S32" s="228"/>
      <c r="T32" s="228"/>
      <c r="U32" s="228"/>
      <c r="V32" s="228"/>
      <c r="W32" s="228"/>
      <c r="X32" s="231"/>
    </row>
    <row r="33" spans="1:24" ht="14" customHeight="1">
      <c r="A33" s="208"/>
      <c r="B33" s="209"/>
      <c r="C33" s="210"/>
      <c r="D33" s="211"/>
      <c r="E33" s="212"/>
      <c r="F33" s="213"/>
      <c r="G33" s="220"/>
      <c r="H33" s="220"/>
      <c r="I33" s="220"/>
      <c r="J33" s="220"/>
      <c r="K33" s="220"/>
      <c r="L33" s="220"/>
      <c r="M33" s="220"/>
      <c r="N33" s="220"/>
      <c r="O33" s="232"/>
      <c r="P33" s="105"/>
      <c r="Q33" s="248"/>
      <c r="R33" s="229"/>
      <c r="S33" s="226"/>
      <c r="T33" s="226"/>
      <c r="U33" s="226"/>
      <c r="V33" s="226"/>
      <c r="W33" s="226"/>
      <c r="X33" s="229"/>
    </row>
    <row r="34" spans="1:24">
      <c r="A34" s="221"/>
      <c r="B34" s="222"/>
      <c r="C34" s="210"/>
      <c r="D34" s="214"/>
      <c r="E34" s="215"/>
      <c r="F34" s="216"/>
      <c r="G34" s="220"/>
      <c r="H34" s="220"/>
      <c r="I34" s="220"/>
      <c r="J34" s="220"/>
      <c r="K34" s="220"/>
      <c r="L34" s="220"/>
      <c r="M34" s="220"/>
      <c r="N34" s="220"/>
      <c r="O34" s="233"/>
      <c r="P34" s="103"/>
      <c r="Q34" s="248"/>
      <c r="R34" s="230"/>
      <c r="S34" s="227"/>
      <c r="T34" s="227"/>
      <c r="U34" s="227"/>
      <c r="V34" s="227"/>
      <c r="W34" s="227"/>
      <c r="X34" s="230"/>
    </row>
    <row r="35" spans="1:24">
      <c r="A35" s="221"/>
      <c r="B35" s="222"/>
      <c r="C35" s="210"/>
      <c r="D35" s="214"/>
      <c r="E35" s="215"/>
      <c r="F35" s="216"/>
      <c r="G35" s="223"/>
      <c r="H35" s="223"/>
      <c r="I35" s="234"/>
      <c r="J35" s="234"/>
      <c r="K35" s="234"/>
      <c r="L35" s="234"/>
      <c r="M35" s="234"/>
      <c r="N35" s="234"/>
      <c r="O35" s="223"/>
      <c r="P35" s="106"/>
      <c r="Q35" s="236"/>
      <c r="R35" s="230"/>
      <c r="S35" s="227"/>
      <c r="T35" s="227"/>
      <c r="U35" s="227"/>
      <c r="V35" s="227"/>
      <c r="W35" s="227"/>
      <c r="X35" s="230"/>
    </row>
    <row r="36" spans="1:24">
      <c r="A36" s="224"/>
      <c r="B36" s="225"/>
      <c r="C36" s="210"/>
      <c r="D36" s="217"/>
      <c r="E36" s="218"/>
      <c r="F36" s="219"/>
      <c r="G36" s="223"/>
      <c r="H36" s="223"/>
      <c r="I36" s="235"/>
      <c r="J36" s="235"/>
      <c r="K36" s="235"/>
      <c r="L36" s="235"/>
      <c r="M36" s="235"/>
      <c r="N36" s="235"/>
      <c r="O36" s="223"/>
      <c r="P36" s="104"/>
      <c r="Q36" s="237"/>
      <c r="R36" s="231"/>
      <c r="S36" s="228"/>
      <c r="T36" s="228"/>
      <c r="U36" s="228"/>
      <c r="V36" s="228"/>
      <c r="W36" s="228"/>
      <c r="X36" s="231"/>
    </row>
    <row r="37" spans="1:24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</row>
    <row r="38" spans="1:24" ht="15.75" customHeight="1">
      <c r="A38" s="18" t="s">
        <v>58</v>
      </c>
      <c r="B38" s="101">
        <f>N10</f>
        <v>42463</v>
      </c>
      <c r="C38" s="20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 t="s">
        <v>82</v>
      </c>
      <c r="R38" s="18"/>
      <c r="S38" s="18"/>
      <c r="T38" s="18"/>
      <c r="U38" s="3"/>
      <c r="V38" s="3"/>
      <c r="W38" s="3"/>
    </row>
    <row r="39" spans="1:24" ht="18.75" customHeight="1">
      <c r="A39" s="29" t="s">
        <v>59</v>
      </c>
      <c r="B39" s="35" t="s">
        <v>83</v>
      </c>
      <c r="C39" s="31"/>
      <c r="D39" s="31"/>
      <c r="E39" s="31"/>
      <c r="F39" s="31"/>
      <c r="G39" s="31"/>
      <c r="H39" s="96" t="s">
        <v>75</v>
      </c>
      <c r="I39" s="96"/>
      <c r="J39" s="96"/>
      <c r="K39" s="27"/>
      <c r="L39" s="27"/>
      <c r="M39" s="25"/>
      <c r="N39" s="25"/>
      <c r="O39" s="25"/>
      <c r="P39" s="18"/>
      <c r="Q39" s="13" t="s">
        <v>90</v>
      </c>
      <c r="S39" s="18"/>
      <c r="T39" s="18"/>
      <c r="U39" s="3"/>
      <c r="V39" s="3"/>
      <c r="W39" s="3"/>
    </row>
    <row r="40" spans="1:24" ht="14.25" customHeight="1">
      <c r="A40" s="29"/>
      <c r="B40" s="21" t="s">
        <v>62</v>
      </c>
      <c r="C40" s="21"/>
      <c r="D40" s="21"/>
      <c r="E40" s="21"/>
      <c r="F40" s="31"/>
      <c r="G40" s="58"/>
      <c r="H40" s="21" t="s">
        <v>63</v>
      </c>
      <c r="I40" s="58"/>
      <c r="J40" s="21"/>
      <c r="K40" s="21"/>
      <c r="L40" s="24"/>
      <c r="M40" s="24"/>
      <c r="N40" s="24"/>
      <c r="O40" s="25"/>
      <c r="P40" s="17" t="s">
        <v>10</v>
      </c>
      <c r="R40" s="18"/>
      <c r="S40" s="18"/>
      <c r="T40" s="3"/>
      <c r="U40" s="3"/>
      <c r="V40" s="3"/>
    </row>
    <row r="41" spans="1:24" ht="12" customHeight="1">
      <c r="A41" s="17"/>
      <c r="F41" s="23"/>
      <c r="L41" s="95"/>
      <c r="M41" s="18"/>
      <c r="N41" s="18"/>
      <c r="O41" s="18"/>
      <c r="P41" s="18" t="s">
        <v>11</v>
      </c>
      <c r="R41" s="18"/>
      <c r="S41" s="18"/>
      <c r="T41" s="3"/>
      <c r="U41" s="3"/>
      <c r="V41" s="3"/>
    </row>
    <row r="42" spans="1:24" ht="12" customHeight="1">
      <c r="A42" s="17" t="s">
        <v>60</v>
      </c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 t="s">
        <v>12</v>
      </c>
      <c r="R42" s="18"/>
      <c r="S42" s="18"/>
      <c r="T42" s="3"/>
      <c r="U42" s="3"/>
      <c r="V42" s="3"/>
    </row>
    <row r="43" spans="1:24" ht="12" customHeight="1">
      <c r="A43" s="18"/>
      <c r="B43" s="18" t="s">
        <v>61</v>
      </c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25" t="s">
        <v>13</v>
      </c>
      <c r="R43" s="25"/>
      <c r="S43" s="25"/>
      <c r="T43" s="34"/>
      <c r="U43" s="34"/>
      <c r="V43" s="34"/>
    </row>
    <row r="44" spans="1:24" s="19" customFormat="1" ht="16.5" customHeight="1">
      <c r="A44" s="29"/>
      <c r="B44" s="25"/>
      <c r="C44" s="31" t="str">
        <f>C50</f>
        <v>Evankoff LLC</v>
      </c>
      <c r="D44" s="36"/>
      <c r="E44" s="36"/>
      <c r="F44" s="25"/>
      <c r="G44" s="25"/>
      <c r="H44" s="25"/>
      <c r="I44" s="25"/>
      <c r="J44" s="25"/>
      <c r="K44" s="25"/>
      <c r="L44" s="25"/>
      <c r="M44" s="25"/>
      <c r="N44" s="25"/>
      <c r="O44" s="25" t="s">
        <v>64</v>
      </c>
      <c r="P44" s="25"/>
    </row>
    <row r="45" spans="1:24">
      <c r="A45" s="24"/>
      <c r="B45" s="24"/>
      <c r="C45" s="24" t="s">
        <v>65</v>
      </c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5"/>
      <c r="P45" s="25"/>
      <c r="Q45" s="36" t="s">
        <v>16</v>
      </c>
      <c r="S45" s="19"/>
      <c r="T45" s="19"/>
      <c r="U45" s="19"/>
    </row>
    <row r="46" spans="1:24" s="19" customFormat="1" ht="15" thickBot="1">
      <c r="A46" s="31" t="s">
        <v>105</v>
      </c>
      <c r="B46" s="31"/>
      <c r="C46" s="31"/>
      <c r="D46" s="31"/>
      <c r="E46" s="31"/>
      <c r="F46" s="31"/>
      <c r="G46" s="25" t="s">
        <v>67</v>
      </c>
      <c r="H46" s="25"/>
      <c r="I46" s="25"/>
      <c r="J46" s="25"/>
      <c r="K46" s="25"/>
      <c r="L46" s="25"/>
      <c r="M46" s="25"/>
      <c r="N46" s="25"/>
      <c r="O46" s="25"/>
      <c r="P46" s="25"/>
      <c r="Q46" s="25"/>
    </row>
    <row r="47" spans="1:24">
      <c r="A47" s="24"/>
      <c r="B47" s="24" t="s">
        <v>66</v>
      </c>
      <c r="C47" s="24"/>
      <c r="D47" s="24"/>
      <c r="E47" s="24"/>
      <c r="F47" s="24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94"/>
      <c r="R47" s="70" t="s">
        <v>14</v>
      </c>
      <c r="S47" s="71"/>
      <c r="T47" s="72"/>
      <c r="U47" s="37"/>
      <c r="V47" s="73" t="s">
        <v>15</v>
      </c>
      <c r="W47" s="74" t="s">
        <v>93</v>
      </c>
      <c r="X47" s="75"/>
    </row>
    <row r="48" spans="1:24">
      <c r="A48" s="99">
        <f>H10</f>
        <v>42457</v>
      </c>
      <c r="B48" s="26" t="s">
        <v>68</v>
      </c>
      <c r="C48" s="244">
        <f>F7</f>
        <v>42463</v>
      </c>
      <c r="D48" s="244"/>
      <c r="E48" s="98"/>
      <c r="F48" s="33" t="s">
        <v>73</v>
      </c>
      <c r="J48" s="32"/>
      <c r="L48" s="25"/>
      <c r="M48" s="25"/>
      <c r="N48" s="25"/>
      <c r="O48" s="25"/>
      <c r="P48" s="25"/>
      <c r="Q48" s="76"/>
      <c r="R48" s="77"/>
      <c r="S48" s="77"/>
      <c r="T48" s="78"/>
      <c r="U48" s="79"/>
      <c r="V48" s="80"/>
      <c r="W48" s="80"/>
      <c r="X48" s="81"/>
    </row>
    <row r="49" spans="1:24" ht="14.25" customHeight="1" thickBot="1">
      <c r="A49" s="24" t="s">
        <v>74</v>
      </c>
      <c r="B49" s="25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5"/>
      <c r="Q49" s="82"/>
      <c r="R49" s="83"/>
      <c r="S49" s="83"/>
      <c r="T49" s="84"/>
      <c r="U49" s="85"/>
      <c r="V49" s="86"/>
      <c r="W49" s="86"/>
      <c r="X49" s="87"/>
    </row>
    <row r="50" spans="1:24" ht="18.75" customHeight="1">
      <c r="A50" s="25"/>
      <c r="B50" s="25"/>
      <c r="C50" s="31" t="str">
        <f>A5</f>
        <v>Evankoff LLC</v>
      </c>
      <c r="D50" s="25"/>
      <c r="E50" s="25"/>
      <c r="F50" s="25"/>
      <c r="G50" s="25"/>
      <c r="H50" s="25"/>
      <c r="I50" s="25"/>
      <c r="J50" s="25"/>
      <c r="K50" s="25"/>
      <c r="L50" s="25"/>
      <c r="M50" s="25" t="s">
        <v>69</v>
      </c>
      <c r="N50" s="25"/>
      <c r="O50" s="25"/>
      <c r="P50" s="25"/>
      <c r="Q50" s="107" t="s">
        <v>128</v>
      </c>
      <c r="R50" s="108"/>
      <c r="S50" s="240" t="s">
        <v>97</v>
      </c>
      <c r="T50" s="240"/>
      <c r="U50" s="240"/>
      <c r="V50" s="240"/>
      <c r="W50" s="240"/>
      <c r="X50" s="241"/>
    </row>
    <row r="51" spans="1:24">
      <c r="A51" s="24"/>
      <c r="B51" s="24"/>
      <c r="C51" s="24" t="s">
        <v>65</v>
      </c>
      <c r="D51" s="24"/>
      <c r="E51" s="24"/>
      <c r="F51" s="24"/>
      <c r="G51" s="24"/>
      <c r="H51" s="24"/>
      <c r="I51" s="24"/>
      <c r="J51" s="24"/>
      <c r="K51" s="24"/>
      <c r="L51" s="24"/>
      <c r="M51" s="25"/>
      <c r="N51" s="25"/>
      <c r="O51" s="25"/>
      <c r="P51" s="25"/>
      <c r="Q51" s="109" t="s">
        <v>127</v>
      </c>
      <c r="R51" s="110"/>
      <c r="S51" s="242"/>
      <c r="T51" s="242"/>
      <c r="U51" s="242"/>
      <c r="V51" s="242"/>
      <c r="W51" s="242"/>
      <c r="X51" s="243"/>
    </row>
    <row r="52" spans="1:24" ht="12.75" customHeight="1" thickBot="1">
      <c r="A52" s="25" t="s">
        <v>70</v>
      </c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39"/>
      <c r="R52" s="88"/>
      <c r="S52" s="88"/>
      <c r="T52" s="89"/>
      <c r="U52" s="41"/>
      <c r="V52" s="40"/>
      <c r="W52" s="40"/>
      <c r="X52" s="42"/>
    </row>
    <row r="53" spans="1:24" ht="12.75" customHeight="1">
      <c r="A53" s="25" t="s">
        <v>71</v>
      </c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107" t="s">
        <v>128</v>
      </c>
      <c r="R53" s="108"/>
      <c r="S53" s="240" t="s">
        <v>95</v>
      </c>
      <c r="T53" s="240"/>
      <c r="U53" s="240"/>
      <c r="V53" s="240"/>
      <c r="W53" s="240"/>
      <c r="X53" s="241"/>
    </row>
    <row r="54" spans="1:24" ht="12.75" customHeight="1">
      <c r="A54" s="25" t="s">
        <v>72</v>
      </c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109" t="s">
        <v>127</v>
      </c>
      <c r="R54" s="110"/>
      <c r="S54" s="242"/>
      <c r="T54" s="242"/>
      <c r="U54" s="242"/>
      <c r="V54" s="242"/>
      <c r="W54" s="242"/>
      <c r="X54" s="243"/>
    </row>
    <row r="55" spans="1:24" ht="12.75" customHeight="1" thickBot="1">
      <c r="A55" s="25" t="s">
        <v>0</v>
      </c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53"/>
      <c r="R55" s="54"/>
      <c r="S55" s="54"/>
      <c r="T55" s="54"/>
      <c r="U55" s="55"/>
      <c r="V55" s="10"/>
      <c r="W55" s="10"/>
      <c r="X55" s="56"/>
    </row>
    <row r="56" spans="1:24" ht="18" customHeight="1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48"/>
      <c r="R56" s="49"/>
      <c r="S56" s="49"/>
      <c r="T56" s="49"/>
      <c r="U56" s="50"/>
      <c r="V56" s="51"/>
      <c r="W56" s="51"/>
      <c r="X56" s="52"/>
    </row>
    <row r="57" spans="1:24" ht="18" customHeight="1" thickBot="1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5"/>
      <c r="Q57" s="53"/>
      <c r="R57" s="54"/>
      <c r="S57" s="54"/>
      <c r="T57" s="54"/>
      <c r="U57" s="55"/>
      <c r="V57" s="10"/>
      <c r="W57" s="10"/>
      <c r="X57" s="56"/>
    </row>
    <row r="58" spans="1:24" ht="18" customHeight="1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5"/>
      <c r="Q58" s="48"/>
      <c r="R58" s="49"/>
      <c r="S58" s="49"/>
      <c r="T58" s="49"/>
      <c r="U58" s="50"/>
      <c r="V58" s="51"/>
      <c r="W58" s="51"/>
      <c r="X58" s="52"/>
    </row>
    <row r="59" spans="1:24" ht="21" customHeight="1" thickBot="1">
      <c r="A59" s="24"/>
      <c r="B59" s="28" t="s">
        <v>2</v>
      </c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5"/>
      <c r="Q59" s="53"/>
      <c r="R59" s="54"/>
      <c r="S59" s="54"/>
      <c r="T59" s="54"/>
      <c r="U59" s="55"/>
      <c r="V59" s="10"/>
      <c r="W59" s="10"/>
      <c r="X59" s="56"/>
    </row>
    <row r="60" spans="1:24" ht="12" customHeight="1">
      <c r="A60" s="30" t="s">
        <v>3</v>
      </c>
      <c r="B60" s="30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5"/>
      <c r="Q60" s="48" t="s">
        <v>17</v>
      </c>
      <c r="R60" s="49"/>
      <c r="S60" s="49"/>
      <c r="T60" s="49"/>
      <c r="U60" s="49"/>
      <c r="V60" s="51"/>
      <c r="W60" s="51"/>
      <c r="X60" s="52"/>
    </row>
    <row r="61" spans="1:24" ht="12" customHeight="1">
      <c r="A61" s="27" t="s">
        <v>4</v>
      </c>
      <c r="B61" s="30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5"/>
      <c r="Q61" s="111" t="s">
        <v>96</v>
      </c>
      <c r="R61" s="44"/>
      <c r="S61" s="44"/>
      <c r="T61" s="44"/>
      <c r="U61" s="44"/>
      <c r="V61" s="46"/>
      <c r="W61" s="46"/>
      <c r="X61" s="47"/>
    </row>
    <row r="62" spans="1:24" ht="12" customHeight="1">
      <c r="A62" s="27" t="s">
        <v>5</v>
      </c>
      <c r="B62" s="30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5"/>
      <c r="Q62" s="121"/>
      <c r="R62" s="122"/>
      <c r="S62" s="44"/>
      <c r="T62" s="44"/>
      <c r="U62" s="44"/>
      <c r="V62" s="46"/>
      <c r="W62" s="46"/>
      <c r="X62" s="47"/>
    </row>
    <row r="63" spans="1:24" ht="12" customHeight="1">
      <c r="A63" s="27"/>
      <c r="B63" s="30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5"/>
      <c r="Q63" s="121"/>
      <c r="R63" s="122"/>
      <c r="S63" s="44"/>
      <c r="T63" s="44"/>
      <c r="U63" s="44"/>
      <c r="V63" s="46"/>
      <c r="W63" s="46"/>
      <c r="X63" s="47"/>
    </row>
    <row r="64" spans="1:24" ht="12" customHeight="1">
      <c r="A64" s="29" t="s">
        <v>7</v>
      </c>
      <c r="B64" s="29" t="s">
        <v>6</v>
      </c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121"/>
      <c r="R64" s="122"/>
      <c r="S64" s="44"/>
      <c r="T64" s="44"/>
      <c r="U64" s="44"/>
      <c r="V64" s="46"/>
      <c r="W64" s="46"/>
      <c r="X64" s="47"/>
    </row>
    <row r="65" spans="1:24" ht="12" customHeight="1">
      <c r="A65" s="25" t="s">
        <v>8</v>
      </c>
      <c r="B65" s="29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43"/>
      <c r="R65" s="44"/>
      <c r="S65" s="44"/>
      <c r="T65" s="44"/>
      <c r="U65" s="44"/>
      <c r="V65" s="46"/>
      <c r="W65" s="46"/>
      <c r="X65" s="47"/>
    </row>
    <row r="66" spans="1:24" ht="12" customHeight="1">
      <c r="A66" s="25" t="s">
        <v>9</v>
      </c>
      <c r="B66" s="29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43"/>
      <c r="R66" s="44"/>
      <c r="S66" s="44"/>
      <c r="T66" s="44"/>
      <c r="U66" s="44"/>
      <c r="V66" s="46"/>
      <c r="W66" s="46"/>
      <c r="X66" s="47"/>
    </row>
    <row r="67" spans="1:24" ht="12" customHeight="1" thickBot="1">
      <c r="A67" s="25"/>
      <c r="B67" s="29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53"/>
      <c r="R67" s="54"/>
      <c r="S67" s="54"/>
      <c r="T67" s="54"/>
      <c r="U67" s="54"/>
      <c r="V67" s="10"/>
      <c r="W67" s="10"/>
      <c r="X67" s="56"/>
    </row>
    <row r="68" spans="1:24" ht="12" customHeight="1">
      <c r="A68" s="25"/>
      <c r="B68" s="25" t="s">
        <v>57</v>
      </c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</row>
    <row r="69" spans="1:24" ht="12" customHeight="1">
      <c r="A69" s="25"/>
      <c r="B69" s="25" t="s">
        <v>1</v>
      </c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12" t="s">
        <v>50</v>
      </c>
      <c r="R69" s="22"/>
      <c r="S69" s="22"/>
      <c r="T69" s="67"/>
      <c r="U69" s="57" t="s">
        <v>51</v>
      </c>
      <c r="V69" s="58"/>
      <c r="W69" s="58"/>
      <c r="X69" s="59"/>
    </row>
    <row r="70" spans="1:24" ht="11.25" customHeight="1">
      <c r="A70" s="25"/>
      <c r="B70" s="25" t="s">
        <v>81</v>
      </c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63"/>
      <c r="T70" s="68"/>
      <c r="U70" s="61"/>
      <c r="V70" s="38"/>
      <c r="W70" s="38"/>
      <c r="X70" s="60"/>
    </row>
    <row r="71" spans="1:24" ht="13.5" customHeight="1">
      <c r="A71" s="25"/>
      <c r="B71" s="97" t="s">
        <v>80</v>
      </c>
      <c r="C71" s="29" t="s">
        <v>76</v>
      </c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93" t="str">
        <f>B39</f>
        <v>Eric Coffie</v>
      </c>
      <c r="R71" s="90"/>
      <c r="S71" s="90" t="str">
        <f>H39</f>
        <v>President</v>
      </c>
      <c r="T71" s="68"/>
      <c r="U71" s="61"/>
      <c r="V71" s="38"/>
      <c r="W71" s="38"/>
      <c r="X71" s="60"/>
    </row>
    <row r="72" spans="1:24" ht="10.5" customHeight="1">
      <c r="A72" s="19"/>
      <c r="B72" s="25"/>
      <c r="C72" s="25" t="s">
        <v>77</v>
      </c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19"/>
      <c r="Q72" s="91"/>
      <c r="R72" s="92"/>
      <c r="S72" s="92"/>
      <c r="T72" s="69"/>
      <c r="U72" s="62"/>
      <c r="V72" s="116"/>
      <c r="W72" s="116"/>
      <c r="X72" s="117"/>
    </row>
    <row r="73" spans="1:24" ht="10.5" customHeight="1">
      <c r="A73" s="19"/>
      <c r="B73" s="19"/>
      <c r="C73" s="25" t="s">
        <v>78</v>
      </c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</row>
    <row r="74" spans="1:24" ht="10.5" customHeight="1">
      <c r="B74" s="19"/>
      <c r="C74" s="25" t="s">
        <v>79</v>
      </c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Q74" s="64" t="s">
        <v>86</v>
      </c>
      <c r="R74" s="58"/>
      <c r="S74" s="58"/>
      <c r="T74" s="58"/>
      <c r="U74" s="58"/>
      <c r="V74" s="58"/>
      <c r="W74" s="58"/>
      <c r="X74" s="59"/>
    </row>
    <row r="75" spans="1:24" ht="10.5" customHeight="1">
      <c r="Q75" s="66" t="s">
        <v>87</v>
      </c>
      <c r="R75" s="38"/>
      <c r="S75" s="38"/>
      <c r="T75" s="38"/>
      <c r="U75" s="38"/>
      <c r="V75" s="38"/>
      <c r="W75" s="38"/>
      <c r="X75" s="60"/>
    </row>
    <row r="76" spans="1:24" ht="10.5" customHeight="1">
      <c r="Q76" s="66" t="s">
        <v>88</v>
      </c>
      <c r="R76" s="38"/>
      <c r="S76" s="38"/>
      <c r="T76" s="38"/>
      <c r="U76" s="38"/>
      <c r="V76" s="38"/>
      <c r="W76" s="38"/>
      <c r="X76" s="60"/>
    </row>
    <row r="77" spans="1:24" ht="10.5" customHeight="1">
      <c r="Q77" s="65" t="s">
        <v>89</v>
      </c>
      <c r="R77" s="116"/>
      <c r="S77" s="116"/>
      <c r="T77" s="116"/>
      <c r="U77" s="116"/>
      <c r="V77" s="116"/>
      <c r="W77" s="116"/>
      <c r="X77" s="117"/>
    </row>
  </sheetData>
  <mergeCells count="235">
    <mergeCell ref="A1:D3"/>
    <mergeCell ref="F1:U3"/>
    <mergeCell ref="A4:C4"/>
    <mergeCell ref="D4:G4"/>
    <mergeCell ref="H4:N4"/>
    <mergeCell ref="O4:V4"/>
    <mergeCell ref="W4:X5"/>
    <mergeCell ref="A5:N5"/>
    <mergeCell ref="O5:V5"/>
    <mergeCell ref="A6:D6"/>
    <mergeCell ref="F6:N6"/>
    <mergeCell ref="A7:D7"/>
    <mergeCell ref="F7:N7"/>
    <mergeCell ref="O7:S7"/>
    <mergeCell ref="T7:X7"/>
    <mergeCell ref="A8:B8"/>
    <mergeCell ref="D8:F8"/>
    <mergeCell ref="G8:G12"/>
    <mergeCell ref="H8:N8"/>
    <mergeCell ref="R8:W9"/>
    <mergeCell ref="X8:X12"/>
    <mergeCell ref="A9:B12"/>
    <mergeCell ref="C9:C12"/>
    <mergeCell ref="D9:F12"/>
    <mergeCell ref="O10:O12"/>
    <mergeCell ref="V10:V12"/>
    <mergeCell ref="W10:W12"/>
    <mergeCell ref="H12:N12"/>
    <mergeCell ref="R10:R12"/>
    <mergeCell ref="S10:S12"/>
    <mergeCell ref="T10:T12"/>
    <mergeCell ref="U10:U12"/>
    <mergeCell ref="A13:B13"/>
    <mergeCell ref="C13:C16"/>
    <mergeCell ref="D13:F16"/>
    <mergeCell ref="G13:G14"/>
    <mergeCell ref="H13:H14"/>
    <mergeCell ref="I13:I14"/>
    <mergeCell ref="J13:J14"/>
    <mergeCell ref="P10:P12"/>
    <mergeCell ref="Q10:Q12"/>
    <mergeCell ref="Q15:Q16"/>
    <mergeCell ref="A16:B16"/>
    <mergeCell ref="X13:X16"/>
    <mergeCell ref="A14:B14"/>
    <mergeCell ref="A15:B15"/>
    <mergeCell ref="G15:G16"/>
    <mergeCell ref="H15:H16"/>
    <mergeCell ref="I15:I16"/>
    <mergeCell ref="J15:J16"/>
    <mergeCell ref="K15:K16"/>
    <mergeCell ref="L15:L16"/>
    <mergeCell ref="M15:M16"/>
    <mergeCell ref="R13:R16"/>
    <mergeCell ref="S13:S16"/>
    <mergeCell ref="T13:T16"/>
    <mergeCell ref="U13:U16"/>
    <mergeCell ref="V13:V16"/>
    <mergeCell ref="W13:W16"/>
    <mergeCell ref="K13:K14"/>
    <mergeCell ref="L13:L14"/>
    <mergeCell ref="M13:M14"/>
    <mergeCell ref="N13:N14"/>
    <mergeCell ref="O13:O14"/>
    <mergeCell ref="Q13:Q14"/>
    <mergeCell ref="N15:N16"/>
    <mergeCell ref="O15:O16"/>
    <mergeCell ref="A17:B17"/>
    <mergeCell ref="C17:C20"/>
    <mergeCell ref="D17:F20"/>
    <mergeCell ref="G17:G18"/>
    <mergeCell ref="H17:H18"/>
    <mergeCell ref="I17:I18"/>
    <mergeCell ref="W17:W20"/>
    <mergeCell ref="X17:X20"/>
    <mergeCell ref="A18:B18"/>
    <mergeCell ref="A19:B19"/>
    <mergeCell ref="G19:G20"/>
    <mergeCell ref="H19:H20"/>
    <mergeCell ref="I19:I20"/>
    <mergeCell ref="J19:J20"/>
    <mergeCell ref="K19:K20"/>
    <mergeCell ref="L19:L20"/>
    <mergeCell ref="Q17:Q18"/>
    <mergeCell ref="R17:R20"/>
    <mergeCell ref="S17:S20"/>
    <mergeCell ref="T17:T20"/>
    <mergeCell ref="U17:U20"/>
    <mergeCell ref="V17:V20"/>
    <mergeCell ref="J17:J18"/>
    <mergeCell ref="K17:K18"/>
    <mergeCell ref="L17:L18"/>
    <mergeCell ref="M17:M18"/>
    <mergeCell ref="N17:N18"/>
    <mergeCell ref="O17:O18"/>
    <mergeCell ref="K21:K22"/>
    <mergeCell ref="L21:L22"/>
    <mergeCell ref="M21:M22"/>
    <mergeCell ref="N21:N22"/>
    <mergeCell ref="M19:M20"/>
    <mergeCell ref="N19:N20"/>
    <mergeCell ref="O19:O20"/>
    <mergeCell ref="Q19:Q20"/>
    <mergeCell ref="A20:B20"/>
    <mergeCell ref="A21:B21"/>
    <mergeCell ref="C21:C24"/>
    <mergeCell ref="D21:F24"/>
    <mergeCell ref="G21:G22"/>
    <mergeCell ref="H21:H22"/>
    <mergeCell ref="L23:L24"/>
    <mergeCell ref="M23:M24"/>
    <mergeCell ref="N23:N24"/>
    <mergeCell ref="O23:O24"/>
    <mergeCell ref="Q23:Q24"/>
    <mergeCell ref="A24:B24"/>
    <mergeCell ref="V21:V24"/>
    <mergeCell ref="W21:W24"/>
    <mergeCell ref="X21:X24"/>
    <mergeCell ref="A22:B22"/>
    <mergeCell ref="A23:B23"/>
    <mergeCell ref="G23:G24"/>
    <mergeCell ref="H23:H24"/>
    <mergeCell ref="I23:I24"/>
    <mergeCell ref="J23:J24"/>
    <mergeCell ref="K23:K24"/>
    <mergeCell ref="O21:O22"/>
    <mergeCell ref="Q21:Q22"/>
    <mergeCell ref="R21:R24"/>
    <mergeCell ref="S21:S24"/>
    <mergeCell ref="T21:T24"/>
    <mergeCell ref="U21:U24"/>
    <mergeCell ref="I21:I22"/>
    <mergeCell ref="J21:J22"/>
    <mergeCell ref="W25:W28"/>
    <mergeCell ref="X25:X28"/>
    <mergeCell ref="A26:B26"/>
    <mergeCell ref="A27:B27"/>
    <mergeCell ref="G27:G28"/>
    <mergeCell ref="H27:H28"/>
    <mergeCell ref="I27:I28"/>
    <mergeCell ref="J27:J28"/>
    <mergeCell ref="K27:K28"/>
    <mergeCell ref="L27:L28"/>
    <mergeCell ref="Q25:Q26"/>
    <mergeCell ref="R25:R28"/>
    <mergeCell ref="S25:S28"/>
    <mergeCell ref="T25:T28"/>
    <mergeCell ref="U25:U28"/>
    <mergeCell ref="V25:V28"/>
    <mergeCell ref="J25:J26"/>
    <mergeCell ref="K25:K26"/>
    <mergeCell ref="L25:L26"/>
    <mergeCell ref="M25:M26"/>
    <mergeCell ref="N25:N26"/>
    <mergeCell ref="O25:O26"/>
    <mergeCell ref="A25:B25"/>
    <mergeCell ref="C25:C28"/>
    <mergeCell ref="M27:M28"/>
    <mergeCell ref="N27:N28"/>
    <mergeCell ref="O27:O28"/>
    <mergeCell ref="Q27:Q28"/>
    <mergeCell ref="A28:B28"/>
    <mergeCell ref="A29:B29"/>
    <mergeCell ref="C29:C32"/>
    <mergeCell ref="D29:F32"/>
    <mergeCell ref="G29:G30"/>
    <mergeCell ref="H29:H30"/>
    <mergeCell ref="D25:F28"/>
    <mergeCell ref="G25:G26"/>
    <mergeCell ref="H25:H26"/>
    <mergeCell ref="I25:I26"/>
    <mergeCell ref="L31:L32"/>
    <mergeCell ref="M31:M32"/>
    <mergeCell ref="N31:N32"/>
    <mergeCell ref="O31:O32"/>
    <mergeCell ref="Q31:Q32"/>
    <mergeCell ref="A32:B32"/>
    <mergeCell ref="V29:V32"/>
    <mergeCell ref="W29:W32"/>
    <mergeCell ref="X29:X32"/>
    <mergeCell ref="A30:B30"/>
    <mergeCell ref="A31:B31"/>
    <mergeCell ref="G31:G32"/>
    <mergeCell ref="H31:H32"/>
    <mergeCell ref="I31:I32"/>
    <mergeCell ref="J31:J32"/>
    <mergeCell ref="K31:K32"/>
    <mergeCell ref="O29:O30"/>
    <mergeCell ref="Q29:Q30"/>
    <mergeCell ref="R29:R32"/>
    <mergeCell ref="S29:S32"/>
    <mergeCell ref="T29:T32"/>
    <mergeCell ref="U29:U32"/>
    <mergeCell ref="I29:I30"/>
    <mergeCell ref="J29:J30"/>
    <mergeCell ref="K29:K30"/>
    <mergeCell ref="L29:L30"/>
    <mergeCell ref="M29:M30"/>
    <mergeCell ref="N29:N30"/>
    <mergeCell ref="J33:J34"/>
    <mergeCell ref="K33:K34"/>
    <mergeCell ref="L33:L34"/>
    <mergeCell ref="M33:M34"/>
    <mergeCell ref="N33:N34"/>
    <mergeCell ref="O33:O34"/>
    <mergeCell ref="A33:B33"/>
    <mergeCell ref="C33:C36"/>
    <mergeCell ref="D33:F36"/>
    <mergeCell ref="G33:G34"/>
    <mergeCell ref="H33:H34"/>
    <mergeCell ref="I33:I34"/>
    <mergeCell ref="S50:X51"/>
    <mergeCell ref="S53:X54"/>
    <mergeCell ref="M35:M36"/>
    <mergeCell ref="N35:N36"/>
    <mergeCell ref="O35:O36"/>
    <mergeCell ref="Q35:Q36"/>
    <mergeCell ref="A36:B36"/>
    <mergeCell ref="C48:D48"/>
    <mergeCell ref="W33:W36"/>
    <mergeCell ref="X33:X36"/>
    <mergeCell ref="A34:B34"/>
    <mergeCell ref="A35:B35"/>
    <mergeCell ref="G35:G36"/>
    <mergeCell ref="H35:H36"/>
    <mergeCell ref="I35:I36"/>
    <mergeCell ref="J35:J36"/>
    <mergeCell ref="K35:K36"/>
    <mergeCell ref="L35:L36"/>
    <mergeCell ref="Q33:Q34"/>
    <mergeCell ref="R33:R36"/>
    <mergeCell ref="S33:S36"/>
    <mergeCell ref="T33:T36"/>
    <mergeCell ref="U33:U36"/>
    <mergeCell ref="V33:V36"/>
  </mergeCells>
  <phoneticPr fontId="11" type="noConversion"/>
  <pageMargins left="0.7" right="0.7" top="0.75" bottom="0.75" header="0.3" footer="0.3"/>
  <pageSetup scale="77" orientation="landscape" horizontalDpi="4294967292" verticalDpi="4294967292"/>
  <rowBreaks count="1" manualBreakCount="1">
    <brk id="36" max="16383" man="1"/>
  </rowBreaks>
  <colBreaks count="1" manualBreakCount="1">
    <brk id="24" max="1048575" man="1"/>
  </colBreaks>
  <extLst>
    <ext xmlns:mx="http://schemas.microsoft.com/office/mac/excel/2008/main" uri="{64002731-A6B0-56B0-2670-7721B7C09600}">
      <mx:PLV Mode="1" OnePage="0" WScale="77"/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77"/>
  <sheetViews>
    <sheetView view="pageLayout" zoomScaleNormal="125" zoomScalePageLayoutView="125" workbookViewId="0">
      <selection activeCell="A8" sqref="A8:B8"/>
    </sheetView>
  </sheetViews>
  <sheetFormatPr baseColWidth="10" defaultColWidth="8.83203125" defaultRowHeight="14" x14ac:dyDescent="0"/>
  <cols>
    <col min="1" max="1" width="10.33203125" customWidth="1"/>
    <col min="2" max="2" width="11.1640625" customWidth="1"/>
    <col min="3" max="3" width="5" customWidth="1"/>
    <col min="4" max="4" width="5.1640625" customWidth="1"/>
    <col min="5" max="5" width="4.6640625" customWidth="1"/>
    <col min="6" max="6" width="4.83203125" customWidth="1"/>
    <col min="7" max="7" width="3.6640625" customWidth="1"/>
    <col min="8" max="8" width="5" customWidth="1"/>
    <col min="9" max="9" width="4.6640625" customWidth="1"/>
    <col min="10" max="11" width="5.33203125" customWidth="1"/>
    <col min="12" max="12" width="4.83203125" customWidth="1"/>
    <col min="13" max="13" width="5.5" customWidth="1"/>
    <col min="14" max="14" width="5.1640625" customWidth="1"/>
    <col min="16" max="17" width="9.83203125" bestFit="1" customWidth="1"/>
    <col min="18" max="18" width="7.6640625" customWidth="1"/>
    <col min="19" max="19" width="9.5" customWidth="1"/>
    <col min="20" max="20" width="6" hidden="1" customWidth="1"/>
    <col min="21" max="21" width="4.33203125" hidden="1" customWidth="1"/>
    <col min="22" max="22" width="7.6640625" hidden="1" customWidth="1"/>
    <col min="23" max="23" width="9.33203125" customWidth="1"/>
    <col min="24" max="24" width="12.6640625" customWidth="1"/>
  </cols>
  <sheetData>
    <row r="1" spans="1:24" ht="15" customHeight="1">
      <c r="A1" s="149" t="s">
        <v>22</v>
      </c>
      <c r="B1" s="149"/>
      <c r="C1" s="149"/>
      <c r="D1" s="149"/>
      <c r="E1" s="143"/>
      <c r="F1" s="151" t="s">
        <v>55</v>
      </c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9"/>
      <c r="W1" s="9"/>
      <c r="X1" s="9"/>
    </row>
    <row r="2" spans="1:24">
      <c r="A2" s="149"/>
      <c r="B2" s="149"/>
      <c r="C2" s="149"/>
      <c r="D2" s="149"/>
      <c r="E2" s="143"/>
      <c r="F2" s="151"/>
      <c r="G2" s="151"/>
      <c r="H2" s="151"/>
      <c r="I2" s="151"/>
      <c r="J2" s="151"/>
      <c r="K2" s="151"/>
      <c r="L2" s="151"/>
      <c r="M2" s="151"/>
      <c r="N2" s="151"/>
      <c r="O2" s="151"/>
      <c r="P2" s="151"/>
      <c r="Q2" s="151"/>
      <c r="R2" s="151"/>
      <c r="S2" s="151"/>
      <c r="T2" s="151"/>
      <c r="U2" s="151"/>
      <c r="V2" s="9"/>
      <c r="W2" s="9"/>
      <c r="X2" s="9"/>
    </row>
    <row r="3" spans="1:24" ht="15" customHeight="1" thickBot="1">
      <c r="A3" s="150"/>
      <c r="B3" s="150"/>
      <c r="C3" s="150"/>
      <c r="D3" s="150"/>
      <c r="E3" s="144"/>
      <c r="F3" s="152"/>
      <c r="G3" s="152"/>
      <c r="H3" s="152"/>
      <c r="I3" s="152"/>
      <c r="J3" s="152"/>
      <c r="K3" s="152"/>
      <c r="L3" s="152"/>
      <c r="M3" s="152"/>
      <c r="N3" s="152"/>
      <c r="O3" s="152"/>
      <c r="P3" s="152"/>
      <c r="Q3" s="152"/>
      <c r="R3" s="152"/>
      <c r="S3" s="152"/>
      <c r="T3" s="152"/>
      <c r="U3" s="152"/>
      <c r="V3" s="10"/>
      <c r="W3" s="10"/>
      <c r="X3" s="10"/>
    </row>
    <row r="4" spans="1:24" s="11" customFormat="1">
      <c r="A4" s="153" t="s">
        <v>56</v>
      </c>
      <c r="B4" s="154"/>
      <c r="C4" s="154"/>
      <c r="D4" s="154" t="s">
        <v>52</v>
      </c>
      <c r="E4" s="154"/>
      <c r="F4" s="154"/>
      <c r="G4" s="154"/>
      <c r="H4" s="155"/>
      <c r="I4" s="155"/>
      <c r="J4" s="155"/>
      <c r="K4" s="155"/>
      <c r="L4" s="155"/>
      <c r="M4" s="155"/>
      <c r="N4" s="156"/>
      <c r="O4" s="157" t="s">
        <v>126</v>
      </c>
      <c r="P4" s="158"/>
      <c r="Q4" s="158"/>
      <c r="R4" s="158"/>
      <c r="S4" s="158"/>
      <c r="T4" s="158"/>
      <c r="U4" s="158"/>
      <c r="V4" s="158"/>
      <c r="W4" s="159"/>
      <c r="X4" s="160"/>
    </row>
    <row r="5" spans="1:24" s="1" customFormat="1" ht="12">
      <c r="A5" s="163" t="s">
        <v>125</v>
      </c>
      <c r="B5" s="164"/>
      <c r="C5" s="164"/>
      <c r="D5" s="164"/>
      <c r="E5" s="164"/>
      <c r="F5" s="164"/>
      <c r="G5" s="164"/>
      <c r="H5" s="164"/>
      <c r="I5" s="164"/>
      <c r="J5" s="164"/>
      <c r="K5" s="164"/>
      <c r="L5" s="164"/>
      <c r="M5" s="164"/>
      <c r="N5" s="165"/>
      <c r="O5" s="166" t="s">
        <v>108</v>
      </c>
      <c r="P5" s="167"/>
      <c r="Q5" s="167"/>
      <c r="R5" s="167"/>
      <c r="S5" s="167"/>
      <c r="T5" s="167"/>
      <c r="U5" s="167"/>
      <c r="V5" s="167"/>
      <c r="W5" s="161"/>
      <c r="X5" s="162"/>
    </row>
    <row r="6" spans="1:24" s="13" customFormat="1" ht="11">
      <c r="A6" s="168" t="s">
        <v>18</v>
      </c>
      <c r="B6" s="169"/>
      <c r="C6" s="169"/>
      <c r="D6" s="170"/>
      <c r="E6" s="115"/>
      <c r="F6" s="168" t="s">
        <v>19</v>
      </c>
      <c r="G6" s="169"/>
      <c r="H6" s="169"/>
      <c r="I6" s="169"/>
      <c r="J6" s="169"/>
      <c r="K6" s="169"/>
      <c r="L6" s="169"/>
      <c r="M6" s="169"/>
      <c r="N6" s="170"/>
      <c r="O6" s="102" t="s">
        <v>20</v>
      </c>
      <c r="P6" s="15"/>
      <c r="Q6" s="15"/>
      <c r="R6" s="15"/>
      <c r="S6" s="102" t="s">
        <v>91</v>
      </c>
      <c r="T6" s="15" t="s">
        <v>21</v>
      </c>
      <c r="U6" s="15"/>
      <c r="V6" s="15"/>
      <c r="X6" s="16"/>
    </row>
    <row r="7" spans="1:24" s="1" customFormat="1" ht="16.5" customHeight="1">
      <c r="A7" s="171">
        <v>13</v>
      </c>
      <c r="B7" s="172"/>
      <c r="C7" s="172"/>
      <c r="D7" s="173"/>
      <c r="E7" s="145"/>
      <c r="F7" s="174">
        <v>42470</v>
      </c>
      <c r="G7" s="175"/>
      <c r="H7" s="175"/>
      <c r="I7" s="175"/>
      <c r="J7" s="175"/>
      <c r="K7" s="175"/>
      <c r="L7" s="175"/>
      <c r="M7" s="175"/>
      <c r="N7" s="176"/>
      <c r="O7" s="166" t="s">
        <v>107</v>
      </c>
      <c r="P7" s="167"/>
      <c r="Q7" s="167"/>
      <c r="R7" s="167"/>
      <c r="S7" s="167"/>
      <c r="T7" s="167" t="s">
        <v>109</v>
      </c>
      <c r="U7" s="167"/>
      <c r="V7" s="167"/>
      <c r="W7" s="167"/>
      <c r="X7" s="177"/>
    </row>
    <row r="8" spans="1:24" s="2" customFormat="1" ht="11.25" customHeight="1">
      <c r="A8" s="178" t="s">
        <v>23</v>
      </c>
      <c r="B8" s="179"/>
      <c r="C8" s="7" t="s">
        <v>24</v>
      </c>
      <c r="D8" s="178" t="s">
        <v>25</v>
      </c>
      <c r="E8" s="180"/>
      <c r="F8" s="179"/>
      <c r="G8" s="181" t="s">
        <v>29</v>
      </c>
      <c r="H8" s="184" t="s">
        <v>54</v>
      </c>
      <c r="I8" s="185"/>
      <c r="J8" s="185"/>
      <c r="K8" s="185"/>
      <c r="L8" s="185"/>
      <c r="M8" s="185"/>
      <c r="N8" s="186"/>
      <c r="O8" s="7" t="s">
        <v>30</v>
      </c>
      <c r="P8" s="7" t="s">
        <v>31</v>
      </c>
      <c r="Q8" s="7" t="s">
        <v>32</v>
      </c>
      <c r="R8" s="187" t="s">
        <v>33</v>
      </c>
      <c r="S8" s="187"/>
      <c r="T8" s="187"/>
      <c r="U8" s="187"/>
      <c r="V8" s="187"/>
      <c r="W8" s="187"/>
      <c r="X8" s="187" t="s">
        <v>53</v>
      </c>
    </row>
    <row r="9" spans="1:24" ht="17.25" customHeight="1">
      <c r="A9" s="188" t="s">
        <v>26</v>
      </c>
      <c r="B9" s="189"/>
      <c r="C9" s="192" t="s">
        <v>27</v>
      </c>
      <c r="D9" s="194" t="s">
        <v>28</v>
      </c>
      <c r="E9" s="195"/>
      <c r="F9" s="196"/>
      <c r="G9" s="182"/>
      <c r="H9" s="132" t="s">
        <v>36</v>
      </c>
      <c r="I9" s="133" t="s">
        <v>37</v>
      </c>
      <c r="J9" s="133" t="s">
        <v>38</v>
      </c>
      <c r="K9" s="133" t="s">
        <v>111</v>
      </c>
      <c r="L9" s="133" t="s">
        <v>39</v>
      </c>
      <c r="M9" s="133" t="s">
        <v>41</v>
      </c>
      <c r="N9" s="133" t="s">
        <v>42</v>
      </c>
      <c r="O9" s="6"/>
      <c r="P9" s="8"/>
      <c r="Q9" s="8"/>
      <c r="R9" s="187"/>
      <c r="S9" s="187"/>
      <c r="T9" s="187"/>
      <c r="U9" s="187"/>
      <c r="V9" s="187"/>
      <c r="W9" s="187"/>
      <c r="X9" s="187"/>
    </row>
    <row r="10" spans="1:24" ht="19.5" customHeight="1">
      <c r="A10" s="188"/>
      <c r="B10" s="189"/>
      <c r="C10" s="192"/>
      <c r="D10" s="194"/>
      <c r="E10" s="195"/>
      <c r="F10" s="196"/>
      <c r="G10" s="182"/>
      <c r="H10" s="100">
        <f t="shared" ref="H10:L10" si="0">I10-1</f>
        <v>42464</v>
      </c>
      <c r="I10" s="100">
        <f t="shared" si="0"/>
        <v>42465</v>
      </c>
      <c r="J10" s="100">
        <f t="shared" si="0"/>
        <v>42466</v>
      </c>
      <c r="K10" s="100">
        <f t="shared" si="0"/>
        <v>42467</v>
      </c>
      <c r="L10" s="100">
        <f t="shared" si="0"/>
        <v>42468</v>
      </c>
      <c r="M10" s="100">
        <f>N10-1</f>
        <v>42469</v>
      </c>
      <c r="N10" s="100">
        <f>F7</f>
        <v>42470</v>
      </c>
      <c r="O10" s="200" t="s">
        <v>46</v>
      </c>
      <c r="P10" s="200" t="s">
        <v>47</v>
      </c>
      <c r="Q10" s="200" t="s">
        <v>48</v>
      </c>
      <c r="R10" s="206" t="s">
        <v>44</v>
      </c>
      <c r="S10" s="206" t="s">
        <v>45</v>
      </c>
      <c r="T10" s="207"/>
      <c r="U10" s="207"/>
      <c r="V10" s="202" t="s">
        <v>35</v>
      </c>
      <c r="W10" s="203" t="s">
        <v>34</v>
      </c>
      <c r="X10" s="187"/>
    </row>
    <row r="11" spans="1:24" ht="18.75" hidden="1" customHeight="1">
      <c r="A11" s="188"/>
      <c r="B11" s="189"/>
      <c r="C11" s="192"/>
      <c r="D11" s="194"/>
      <c r="E11" s="195"/>
      <c r="F11" s="196"/>
      <c r="G11" s="182"/>
      <c r="H11" s="5"/>
      <c r="I11" s="4"/>
      <c r="J11" s="4"/>
      <c r="K11" s="4"/>
      <c r="L11" s="4"/>
      <c r="M11" s="4"/>
      <c r="N11" s="4"/>
      <c r="O11" s="200"/>
      <c r="P11" s="200"/>
      <c r="Q11" s="200"/>
      <c r="R11" s="206"/>
      <c r="S11" s="206"/>
      <c r="T11" s="207"/>
      <c r="U11" s="207"/>
      <c r="V11" s="202"/>
      <c r="W11" s="203"/>
      <c r="X11" s="187"/>
    </row>
    <row r="12" spans="1:24">
      <c r="A12" s="190"/>
      <c r="B12" s="191"/>
      <c r="C12" s="193"/>
      <c r="D12" s="197"/>
      <c r="E12" s="198"/>
      <c r="F12" s="199"/>
      <c r="G12" s="183"/>
      <c r="H12" s="204" t="s">
        <v>43</v>
      </c>
      <c r="I12" s="204"/>
      <c r="J12" s="204"/>
      <c r="K12" s="204"/>
      <c r="L12" s="204"/>
      <c r="M12" s="204"/>
      <c r="N12" s="205"/>
      <c r="O12" s="201"/>
      <c r="P12" s="201"/>
      <c r="Q12" s="201"/>
      <c r="R12" s="206"/>
      <c r="S12" s="206"/>
      <c r="T12" s="207"/>
      <c r="U12" s="207"/>
      <c r="V12" s="202"/>
      <c r="W12" s="203"/>
      <c r="X12" s="187"/>
    </row>
    <row r="13" spans="1:24" ht="15" customHeight="1">
      <c r="A13" s="208" t="s">
        <v>98</v>
      </c>
      <c r="B13" s="209"/>
      <c r="C13" s="210">
        <v>2</v>
      </c>
      <c r="D13" s="249" t="s">
        <v>123</v>
      </c>
      <c r="E13" s="250"/>
      <c r="F13" s="251"/>
      <c r="G13" s="220" t="s">
        <v>49</v>
      </c>
      <c r="H13" s="220"/>
      <c r="I13" s="220"/>
      <c r="J13" s="220"/>
      <c r="K13" s="220"/>
      <c r="L13" s="220"/>
      <c r="M13" s="220"/>
      <c r="N13" s="220"/>
      <c r="O13" s="232">
        <f>SUM(H13:N14)</f>
        <v>0</v>
      </c>
      <c r="P13" s="105" t="s">
        <v>110</v>
      </c>
      <c r="Q13" s="238">
        <f>P14*O13</f>
        <v>0</v>
      </c>
      <c r="R13" s="226">
        <v>0</v>
      </c>
      <c r="S13" s="226">
        <v>0</v>
      </c>
      <c r="T13" s="226"/>
      <c r="U13" s="226"/>
      <c r="V13" s="226"/>
      <c r="W13" s="226">
        <f>S13+R13</f>
        <v>0</v>
      </c>
      <c r="X13" s="229">
        <f>Q15-W13+Q13</f>
        <v>0</v>
      </c>
    </row>
    <row r="14" spans="1:24">
      <c r="A14" s="221" t="s">
        <v>103</v>
      </c>
      <c r="B14" s="222"/>
      <c r="C14" s="210"/>
      <c r="D14" s="252"/>
      <c r="E14" s="253"/>
      <c r="F14" s="254"/>
      <c r="G14" s="220"/>
      <c r="H14" s="220"/>
      <c r="I14" s="220"/>
      <c r="J14" s="220"/>
      <c r="K14" s="220"/>
      <c r="L14" s="220"/>
      <c r="M14" s="220"/>
      <c r="N14" s="220"/>
      <c r="O14" s="233"/>
      <c r="P14" s="103">
        <f>P16/2+P16</f>
        <v>22.5</v>
      </c>
      <c r="Q14" s="239"/>
      <c r="R14" s="227"/>
      <c r="S14" s="227"/>
      <c r="T14" s="227"/>
      <c r="U14" s="227"/>
      <c r="V14" s="227"/>
      <c r="W14" s="227"/>
      <c r="X14" s="230"/>
    </row>
    <row r="15" spans="1:24">
      <c r="A15" s="261"/>
      <c r="B15" s="262"/>
      <c r="C15" s="210"/>
      <c r="D15" s="252"/>
      <c r="E15" s="253"/>
      <c r="F15" s="254"/>
      <c r="G15" s="223" t="s">
        <v>40</v>
      </c>
      <c r="H15" s="223">
        <v>0</v>
      </c>
      <c r="I15" s="223">
        <v>0</v>
      </c>
      <c r="J15" s="223">
        <v>0</v>
      </c>
      <c r="K15" s="223">
        <v>0</v>
      </c>
      <c r="L15" s="223">
        <v>0</v>
      </c>
      <c r="M15" s="223">
        <v>0</v>
      </c>
      <c r="N15" s="223">
        <v>0</v>
      </c>
      <c r="O15" s="234">
        <f>SUM(H15:N16)</f>
        <v>0</v>
      </c>
      <c r="P15" s="106" t="s">
        <v>110</v>
      </c>
      <c r="Q15" s="236">
        <f>P16*O15</f>
        <v>0</v>
      </c>
      <c r="R15" s="227"/>
      <c r="S15" s="227"/>
      <c r="T15" s="227"/>
      <c r="U15" s="227"/>
      <c r="V15" s="227"/>
      <c r="W15" s="227"/>
      <c r="X15" s="230"/>
    </row>
    <row r="16" spans="1:24">
      <c r="A16" s="224"/>
      <c r="B16" s="225"/>
      <c r="C16" s="210"/>
      <c r="D16" s="255"/>
      <c r="E16" s="256"/>
      <c r="F16" s="257"/>
      <c r="G16" s="223"/>
      <c r="H16" s="223"/>
      <c r="I16" s="223"/>
      <c r="J16" s="223"/>
      <c r="K16" s="223"/>
      <c r="L16" s="223"/>
      <c r="M16" s="223"/>
      <c r="N16" s="223"/>
      <c r="O16" s="235"/>
      <c r="P16" s="104">
        <v>15</v>
      </c>
      <c r="Q16" s="237"/>
      <c r="R16" s="228"/>
      <c r="S16" s="228"/>
      <c r="T16" s="228"/>
      <c r="U16" s="228"/>
      <c r="V16" s="228"/>
      <c r="W16" s="228"/>
      <c r="X16" s="231"/>
    </row>
    <row r="17" spans="1:24" ht="15" customHeight="1">
      <c r="A17" s="208" t="s">
        <v>99</v>
      </c>
      <c r="B17" s="209"/>
      <c r="C17" s="210">
        <v>2</v>
      </c>
      <c r="D17" s="249" t="s">
        <v>123</v>
      </c>
      <c r="E17" s="250"/>
      <c r="F17" s="251"/>
      <c r="G17" s="220" t="s">
        <v>49</v>
      </c>
      <c r="H17" s="220"/>
      <c r="I17" s="220"/>
      <c r="J17" s="220"/>
      <c r="K17" s="220"/>
      <c r="L17" s="220"/>
      <c r="M17" s="220"/>
      <c r="N17" s="220"/>
      <c r="O17" s="232">
        <f>SUM(H17:N18)</f>
        <v>0</v>
      </c>
      <c r="P17" s="105" t="s">
        <v>110</v>
      </c>
      <c r="Q17" s="238">
        <f>P18*O17</f>
        <v>0</v>
      </c>
      <c r="R17" s="226">
        <v>0</v>
      </c>
      <c r="S17" s="226">
        <v>0</v>
      </c>
      <c r="T17" s="226"/>
      <c r="U17" s="226"/>
      <c r="V17" s="226"/>
      <c r="W17" s="226">
        <f>S17+R17</f>
        <v>0</v>
      </c>
      <c r="X17" s="229">
        <f>Q19-W17</f>
        <v>0</v>
      </c>
    </row>
    <row r="18" spans="1:24">
      <c r="A18" s="221" t="s">
        <v>102</v>
      </c>
      <c r="B18" s="222"/>
      <c r="C18" s="210"/>
      <c r="D18" s="252"/>
      <c r="E18" s="253"/>
      <c r="F18" s="254"/>
      <c r="G18" s="220"/>
      <c r="H18" s="220"/>
      <c r="I18" s="220"/>
      <c r="J18" s="220"/>
      <c r="K18" s="220"/>
      <c r="L18" s="220"/>
      <c r="M18" s="220"/>
      <c r="N18" s="220"/>
      <c r="O18" s="233"/>
      <c r="P18" s="103">
        <f>P20/2+P20</f>
        <v>22.5</v>
      </c>
      <c r="Q18" s="239"/>
      <c r="R18" s="227"/>
      <c r="S18" s="227"/>
      <c r="T18" s="227"/>
      <c r="U18" s="227"/>
      <c r="V18" s="227"/>
      <c r="W18" s="227"/>
      <c r="X18" s="230"/>
    </row>
    <row r="19" spans="1:24">
      <c r="A19" s="261"/>
      <c r="B19" s="262"/>
      <c r="C19" s="210"/>
      <c r="D19" s="252"/>
      <c r="E19" s="253"/>
      <c r="F19" s="254"/>
      <c r="G19" s="223" t="s">
        <v>40</v>
      </c>
      <c r="H19" s="223">
        <v>0</v>
      </c>
      <c r="I19" s="223">
        <v>0</v>
      </c>
      <c r="J19" s="223">
        <v>0</v>
      </c>
      <c r="K19" s="223">
        <v>0</v>
      </c>
      <c r="L19" s="223">
        <v>0</v>
      </c>
      <c r="M19" s="223">
        <v>0</v>
      </c>
      <c r="N19" s="223">
        <v>0</v>
      </c>
      <c r="O19" s="223">
        <f>SUM(H19:N20)</f>
        <v>0</v>
      </c>
      <c r="P19" s="106" t="s">
        <v>110</v>
      </c>
      <c r="Q19" s="236">
        <f>P20*O19</f>
        <v>0</v>
      </c>
      <c r="R19" s="227"/>
      <c r="S19" s="227"/>
      <c r="T19" s="227"/>
      <c r="U19" s="227"/>
      <c r="V19" s="227"/>
      <c r="W19" s="227"/>
      <c r="X19" s="230"/>
    </row>
    <row r="20" spans="1:24">
      <c r="A20" s="224"/>
      <c r="B20" s="225"/>
      <c r="C20" s="210"/>
      <c r="D20" s="255"/>
      <c r="E20" s="256"/>
      <c r="F20" s="257"/>
      <c r="G20" s="223"/>
      <c r="H20" s="223"/>
      <c r="I20" s="223"/>
      <c r="J20" s="223"/>
      <c r="K20" s="223"/>
      <c r="L20" s="223"/>
      <c r="M20" s="223"/>
      <c r="N20" s="223"/>
      <c r="O20" s="223"/>
      <c r="P20" s="104">
        <v>15</v>
      </c>
      <c r="Q20" s="237"/>
      <c r="R20" s="228"/>
      <c r="S20" s="228"/>
      <c r="T20" s="228"/>
      <c r="U20" s="228"/>
      <c r="V20" s="228"/>
      <c r="W20" s="228"/>
      <c r="X20" s="231"/>
    </row>
    <row r="21" spans="1:24" ht="14" customHeight="1">
      <c r="A21" s="208"/>
      <c r="B21" s="209"/>
      <c r="C21" s="210"/>
      <c r="D21" s="211"/>
      <c r="E21" s="212"/>
      <c r="F21" s="213"/>
      <c r="G21" s="220"/>
      <c r="H21" s="220"/>
      <c r="I21" s="220"/>
      <c r="J21" s="220"/>
      <c r="K21" s="220"/>
      <c r="L21" s="220"/>
      <c r="M21" s="220"/>
      <c r="N21" s="220"/>
      <c r="O21" s="232"/>
      <c r="P21" s="105"/>
      <c r="Q21" s="238"/>
      <c r="R21" s="226"/>
      <c r="S21" s="226"/>
      <c r="T21" s="226"/>
      <c r="U21" s="226"/>
      <c r="V21" s="226"/>
      <c r="W21" s="226"/>
      <c r="X21" s="229"/>
    </row>
    <row r="22" spans="1:24">
      <c r="A22" s="221"/>
      <c r="B22" s="222"/>
      <c r="C22" s="210"/>
      <c r="D22" s="214"/>
      <c r="E22" s="215"/>
      <c r="F22" s="216"/>
      <c r="G22" s="220"/>
      <c r="H22" s="220"/>
      <c r="I22" s="220"/>
      <c r="J22" s="220"/>
      <c r="K22" s="220"/>
      <c r="L22" s="220"/>
      <c r="M22" s="220"/>
      <c r="N22" s="220"/>
      <c r="O22" s="233"/>
      <c r="P22" s="103"/>
      <c r="Q22" s="239"/>
      <c r="R22" s="227"/>
      <c r="S22" s="227"/>
      <c r="T22" s="227"/>
      <c r="U22" s="227"/>
      <c r="V22" s="227"/>
      <c r="W22" s="227"/>
      <c r="X22" s="230"/>
    </row>
    <row r="23" spans="1:24">
      <c r="A23" s="221"/>
      <c r="B23" s="222"/>
      <c r="C23" s="210"/>
      <c r="D23" s="214"/>
      <c r="E23" s="215"/>
      <c r="F23" s="216"/>
      <c r="G23" s="223"/>
      <c r="H23" s="223"/>
      <c r="I23" s="223"/>
      <c r="J23" s="223"/>
      <c r="K23" s="223"/>
      <c r="L23" s="223"/>
      <c r="M23" s="223"/>
      <c r="N23" s="223"/>
      <c r="O23" s="223"/>
      <c r="P23" s="106"/>
      <c r="Q23" s="236"/>
      <c r="R23" s="227"/>
      <c r="S23" s="227"/>
      <c r="T23" s="227"/>
      <c r="U23" s="227"/>
      <c r="V23" s="227"/>
      <c r="W23" s="227"/>
      <c r="X23" s="230"/>
    </row>
    <row r="24" spans="1:24">
      <c r="A24" s="224"/>
      <c r="B24" s="225"/>
      <c r="C24" s="210"/>
      <c r="D24" s="217"/>
      <c r="E24" s="218"/>
      <c r="F24" s="219"/>
      <c r="G24" s="223"/>
      <c r="H24" s="223"/>
      <c r="I24" s="223"/>
      <c r="J24" s="223"/>
      <c r="K24" s="223"/>
      <c r="L24" s="223"/>
      <c r="M24" s="223"/>
      <c r="N24" s="223"/>
      <c r="O24" s="223"/>
      <c r="P24" s="104"/>
      <c r="Q24" s="237"/>
      <c r="R24" s="228"/>
      <c r="S24" s="228"/>
      <c r="T24" s="228"/>
      <c r="U24" s="228"/>
      <c r="V24" s="228"/>
      <c r="W24" s="228"/>
      <c r="X24" s="231"/>
    </row>
    <row r="25" spans="1:24" ht="14" customHeight="1">
      <c r="A25" s="208"/>
      <c r="B25" s="209"/>
      <c r="C25" s="210"/>
      <c r="D25" s="211"/>
      <c r="E25" s="212"/>
      <c r="F25" s="213"/>
      <c r="G25" s="220"/>
      <c r="H25" s="220"/>
      <c r="I25" s="220"/>
      <c r="J25" s="220"/>
      <c r="K25" s="220"/>
      <c r="L25" s="220"/>
      <c r="M25" s="220"/>
      <c r="N25" s="220"/>
      <c r="O25" s="232"/>
      <c r="P25" s="105"/>
      <c r="Q25" s="248"/>
      <c r="R25" s="226"/>
      <c r="S25" s="226"/>
      <c r="T25" s="226"/>
      <c r="U25" s="226"/>
      <c r="V25" s="226"/>
      <c r="W25" s="226"/>
      <c r="X25" s="229"/>
    </row>
    <row r="26" spans="1:24">
      <c r="A26" s="221"/>
      <c r="B26" s="222"/>
      <c r="C26" s="210"/>
      <c r="D26" s="214"/>
      <c r="E26" s="215"/>
      <c r="F26" s="216"/>
      <c r="G26" s="220"/>
      <c r="H26" s="220"/>
      <c r="I26" s="220"/>
      <c r="J26" s="220"/>
      <c r="K26" s="220"/>
      <c r="L26" s="220"/>
      <c r="M26" s="220"/>
      <c r="N26" s="220"/>
      <c r="O26" s="233"/>
      <c r="P26" s="103"/>
      <c r="Q26" s="248"/>
      <c r="R26" s="227"/>
      <c r="S26" s="227"/>
      <c r="T26" s="227"/>
      <c r="U26" s="227"/>
      <c r="V26" s="227"/>
      <c r="W26" s="227"/>
      <c r="X26" s="230"/>
    </row>
    <row r="27" spans="1:24">
      <c r="A27" s="221"/>
      <c r="B27" s="222"/>
      <c r="C27" s="210"/>
      <c r="D27" s="214"/>
      <c r="E27" s="215"/>
      <c r="F27" s="216"/>
      <c r="G27" s="223"/>
      <c r="H27" s="223"/>
      <c r="I27" s="223"/>
      <c r="J27" s="223"/>
      <c r="K27" s="223"/>
      <c r="L27" s="223"/>
      <c r="M27" s="223"/>
      <c r="N27" s="223"/>
      <c r="O27" s="223"/>
      <c r="P27" s="106"/>
      <c r="Q27" s="236"/>
      <c r="R27" s="227"/>
      <c r="S27" s="227"/>
      <c r="T27" s="227"/>
      <c r="U27" s="227"/>
      <c r="V27" s="227"/>
      <c r="W27" s="227"/>
      <c r="X27" s="230"/>
    </row>
    <row r="28" spans="1:24">
      <c r="A28" s="224"/>
      <c r="B28" s="225"/>
      <c r="C28" s="210"/>
      <c r="D28" s="217"/>
      <c r="E28" s="218"/>
      <c r="F28" s="219"/>
      <c r="G28" s="223"/>
      <c r="H28" s="223"/>
      <c r="I28" s="223"/>
      <c r="J28" s="223"/>
      <c r="K28" s="223"/>
      <c r="L28" s="223"/>
      <c r="M28" s="223"/>
      <c r="N28" s="223"/>
      <c r="O28" s="223"/>
      <c r="P28" s="104"/>
      <c r="Q28" s="237"/>
      <c r="R28" s="228"/>
      <c r="S28" s="228"/>
      <c r="T28" s="228"/>
      <c r="U28" s="228"/>
      <c r="V28" s="228"/>
      <c r="W28" s="228"/>
      <c r="X28" s="231"/>
    </row>
    <row r="29" spans="1:24" ht="14" customHeight="1">
      <c r="A29" s="208"/>
      <c r="B29" s="209"/>
      <c r="C29" s="210"/>
      <c r="D29" s="211"/>
      <c r="E29" s="212"/>
      <c r="F29" s="213"/>
      <c r="G29" s="220"/>
      <c r="H29" s="220"/>
      <c r="I29" s="220"/>
      <c r="J29" s="220"/>
      <c r="K29" s="220"/>
      <c r="L29" s="220"/>
      <c r="M29" s="220"/>
      <c r="N29" s="220"/>
      <c r="O29" s="232"/>
      <c r="P29" s="105"/>
      <c r="Q29" s="248"/>
      <c r="R29" s="226"/>
      <c r="S29" s="226"/>
      <c r="T29" s="226"/>
      <c r="U29" s="226"/>
      <c r="V29" s="226"/>
      <c r="W29" s="226"/>
      <c r="X29" s="229"/>
    </row>
    <row r="30" spans="1:24">
      <c r="A30" s="221"/>
      <c r="B30" s="222"/>
      <c r="C30" s="210"/>
      <c r="D30" s="214"/>
      <c r="E30" s="215"/>
      <c r="F30" s="216"/>
      <c r="G30" s="220"/>
      <c r="H30" s="220"/>
      <c r="I30" s="220"/>
      <c r="J30" s="220"/>
      <c r="K30" s="220"/>
      <c r="L30" s="220"/>
      <c r="M30" s="220"/>
      <c r="N30" s="220"/>
      <c r="O30" s="233"/>
      <c r="P30" s="103"/>
      <c r="Q30" s="248"/>
      <c r="R30" s="227"/>
      <c r="S30" s="227"/>
      <c r="T30" s="227"/>
      <c r="U30" s="227"/>
      <c r="V30" s="227"/>
      <c r="W30" s="227"/>
      <c r="X30" s="230"/>
    </row>
    <row r="31" spans="1:24">
      <c r="A31" s="221"/>
      <c r="B31" s="222"/>
      <c r="C31" s="210"/>
      <c r="D31" s="214"/>
      <c r="E31" s="215"/>
      <c r="F31" s="216"/>
      <c r="G31" s="223"/>
      <c r="H31" s="223"/>
      <c r="I31" s="234"/>
      <c r="J31" s="234"/>
      <c r="K31" s="234"/>
      <c r="L31" s="234"/>
      <c r="M31" s="234"/>
      <c r="N31" s="234"/>
      <c r="O31" s="223"/>
      <c r="P31" s="106"/>
      <c r="Q31" s="236"/>
      <c r="R31" s="227"/>
      <c r="S31" s="227"/>
      <c r="T31" s="227"/>
      <c r="U31" s="227"/>
      <c r="V31" s="227"/>
      <c r="W31" s="227"/>
      <c r="X31" s="230"/>
    </row>
    <row r="32" spans="1:24">
      <c r="A32" s="224"/>
      <c r="B32" s="225"/>
      <c r="C32" s="210"/>
      <c r="D32" s="217"/>
      <c r="E32" s="218"/>
      <c r="F32" s="219"/>
      <c r="G32" s="223"/>
      <c r="H32" s="223"/>
      <c r="I32" s="235"/>
      <c r="J32" s="235"/>
      <c r="K32" s="235"/>
      <c r="L32" s="235"/>
      <c r="M32" s="235"/>
      <c r="N32" s="235"/>
      <c r="O32" s="223"/>
      <c r="P32" s="104"/>
      <c r="Q32" s="237"/>
      <c r="R32" s="228"/>
      <c r="S32" s="228"/>
      <c r="T32" s="228"/>
      <c r="U32" s="228"/>
      <c r="V32" s="228"/>
      <c r="W32" s="228"/>
      <c r="X32" s="231"/>
    </row>
    <row r="33" spans="1:24" ht="14" customHeight="1">
      <c r="A33" s="208"/>
      <c r="B33" s="209"/>
      <c r="C33" s="210"/>
      <c r="D33" s="211"/>
      <c r="E33" s="212"/>
      <c r="F33" s="213"/>
      <c r="G33" s="220"/>
      <c r="H33" s="220"/>
      <c r="I33" s="220"/>
      <c r="J33" s="220"/>
      <c r="K33" s="220"/>
      <c r="L33" s="220"/>
      <c r="M33" s="220"/>
      <c r="N33" s="220"/>
      <c r="O33" s="232"/>
      <c r="P33" s="105"/>
      <c r="Q33" s="248"/>
      <c r="R33" s="229"/>
      <c r="S33" s="226"/>
      <c r="T33" s="226"/>
      <c r="U33" s="226"/>
      <c r="V33" s="226"/>
      <c r="W33" s="226"/>
      <c r="X33" s="229"/>
    </row>
    <row r="34" spans="1:24">
      <c r="A34" s="221"/>
      <c r="B34" s="222"/>
      <c r="C34" s="210"/>
      <c r="D34" s="214"/>
      <c r="E34" s="215"/>
      <c r="F34" s="216"/>
      <c r="G34" s="220"/>
      <c r="H34" s="220"/>
      <c r="I34" s="220"/>
      <c r="J34" s="220"/>
      <c r="K34" s="220"/>
      <c r="L34" s="220"/>
      <c r="M34" s="220"/>
      <c r="N34" s="220"/>
      <c r="O34" s="233"/>
      <c r="P34" s="103"/>
      <c r="Q34" s="248"/>
      <c r="R34" s="230"/>
      <c r="S34" s="227"/>
      <c r="T34" s="227"/>
      <c r="U34" s="227"/>
      <c r="V34" s="227"/>
      <c r="W34" s="227"/>
      <c r="X34" s="230"/>
    </row>
    <row r="35" spans="1:24">
      <c r="A35" s="221"/>
      <c r="B35" s="222"/>
      <c r="C35" s="210"/>
      <c r="D35" s="214"/>
      <c r="E35" s="215"/>
      <c r="F35" s="216"/>
      <c r="G35" s="223"/>
      <c r="H35" s="223"/>
      <c r="I35" s="234"/>
      <c r="J35" s="234"/>
      <c r="K35" s="234"/>
      <c r="L35" s="234"/>
      <c r="M35" s="234"/>
      <c r="N35" s="234"/>
      <c r="O35" s="223"/>
      <c r="P35" s="106"/>
      <c r="Q35" s="236"/>
      <c r="R35" s="230"/>
      <c r="S35" s="227"/>
      <c r="T35" s="227"/>
      <c r="U35" s="227"/>
      <c r="V35" s="227"/>
      <c r="W35" s="227"/>
      <c r="X35" s="230"/>
    </row>
    <row r="36" spans="1:24">
      <c r="A36" s="224"/>
      <c r="B36" s="225"/>
      <c r="C36" s="210"/>
      <c r="D36" s="217"/>
      <c r="E36" s="218"/>
      <c r="F36" s="219"/>
      <c r="G36" s="223"/>
      <c r="H36" s="223"/>
      <c r="I36" s="235"/>
      <c r="J36" s="235"/>
      <c r="K36" s="235"/>
      <c r="L36" s="235"/>
      <c r="M36" s="235"/>
      <c r="N36" s="235"/>
      <c r="O36" s="223"/>
      <c r="P36" s="104"/>
      <c r="Q36" s="237"/>
      <c r="R36" s="231"/>
      <c r="S36" s="228"/>
      <c r="T36" s="228"/>
      <c r="U36" s="228"/>
      <c r="V36" s="228"/>
      <c r="W36" s="228"/>
      <c r="X36" s="231"/>
    </row>
    <row r="37" spans="1:24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</row>
    <row r="38" spans="1:24" ht="15.75" customHeight="1">
      <c r="A38" s="18" t="s">
        <v>58</v>
      </c>
      <c r="B38" s="101">
        <f>N10</f>
        <v>42470</v>
      </c>
      <c r="C38" s="20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 t="s">
        <v>82</v>
      </c>
      <c r="R38" s="18"/>
      <c r="S38" s="18"/>
      <c r="T38" s="18"/>
      <c r="U38" s="3"/>
      <c r="V38" s="3"/>
      <c r="W38" s="3"/>
    </row>
    <row r="39" spans="1:24" ht="18.75" customHeight="1">
      <c r="A39" s="29" t="s">
        <v>59</v>
      </c>
      <c r="B39" s="35" t="s">
        <v>83</v>
      </c>
      <c r="C39" s="31"/>
      <c r="D39" s="31"/>
      <c r="E39" s="31"/>
      <c r="F39" s="31"/>
      <c r="G39" s="31"/>
      <c r="H39" s="96" t="s">
        <v>75</v>
      </c>
      <c r="I39" s="96"/>
      <c r="J39" s="96"/>
      <c r="K39" s="27"/>
      <c r="L39" s="27"/>
      <c r="M39" s="25"/>
      <c r="N39" s="25"/>
      <c r="O39" s="25"/>
      <c r="P39" s="18"/>
      <c r="Q39" s="13" t="s">
        <v>90</v>
      </c>
      <c r="S39" s="18"/>
      <c r="T39" s="18"/>
      <c r="U39" s="3"/>
      <c r="V39" s="3"/>
      <c r="W39" s="3"/>
    </row>
    <row r="40" spans="1:24" ht="14.25" customHeight="1">
      <c r="A40" s="29"/>
      <c r="B40" s="21" t="s">
        <v>62</v>
      </c>
      <c r="C40" s="21"/>
      <c r="D40" s="21"/>
      <c r="E40" s="21"/>
      <c r="F40" s="31"/>
      <c r="G40" s="58"/>
      <c r="H40" s="21" t="s">
        <v>63</v>
      </c>
      <c r="I40" s="58"/>
      <c r="J40" s="21"/>
      <c r="K40" s="21"/>
      <c r="L40" s="24"/>
      <c r="M40" s="24"/>
      <c r="N40" s="24"/>
      <c r="O40" s="25"/>
      <c r="P40" s="17" t="s">
        <v>10</v>
      </c>
      <c r="R40" s="18"/>
      <c r="S40" s="18"/>
      <c r="T40" s="3"/>
      <c r="U40" s="3"/>
      <c r="V40" s="3"/>
    </row>
    <row r="41" spans="1:24" ht="12" customHeight="1">
      <c r="A41" s="17"/>
      <c r="F41" s="23"/>
      <c r="L41" s="95"/>
      <c r="M41" s="18"/>
      <c r="N41" s="18"/>
      <c r="O41" s="18"/>
      <c r="P41" s="18" t="s">
        <v>11</v>
      </c>
      <c r="R41" s="18"/>
      <c r="S41" s="18"/>
      <c r="T41" s="3"/>
      <c r="U41" s="3"/>
      <c r="V41" s="3"/>
    </row>
    <row r="42" spans="1:24" ht="12" customHeight="1">
      <c r="A42" s="17" t="s">
        <v>60</v>
      </c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 t="s">
        <v>12</v>
      </c>
      <c r="R42" s="18"/>
      <c r="S42" s="18"/>
      <c r="T42" s="3"/>
      <c r="U42" s="3"/>
      <c r="V42" s="3"/>
    </row>
    <row r="43" spans="1:24" ht="12" customHeight="1">
      <c r="A43" s="18"/>
      <c r="B43" s="18" t="s">
        <v>61</v>
      </c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25" t="s">
        <v>13</v>
      </c>
      <c r="R43" s="25"/>
      <c r="S43" s="25"/>
      <c r="T43" s="34"/>
      <c r="U43" s="34"/>
      <c r="V43" s="34"/>
    </row>
    <row r="44" spans="1:24" s="19" customFormat="1" ht="16.5" customHeight="1">
      <c r="A44" s="29"/>
      <c r="B44" s="25"/>
      <c r="C44" s="31" t="str">
        <f>C50</f>
        <v>Evankoff LLC</v>
      </c>
      <c r="D44" s="36"/>
      <c r="E44" s="36"/>
      <c r="F44" s="25"/>
      <c r="G44" s="25"/>
      <c r="H44" s="25"/>
      <c r="I44" s="25"/>
      <c r="J44" s="25"/>
      <c r="K44" s="25"/>
      <c r="L44" s="25"/>
      <c r="M44" s="25"/>
      <c r="N44" s="25"/>
      <c r="O44" s="25" t="s">
        <v>64</v>
      </c>
      <c r="P44" s="25"/>
    </row>
    <row r="45" spans="1:24">
      <c r="A45" s="24"/>
      <c r="B45" s="24"/>
      <c r="C45" s="24" t="s">
        <v>65</v>
      </c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5"/>
      <c r="P45" s="25"/>
      <c r="Q45" s="36" t="s">
        <v>16</v>
      </c>
      <c r="S45" s="19"/>
      <c r="T45" s="19"/>
      <c r="U45" s="19"/>
    </row>
    <row r="46" spans="1:24" s="19" customFormat="1" ht="15" thickBot="1">
      <c r="A46" s="31" t="s">
        <v>105</v>
      </c>
      <c r="B46" s="31"/>
      <c r="C46" s="31"/>
      <c r="D46" s="31"/>
      <c r="E46" s="31"/>
      <c r="F46" s="31"/>
      <c r="G46" s="25" t="s">
        <v>67</v>
      </c>
      <c r="H46" s="25"/>
      <c r="I46" s="25"/>
      <c r="J46" s="25"/>
      <c r="K46" s="25"/>
      <c r="L46" s="25"/>
      <c r="M46" s="25"/>
      <c r="N46" s="25"/>
      <c r="O46" s="25"/>
      <c r="P46" s="25"/>
      <c r="Q46" s="25"/>
    </row>
    <row r="47" spans="1:24">
      <c r="A47" s="24"/>
      <c r="B47" s="24" t="s">
        <v>66</v>
      </c>
      <c r="C47" s="24"/>
      <c r="D47" s="24"/>
      <c r="E47" s="24"/>
      <c r="F47" s="24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94"/>
      <c r="R47" s="70" t="s">
        <v>14</v>
      </c>
      <c r="S47" s="71"/>
      <c r="T47" s="72"/>
      <c r="U47" s="37"/>
      <c r="V47" s="73" t="s">
        <v>15</v>
      </c>
      <c r="W47" s="74" t="s">
        <v>93</v>
      </c>
      <c r="X47" s="75"/>
    </row>
    <row r="48" spans="1:24">
      <c r="A48" s="99">
        <f>H10</f>
        <v>42464</v>
      </c>
      <c r="B48" s="26" t="s">
        <v>68</v>
      </c>
      <c r="C48" s="244">
        <f>F7</f>
        <v>42470</v>
      </c>
      <c r="D48" s="244"/>
      <c r="E48" s="98"/>
      <c r="F48" s="33" t="s">
        <v>73</v>
      </c>
      <c r="J48" s="32"/>
      <c r="L48" s="25"/>
      <c r="M48" s="25"/>
      <c r="N48" s="25"/>
      <c r="O48" s="25"/>
      <c r="P48" s="25"/>
      <c r="Q48" s="76"/>
      <c r="R48" s="77"/>
      <c r="S48" s="77"/>
      <c r="T48" s="78"/>
      <c r="U48" s="79"/>
      <c r="V48" s="80"/>
      <c r="W48" s="80"/>
      <c r="X48" s="81"/>
    </row>
    <row r="49" spans="1:24" ht="14.25" customHeight="1" thickBot="1">
      <c r="A49" s="24" t="s">
        <v>74</v>
      </c>
      <c r="B49" s="25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5"/>
      <c r="Q49" s="82"/>
      <c r="R49" s="83"/>
      <c r="S49" s="83"/>
      <c r="T49" s="84"/>
      <c r="U49" s="85"/>
      <c r="V49" s="86"/>
      <c r="W49" s="86"/>
      <c r="X49" s="87"/>
    </row>
    <row r="50" spans="1:24" ht="18.75" customHeight="1">
      <c r="A50" s="25"/>
      <c r="B50" s="25"/>
      <c r="C50" s="31" t="str">
        <f>A5</f>
        <v>Evankoff LLC</v>
      </c>
      <c r="D50" s="25"/>
      <c r="E50" s="25"/>
      <c r="F50" s="25"/>
      <c r="G50" s="25"/>
      <c r="H50" s="25"/>
      <c r="I50" s="25"/>
      <c r="J50" s="25"/>
      <c r="K50" s="25"/>
      <c r="L50" s="25"/>
      <c r="M50" s="25" t="s">
        <v>69</v>
      </c>
      <c r="N50" s="25"/>
      <c r="O50" s="25"/>
      <c r="P50" s="25"/>
      <c r="Q50" s="107" t="s">
        <v>128</v>
      </c>
      <c r="R50" s="108"/>
      <c r="S50" s="240" t="s">
        <v>97</v>
      </c>
      <c r="T50" s="240"/>
      <c r="U50" s="240"/>
      <c r="V50" s="240"/>
      <c r="W50" s="240"/>
      <c r="X50" s="241"/>
    </row>
    <row r="51" spans="1:24">
      <c r="A51" s="24"/>
      <c r="B51" s="24"/>
      <c r="C51" s="24" t="s">
        <v>65</v>
      </c>
      <c r="D51" s="24"/>
      <c r="E51" s="24"/>
      <c r="F51" s="24"/>
      <c r="G51" s="24"/>
      <c r="H51" s="24"/>
      <c r="I51" s="24"/>
      <c r="J51" s="24"/>
      <c r="K51" s="24"/>
      <c r="L51" s="24"/>
      <c r="M51" s="25"/>
      <c r="N51" s="25"/>
      <c r="O51" s="25"/>
      <c r="P51" s="25"/>
      <c r="Q51" s="109" t="s">
        <v>127</v>
      </c>
      <c r="R51" s="110"/>
      <c r="S51" s="242"/>
      <c r="T51" s="242"/>
      <c r="U51" s="242"/>
      <c r="V51" s="242"/>
      <c r="W51" s="242"/>
      <c r="X51" s="243"/>
    </row>
    <row r="52" spans="1:24" ht="12.75" customHeight="1" thickBot="1">
      <c r="A52" s="25" t="s">
        <v>70</v>
      </c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39"/>
      <c r="R52" s="88"/>
      <c r="S52" s="88"/>
      <c r="T52" s="89"/>
      <c r="U52" s="41"/>
      <c r="V52" s="40"/>
      <c r="W52" s="40"/>
      <c r="X52" s="42"/>
    </row>
    <row r="53" spans="1:24" ht="12.75" customHeight="1">
      <c r="A53" s="25" t="s">
        <v>71</v>
      </c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107" t="s">
        <v>128</v>
      </c>
      <c r="R53" s="108"/>
      <c r="S53" s="240" t="s">
        <v>95</v>
      </c>
      <c r="T53" s="240"/>
      <c r="U53" s="240"/>
      <c r="V53" s="240"/>
      <c r="W53" s="240"/>
      <c r="X53" s="241"/>
    </row>
    <row r="54" spans="1:24" ht="12.75" customHeight="1">
      <c r="A54" s="25" t="s">
        <v>72</v>
      </c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109" t="s">
        <v>127</v>
      </c>
      <c r="R54" s="110"/>
      <c r="S54" s="242"/>
      <c r="T54" s="242"/>
      <c r="U54" s="242"/>
      <c r="V54" s="242"/>
      <c r="W54" s="242"/>
      <c r="X54" s="243"/>
    </row>
    <row r="55" spans="1:24" ht="12.75" customHeight="1" thickBot="1">
      <c r="A55" s="25" t="s">
        <v>0</v>
      </c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53"/>
      <c r="R55" s="54"/>
      <c r="S55" s="54"/>
      <c r="T55" s="54"/>
      <c r="U55" s="55"/>
      <c r="V55" s="10"/>
      <c r="W55" s="10"/>
      <c r="X55" s="56"/>
    </row>
    <row r="56" spans="1:24" ht="18" customHeight="1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48"/>
      <c r="R56" s="49"/>
      <c r="S56" s="49"/>
      <c r="T56" s="49"/>
      <c r="U56" s="50"/>
      <c r="V56" s="51"/>
      <c r="W56" s="51"/>
      <c r="X56" s="52"/>
    </row>
    <row r="57" spans="1:24" ht="18" customHeight="1" thickBot="1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5"/>
      <c r="Q57" s="53"/>
      <c r="R57" s="54"/>
      <c r="S57" s="54"/>
      <c r="T57" s="54"/>
      <c r="U57" s="55"/>
      <c r="V57" s="10"/>
      <c r="W57" s="10"/>
      <c r="X57" s="56"/>
    </row>
    <row r="58" spans="1:24" ht="18" customHeight="1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5"/>
      <c r="Q58" s="48"/>
      <c r="R58" s="49"/>
      <c r="S58" s="49"/>
      <c r="T58" s="49"/>
      <c r="U58" s="50"/>
      <c r="V58" s="51"/>
      <c r="W58" s="51"/>
      <c r="X58" s="52"/>
    </row>
    <row r="59" spans="1:24" ht="21" customHeight="1" thickBot="1">
      <c r="A59" s="24"/>
      <c r="B59" s="28" t="s">
        <v>2</v>
      </c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5"/>
      <c r="Q59" s="53"/>
      <c r="R59" s="54"/>
      <c r="S59" s="54"/>
      <c r="T59" s="54"/>
      <c r="U59" s="55"/>
      <c r="V59" s="10"/>
      <c r="W59" s="10"/>
      <c r="X59" s="56"/>
    </row>
    <row r="60" spans="1:24" ht="12" customHeight="1">
      <c r="A60" s="30" t="s">
        <v>3</v>
      </c>
      <c r="B60" s="30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5"/>
      <c r="Q60" s="48" t="s">
        <v>17</v>
      </c>
      <c r="R60" s="49"/>
      <c r="S60" s="49"/>
      <c r="T60" s="49"/>
      <c r="U60" s="49"/>
      <c r="V60" s="51"/>
      <c r="W60" s="51"/>
      <c r="X60" s="52"/>
    </row>
    <row r="61" spans="1:24" ht="12" customHeight="1">
      <c r="A61" s="27" t="s">
        <v>4</v>
      </c>
      <c r="B61" s="30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5"/>
      <c r="Q61" s="111" t="s">
        <v>96</v>
      </c>
      <c r="R61" s="44"/>
      <c r="S61" s="44"/>
      <c r="T61" s="44"/>
      <c r="U61" s="44"/>
      <c r="V61" s="46"/>
      <c r="W61" s="46"/>
      <c r="X61" s="47"/>
    </row>
    <row r="62" spans="1:24" ht="12" customHeight="1">
      <c r="A62" s="27" t="s">
        <v>5</v>
      </c>
      <c r="B62" s="30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5"/>
      <c r="Q62" s="121"/>
      <c r="R62" s="122"/>
      <c r="S62" s="44"/>
      <c r="T62" s="44"/>
      <c r="U62" s="44"/>
      <c r="V62" s="46"/>
      <c r="W62" s="46"/>
      <c r="X62" s="47"/>
    </row>
    <row r="63" spans="1:24" ht="12" customHeight="1">
      <c r="A63" s="27"/>
      <c r="B63" s="30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5"/>
      <c r="Q63" s="121"/>
      <c r="R63" s="122"/>
      <c r="S63" s="44"/>
      <c r="T63" s="44"/>
      <c r="U63" s="44"/>
      <c r="V63" s="46"/>
      <c r="W63" s="46"/>
      <c r="X63" s="47"/>
    </row>
    <row r="64" spans="1:24" ht="12" customHeight="1">
      <c r="A64" s="29" t="s">
        <v>7</v>
      </c>
      <c r="B64" s="29" t="s">
        <v>6</v>
      </c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121"/>
      <c r="R64" s="122"/>
      <c r="S64" s="44"/>
      <c r="T64" s="44"/>
      <c r="U64" s="44"/>
      <c r="V64" s="46"/>
      <c r="W64" s="46"/>
      <c r="X64" s="47"/>
    </row>
    <row r="65" spans="1:24" ht="12" customHeight="1">
      <c r="A65" s="25" t="s">
        <v>8</v>
      </c>
      <c r="B65" s="29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43"/>
      <c r="R65" s="44"/>
      <c r="S65" s="44"/>
      <c r="T65" s="44"/>
      <c r="U65" s="44"/>
      <c r="V65" s="46"/>
      <c r="W65" s="46"/>
      <c r="X65" s="47"/>
    </row>
    <row r="66" spans="1:24" ht="12" customHeight="1">
      <c r="A66" s="25" t="s">
        <v>9</v>
      </c>
      <c r="B66" s="29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43"/>
      <c r="R66" s="44"/>
      <c r="S66" s="44"/>
      <c r="T66" s="44"/>
      <c r="U66" s="44"/>
      <c r="V66" s="46"/>
      <c r="W66" s="46"/>
      <c r="X66" s="47"/>
    </row>
    <row r="67" spans="1:24" ht="12" customHeight="1" thickBot="1">
      <c r="A67" s="25"/>
      <c r="B67" s="29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53"/>
      <c r="R67" s="54"/>
      <c r="S67" s="54"/>
      <c r="T67" s="54"/>
      <c r="U67" s="54"/>
      <c r="V67" s="10"/>
      <c r="W67" s="10"/>
      <c r="X67" s="56"/>
    </row>
    <row r="68" spans="1:24" ht="12" customHeight="1">
      <c r="A68" s="25"/>
      <c r="B68" s="25" t="s">
        <v>57</v>
      </c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</row>
    <row r="69" spans="1:24" ht="12" customHeight="1">
      <c r="A69" s="25"/>
      <c r="B69" s="25" t="s">
        <v>1</v>
      </c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12" t="s">
        <v>50</v>
      </c>
      <c r="R69" s="22"/>
      <c r="S69" s="22"/>
      <c r="T69" s="67"/>
      <c r="U69" s="57" t="s">
        <v>51</v>
      </c>
      <c r="V69" s="58"/>
      <c r="W69" s="58"/>
      <c r="X69" s="59"/>
    </row>
    <row r="70" spans="1:24" ht="11.25" customHeight="1">
      <c r="A70" s="25"/>
      <c r="B70" s="25" t="s">
        <v>81</v>
      </c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63"/>
      <c r="T70" s="68"/>
      <c r="U70" s="61"/>
      <c r="V70" s="38"/>
      <c r="W70" s="38"/>
      <c r="X70" s="60"/>
    </row>
    <row r="71" spans="1:24" ht="13.5" customHeight="1">
      <c r="A71" s="25"/>
      <c r="B71" s="97" t="s">
        <v>80</v>
      </c>
      <c r="C71" s="29" t="s">
        <v>76</v>
      </c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93" t="str">
        <f>B39</f>
        <v>Eric Coffie</v>
      </c>
      <c r="R71" s="90"/>
      <c r="S71" s="90" t="str">
        <f>H39</f>
        <v>President</v>
      </c>
      <c r="T71" s="68"/>
      <c r="U71" s="61"/>
      <c r="V71" s="38"/>
      <c r="W71" s="38"/>
      <c r="X71" s="60"/>
    </row>
    <row r="72" spans="1:24" ht="10.5" customHeight="1">
      <c r="A72" s="19"/>
      <c r="B72" s="25"/>
      <c r="C72" s="25" t="s">
        <v>77</v>
      </c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19"/>
      <c r="Q72" s="91"/>
      <c r="R72" s="92"/>
      <c r="S72" s="92"/>
      <c r="T72" s="69"/>
      <c r="U72" s="62"/>
      <c r="V72" s="116"/>
      <c r="W72" s="116"/>
      <c r="X72" s="117"/>
    </row>
    <row r="73" spans="1:24" ht="10.5" customHeight="1">
      <c r="A73" s="19"/>
      <c r="B73" s="19"/>
      <c r="C73" s="25" t="s">
        <v>78</v>
      </c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</row>
    <row r="74" spans="1:24" ht="10.5" customHeight="1">
      <c r="B74" s="19"/>
      <c r="C74" s="25" t="s">
        <v>79</v>
      </c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Q74" s="64" t="s">
        <v>86</v>
      </c>
      <c r="R74" s="58"/>
      <c r="S74" s="58"/>
      <c r="T74" s="58"/>
      <c r="U74" s="58"/>
      <c r="V74" s="58"/>
      <c r="W74" s="58"/>
      <c r="X74" s="59"/>
    </row>
    <row r="75" spans="1:24" ht="10.5" customHeight="1">
      <c r="Q75" s="66" t="s">
        <v>87</v>
      </c>
      <c r="R75" s="38"/>
      <c r="S75" s="38"/>
      <c r="T75" s="38"/>
      <c r="U75" s="38"/>
      <c r="V75" s="38"/>
      <c r="W75" s="38"/>
      <c r="X75" s="60"/>
    </row>
    <row r="76" spans="1:24" ht="10.5" customHeight="1">
      <c r="Q76" s="66" t="s">
        <v>88</v>
      </c>
      <c r="R76" s="38"/>
      <c r="S76" s="38"/>
      <c r="T76" s="38"/>
      <c r="U76" s="38"/>
      <c r="V76" s="38"/>
      <c r="W76" s="38"/>
      <c r="X76" s="60"/>
    </row>
    <row r="77" spans="1:24" ht="10.5" customHeight="1">
      <c r="Q77" s="65" t="s">
        <v>89</v>
      </c>
      <c r="R77" s="116"/>
      <c r="S77" s="116"/>
      <c r="T77" s="116"/>
      <c r="U77" s="116"/>
      <c r="V77" s="116"/>
      <c r="W77" s="116"/>
      <c r="X77" s="117"/>
    </row>
  </sheetData>
  <mergeCells count="235">
    <mergeCell ref="A1:D3"/>
    <mergeCell ref="F1:U3"/>
    <mergeCell ref="A4:C4"/>
    <mergeCell ref="D4:G4"/>
    <mergeCell ref="H4:N4"/>
    <mergeCell ref="O4:V4"/>
    <mergeCell ref="W4:X5"/>
    <mergeCell ref="A5:N5"/>
    <mergeCell ref="O5:V5"/>
    <mergeCell ref="A6:D6"/>
    <mergeCell ref="F6:N6"/>
    <mergeCell ref="A7:D7"/>
    <mergeCell ref="F7:N7"/>
    <mergeCell ref="O7:S7"/>
    <mergeCell ref="T7:X7"/>
    <mergeCell ref="A8:B8"/>
    <mergeCell ref="D8:F8"/>
    <mergeCell ref="G8:G12"/>
    <mergeCell ref="H8:N8"/>
    <mergeCell ref="R8:W9"/>
    <mergeCell ref="X8:X12"/>
    <mergeCell ref="A9:B12"/>
    <mergeCell ref="C9:C12"/>
    <mergeCell ref="D9:F12"/>
    <mergeCell ref="O10:O12"/>
    <mergeCell ref="V10:V12"/>
    <mergeCell ref="W10:W12"/>
    <mergeCell ref="H12:N12"/>
    <mergeCell ref="A13:B13"/>
    <mergeCell ref="C13:C16"/>
    <mergeCell ref="D13:F16"/>
    <mergeCell ref="G13:G14"/>
    <mergeCell ref="H13:H14"/>
    <mergeCell ref="I13:I14"/>
    <mergeCell ref="J13:J14"/>
    <mergeCell ref="P10:P12"/>
    <mergeCell ref="Q10:Q12"/>
    <mergeCell ref="R10:R12"/>
    <mergeCell ref="S10:S12"/>
    <mergeCell ref="T10:T12"/>
    <mergeCell ref="U10:U12"/>
    <mergeCell ref="X13:X16"/>
    <mergeCell ref="A14:B14"/>
    <mergeCell ref="A15:B15"/>
    <mergeCell ref="G15:G16"/>
    <mergeCell ref="H15:H16"/>
    <mergeCell ref="I15:I16"/>
    <mergeCell ref="J15:J16"/>
    <mergeCell ref="K15:K16"/>
    <mergeCell ref="L15:L16"/>
    <mergeCell ref="M15:M16"/>
    <mergeCell ref="R13:R16"/>
    <mergeCell ref="S13:S16"/>
    <mergeCell ref="T13:T16"/>
    <mergeCell ref="U13:U16"/>
    <mergeCell ref="V13:V16"/>
    <mergeCell ref="W13:W16"/>
    <mergeCell ref="K13:K14"/>
    <mergeCell ref="L13:L14"/>
    <mergeCell ref="M13:M14"/>
    <mergeCell ref="N13:N14"/>
    <mergeCell ref="O13:O14"/>
    <mergeCell ref="Q13:Q14"/>
    <mergeCell ref="N15:N16"/>
    <mergeCell ref="O15:O16"/>
    <mergeCell ref="Q15:Q16"/>
    <mergeCell ref="A16:B16"/>
    <mergeCell ref="A17:B17"/>
    <mergeCell ref="C17:C20"/>
    <mergeCell ref="D17:F20"/>
    <mergeCell ref="G17:G18"/>
    <mergeCell ref="H17:H18"/>
    <mergeCell ref="I17:I18"/>
    <mergeCell ref="W17:W20"/>
    <mergeCell ref="X17:X20"/>
    <mergeCell ref="A18:B18"/>
    <mergeCell ref="A19:B19"/>
    <mergeCell ref="G19:G20"/>
    <mergeCell ref="H19:H20"/>
    <mergeCell ref="I19:I20"/>
    <mergeCell ref="J19:J20"/>
    <mergeCell ref="K19:K20"/>
    <mergeCell ref="L19:L20"/>
    <mergeCell ref="Q17:Q18"/>
    <mergeCell ref="R17:R20"/>
    <mergeCell ref="S17:S20"/>
    <mergeCell ref="T17:T20"/>
    <mergeCell ref="U17:U20"/>
    <mergeCell ref="V17:V20"/>
    <mergeCell ref="J17:J18"/>
    <mergeCell ref="K17:K18"/>
    <mergeCell ref="L17:L18"/>
    <mergeCell ref="M17:M18"/>
    <mergeCell ref="N17:N18"/>
    <mergeCell ref="O17:O18"/>
    <mergeCell ref="K21:K22"/>
    <mergeCell ref="L21:L22"/>
    <mergeCell ref="M21:M22"/>
    <mergeCell ref="N21:N22"/>
    <mergeCell ref="M19:M20"/>
    <mergeCell ref="N19:N20"/>
    <mergeCell ref="O19:O20"/>
    <mergeCell ref="Q19:Q20"/>
    <mergeCell ref="A20:B20"/>
    <mergeCell ref="A21:B21"/>
    <mergeCell ref="C21:C24"/>
    <mergeCell ref="D21:F24"/>
    <mergeCell ref="G21:G22"/>
    <mergeCell ref="H21:H22"/>
    <mergeCell ref="L23:L24"/>
    <mergeCell ref="M23:M24"/>
    <mergeCell ref="N23:N24"/>
    <mergeCell ref="O23:O24"/>
    <mergeCell ref="Q23:Q24"/>
    <mergeCell ref="A24:B24"/>
    <mergeCell ref="V21:V24"/>
    <mergeCell ref="W21:W24"/>
    <mergeCell ref="X21:X24"/>
    <mergeCell ref="A22:B22"/>
    <mergeCell ref="A23:B23"/>
    <mergeCell ref="G23:G24"/>
    <mergeCell ref="H23:H24"/>
    <mergeCell ref="I23:I24"/>
    <mergeCell ref="J23:J24"/>
    <mergeCell ref="K23:K24"/>
    <mergeCell ref="O21:O22"/>
    <mergeCell ref="Q21:Q22"/>
    <mergeCell ref="R21:R24"/>
    <mergeCell ref="S21:S24"/>
    <mergeCell ref="T21:T24"/>
    <mergeCell ref="U21:U24"/>
    <mergeCell ref="I21:I22"/>
    <mergeCell ref="J21:J22"/>
    <mergeCell ref="W25:W28"/>
    <mergeCell ref="X25:X28"/>
    <mergeCell ref="A26:B26"/>
    <mergeCell ref="A27:B27"/>
    <mergeCell ref="G27:G28"/>
    <mergeCell ref="H27:H28"/>
    <mergeCell ref="I27:I28"/>
    <mergeCell ref="J27:J28"/>
    <mergeCell ref="K27:K28"/>
    <mergeCell ref="L27:L28"/>
    <mergeCell ref="Q25:Q26"/>
    <mergeCell ref="R25:R28"/>
    <mergeCell ref="S25:S28"/>
    <mergeCell ref="T25:T28"/>
    <mergeCell ref="U25:U28"/>
    <mergeCell ref="V25:V28"/>
    <mergeCell ref="J25:J26"/>
    <mergeCell ref="K25:K26"/>
    <mergeCell ref="L25:L26"/>
    <mergeCell ref="M25:M26"/>
    <mergeCell ref="N25:N26"/>
    <mergeCell ref="O25:O26"/>
    <mergeCell ref="A25:B25"/>
    <mergeCell ref="C25:C28"/>
    <mergeCell ref="K29:K30"/>
    <mergeCell ref="L29:L30"/>
    <mergeCell ref="M29:M30"/>
    <mergeCell ref="N29:N30"/>
    <mergeCell ref="M27:M28"/>
    <mergeCell ref="N27:N28"/>
    <mergeCell ref="O27:O28"/>
    <mergeCell ref="Q27:Q28"/>
    <mergeCell ref="A28:B28"/>
    <mergeCell ref="A29:B29"/>
    <mergeCell ref="C29:C32"/>
    <mergeCell ref="D29:F32"/>
    <mergeCell ref="G29:G30"/>
    <mergeCell ref="H29:H30"/>
    <mergeCell ref="D25:F28"/>
    <mergeCell ref="G25:G26"/>
    <mergeCell ref="H25:H26"/>
    <mergeCell ref="I25:I26"/>
    <mergeCell ref="L31:L32"/>
    <mergeCell ref="M31:M32"/>
    <mergeCell ref="N31:N32"/>
    <mergeCell ref="O31:O32"/>
    <mergeCell ref="Q31:Q32"/>
    <mergeCell ref="A32:B32"/>
    <mergeCell ref="V29:V32"/>
    <mergeCell ref="W29:W32"/>
    <mergeCell ref="X29:X32"/>
    <mergeCell ref="A30:B30"/>
    <mergeCell ref="A31:B31"/>
    <mergeCell ref="G31:G32"/>
    <mergeCell ref="H31:H32"/>
    <mergeCell ref="I31:I32"/>
    <mergeCell ref="J31:J32"/>
    <mergeCell ref="K31:K32"/>
    <mergeCell ref="O29:O30"/>
    <mergeCell ref="Q29:Q30"/>
    <mergeCell ref="R29:R32"/>
    <mergeCell ref="S29:S32"/>
    <mergeCell ref="T29:T32"/>
    <mergeCell ref="U29:U32"/>
    <mergeCell ref="I29:I30"/>
    <mergeCell ref="J29:J30"/>
    <mergeCell ref="J33:J34"/>
    <mergeCell ref="K33:K34"/>
    <mergeCell ref="L33:L34"/>
    <mergeCell ref="M33:M34"/>
    <mergeCell ref="N33:N34"/>
    <mergeCell ref="O33:O34"/>
    <mergeCell ref="A33:B33"/>
    <mergeCell ref="C33:C36"/>
    <mergeCell ref="D33:F36"/>
    <mergeCell ref="G33:G34"/>
    <mergeCell ref="H33:H34"/>
    <mergeCell ref="I33:I34"/>
    <mergeCell ref="S50:X51"/>
    <mergeCell ref="S53:X54"/>
    <mergeCell ref="M35:M36"/>
    <mergeCell ref="N35:N36"/>
    <mergeCell ref="O35:O36"/>
    <mergeCell ref="Q35:Q36"/>
    <mergeCell ref="A36:B36"/>
    <mergeCell ref="C48:D48"/>
    <mergeCell ref="W33:W36"/>
    <mergeCell ref="X33:X36"/>
    <mergeCell ref="A34:B34"/>
    <mergeCell ref="A35:B35"/>
    <mergeCell ref="G35:G36"/>
    <mergeCell ref="H35:H36"/>
    <mergeCell ref="I35:I36"/>
    <mergeCell ref="J35:J36"/>
    <mergeCell ref="K35:K36"/>
    <mergeCell ref="L35:L36"/>
    <mergeCell ref="Q33:Q34"/>
    <mergeCell ref="R33:R36"/>
    <mergeCell ref="S33:S36"/>
    <mergeCell ref="T33:T36"/>
    <mergeCell ref="U33:U36"/>
    <mergeCell ref="V33:V36"/>
  </mergeCells>
  <phoneticPr fontId="11" type="noConversion"/>
  <pageMargins left="0.7" right="0.7" top="0.75" bottom="0.75" header="0.3" footer="0.3"/>
  <pageSetup scale="77" orientation="landscape" horizontalDpi="4294967292" verticalDpi="4294967292"/>
  <rowBreaks count="1" manualBreakCount="1">
    <brk id="36" max="16383" man="1"/>
  </rowBreaks>
  <colBreaks count="1" manualBreakCount="1">
    <brk id="24" max="1048575" man="1"/>
  </colBreaks>
  <drawing r:id="rId1"/>
  <extLst>
    <ext xmlns:mx="http://schemas.microsoft.com/office/mac/excel/2008/main" uri="{64002731-A6B0-56B0-2670-7721B7C09600}">
      <mx:PLV Mode="1" OnePage="0" WScale="77"/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77"/>
  <sheetViews>
    <sheetView view="pageLayout" zoomScaleNormal="125" zoomScalePageLayoutView="125" workbookViewId="0">
      <selection activeCell="H8" sqref="H8:N8"/>
    </sheetView>
  </sheetViews>
  <sheetFormatPr baseColWidth="10" defaultColWidth="8.83203125" defaultRowHeight="14" x14ac:dyDescent="0"/>
  <cols>
    <col min="1" max="1" width="10.33203125" customWidth="1"/>
    <col min="2" max="2" width="11.1640625" customWidth="1"/>
    <col min="3" max="3" width="5" customWidth="1"/>
    <col min="4" max="4" width="5.1640625" customWidth="1"/>
    <col min="5" max="5" width="4.6640625" customWidth="1"/>
    <col min="6" max="6" width="4.83203125" customWidth="1"/>
    <col min="7" max="7" width="3.6640625" customWidth="1"/>
    <col min="8" max="8" width="5" customWidth="1"/>
    <col min="9" max="9" width="4.6640625" customWidth="1"/>
    <col min="10" max="11" width="5.33203125" customWidth="1"/>
    <col min="12" max="12" width="4.83203125" customWidth="1"/>
    <col min="13" max="13" width="5.5" customWidth="1"/>
    <col min="14" max="14" width="5.1640625" customWidth="1"/>
    <col min="16" max="17" width="9.83203125" bestFit="1" customWidth="1"/>
    <col min="18" max="18" width="7.6640625" customWidth="1"/>
    <col min="19" max="19" width="9.5" customWidth="1"/>
    <col min="20" max="20" width="6" hidden="1" customWidth="1"/>
    <col min="21" max="21" width="4.33203125" hidden="1" customWidth="1"/>
    <col min="22" max="22" width="7.6640625" hidden="1" customWidth="1"/>
    <col min="23" max="23" width="9.33203125" customWidth="1"/>
    <col min="24" max="24" width="12.6640625" customWidth="1"/>
  </cols>
  <sheetData>
    <row r="1" spans="1:24" ht="15" customHeight="1">
      <c r="A1" s="149" t="s">
        <v>22</v>
      </c>
      <c r="B1" s="149"/>
      <c r="C1" s="149"/>
      <c r="D1" s="149"/>
      <c r="E1" s="143"/>
      <c r="F1" s="151" t="s">
        <v>55</v>
      </c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9"/>
      <c r="W1" s="9"/>
      <c r="X1" s="9"/>
    </row>
    <row r="2" spans="1:24">
      <c r="A2" s="149"/>
      <c r="B2" s="149"/>
      <c r="C2" s="149"/>
      <c r="D2" s="149"/>
      <c r="E2" s="143"/>
      <c r="F2" s="151"/>
      <c r="G2" s="151"/>
      <c r="H2" s="151"/>
      <c r="I2" s="151"/>
      <c r="J2" s="151"/>
      <c r="K2" s="151"/>
      <c r="L2" s="151"/>
      <c r="M2" s="151"/>
      <c r="N2" s="151"/>
      <c r="O2" s="151"/>
      <c r="P2" s="151"/>
      <c r="Q2" s="151"/>
      <c r="R2" s="151"/>
      <c r="S2" s="151"/>
      <c r="T2" s="151"/>
      <c r="U2" s="151"/>
      <c r="V2" s="9"/>
      <c r="W2" s="9"/>
      <c r="X2" s="9"/>
    </row>
    <row r="3" spans="1:24" ht="15" customHeight="1" thickBot="1">
      <c r="A3" s="150"/>
      <c r="B3" s="150"/>
      <c r="C3" s="150"/>
      <c r="D3" s="150"/>
      <c r="E3" s="144"/>
      <c r="F3" s="152"/>
      <c r="G3" s="152"/>
      <c r="H3" s="152"/>
      <c r="I3" s="152"/>
      <c r="J3" s="152"/>
      <c r="K3" s="152"/>
      <c r="L3" s="152"/>
      <c r="M3" s="152"/>
      <c r="N3" s="152"/>
      <c r="O3" s="152"/>
      <c r="P3" s="152"/>
      <c r="Q3" s="152"/>
      <c r="R3" s="152"/>
      <c r="S3" s="152"/>
      <c r="T3" s="152"/>
      <c r="U3" s="152"/>
      <c r="V3" s="10"/>
      <c r="W3" s="10"/>
      <c r="X3" s="10"/>
    </row>
    <row r="4" spans="1:24" s="11" customFormat="1">
      <c r="A4" s="153" t="s">
        <v>56</v>
      </c>
      <c r="B4" s="154"/>
      <c r="C4" s="154"/>
      <c r="D4" s="154" t="s">
        <v>52</v>
      </c>
      <c r="E4" s="154"/>
      <c r="F4" s="154"/>
      <c r="G4" s="154"/>
      <c r="H4" s="155"/>
      <c r="I4" s="155"/>
      <c r="J4" s="155"/>
      <c r="K4" s="155"/>
      <c r="L4" s="155"/>
      <c r="M4" s="155"/>
      <c r="N4" s="156"/>
      <c r="O4" s="157" t="s">
        <v>126</v>
      </c>
      <c r="P4" s="158"/>
      <c r="Q4" s="158"/>
      <c r="R4" s="158"/>
      <c r="S4" s="158"/>
      <c r="T4" s="158"/>
      <c r="U4" s="158"/>
      <c r="V4" s="158"/>
      <c r="W4" s="159"/>
      <c r="X4" s="160"/>
    </row>
    <row r="5" spans="1:24" s="1" customFormat="1" ht="12">
      <c r="A5" s="163" t="s">
        <v>125</v>
      </c>
      <c r="B5" s="164"/>
      <c r="C5" s="164"/>
      <c r="D5" s="164"/>
      <c r="E5" s="164"/>
      <c r="F5" s="164"/>
      <c r="G5" s="164"/>
      <c r="H5" s="164"/>
      <c r="I5" s="164"/>
      <c r="J5" s="164"/>
      <c r="K5" s="164"/>
      <c r="L5" s="164"/>
      <c r="M5" s="164"/>
      <c r="N5" s="165"/>
      <c r="O5" s="166" t="s">
        <v>108</v>
      </c>
      <c r="P5" s="167"/>
      <c r="Q5" s="167"/>
      <c r="R5" s="167"/>
      <c r="S5" s="167"/>
      <c r="T5" s="167"/>
      <c r="U5" s="167"/>
      <c r="V5" s="167"/>
      <c r="W5" s="161"/>
      <c r="X5" s="162"/>
    </row>
    <row r="6" spans="1:24" s="13" customFormat="1" ht="11">
      <c r="A6" s="168" t="s">
        <v>18</v>
      </c>
      <c r="B6" s="169"/>
      <c r="C6" s="169"/>
      <c r="D6" s="170"/>
      <c r="E6" s="115"/>
      <c r="F6" s="168" t="s">
        <v>19</v>
      </c>
      <c r="G6" s="169"/>
      <c r="H6" s="169"/>
      <c r="I6" s="169"/>
      <c r="J6" s="169"/>
      <c r="K6" s="169"/>
      <c r="L6" s="169"/>
      <c r="M6" s="169"/>
      <c r="N6" s="170"/>
      <c r="O6" s="102" t="s">
        <v>20</v>
      </c>
      <c r="P6" s="15"/>
      <c r="Q6" s="15"/>
      <c r="R6" s="15"/>
      <c r="S6" s="102" t="s">
        <v>91</v>
      </c>
      <c r="T6" s="15" t="s">
        <v>21</v>
      </c>
      <c r="U6" s="15"/>
      <c r="V6" s="15"/>
      <c r="X6" s="16"/>
    </row>
    <row r="7" spans="1:24" s="1" customFormat="1" ht="16.5" customHeight="1">
      <c r="A7" s="171">
        <v>14</v>
      </c>
      <c r="B7" s="172"/>
      <c r="C7" s="172"/>
      <c r="D7" s="173"/>
      <c r="E7" s="145"/>
      <c r="F7" s="174">
        <v>42477</v>
      </c>
      <c r="G7" s="175"/>
      <c r="H7" s="175"/>
      <c r="I7" s="175"/>
      <c r="J7" s="175"/>
      <c r="K7" s="175"/>
      <c r="L7" s="175"/>
      <c r="M7" s="175"/>
      <c r="N7" s="176"/>
      <c r="O7" s="166" t="s">
        <v>107</v>
      </c>
      <c r="P7" s="167"/>
      <c r="Q7" s="167"/>
      <c r="R7" s="167"/>
      <c r="S7" s="167"/>
      <c r="T7" s="167" t="s">
        <v>109</v>
      </c>
      <c r="U7" s="167"/>
      <c r="V7" s="167"/>
      <c r="W7" s="167"/>
      <c r="X7" s="177"/>
    </row>
    <row r="8" spans="1:24" s="2" customFormat="1" ht="11.25" customHeight="1">
      <c r="A8" s="178" t="s">
        <v>23</v>
      </c>
      <c r="B8" s="179"/>
      <c r="C8" s="7" t="s">
        <v>24</v>
      </c>
      <c r="D8" s="178" t="s">
        <v>25</v>
      </c>
      <c r="E8" s="180"/>
      <c r="F8" s="179"/>
      <c r="G8" s="181" t="s">
        <v>29</v>
      </c>
      <c r="H8" s="184" t="s">
        <v>54</v>
      </c>
      <c r="I8" s="185"/>
      <c r="J8" s="185"/>
      <c r="K8" s="185"/>
      <c r="L8" s="185"/>
      <c r="M8" s="185"/>
      <c r="N8" s="186"/>
      <c r="O8" s="7" t="s">
        <v>30</v>
      </c>
      <c r="P8" s="7" t="s">
        <v>31</v>
      </c>
      <c r="Q8" s="7" t="s">
        <v>32</v>
      </c>
      <c r="R8" s="187" t="s">
        <v>33</v>
      </c>
      <c r="S8" s="187"/>
      <c r="T8" s="187"/>
      <c r="U8" s="187"/>
      <c r="V8" s="187"/>
      <c r="W8" s="187"/>
      <c r="X8" s="187" t="s">
        <v>53</v>
      </c>
    </row>
    <row r="9" spans="1:24" ht="17.25" customHeight="1">
      <c r="A9" s="188" t="s">
        <v>26</v>
      </c>
      <c r="B9" s="189"/>
      <c r="C9" s="192" t="s">
        <v>27</v>
      </c>
      <c r="D9" s="194" t="s">
        <v>28</v>
      </c>
      <c r="E9" s="195"/>
      <c r="F9" s="196"/>
      <c r="G9" s="182"/>
      <c r="H9" s="132" t="s">
        <v>36</v>
      </c>
      <c r="I9" s="133" t="s">
        <v>37</v>
      </c>
      <c r="J9" s="133" t="s">
        <v>38</v>
      </c>
      <c r="K9" s="133" t="s">
        <v>111</v>
      </c>
      <c r="L9" s="133" t="s">
        <v>39</v>
      </c>
      <c r="M9" s="133" t="s">
        <v>41</v>
      </c>
      <c r="N9" s="133" t="s">
        <v>42</v>
      </c>
      <c r="O9" s="6"/>
      <c r="P9" s="8"/>
      <c r="Q9" s="8"/>
      <c r="R9" s="187"/>
      <c r="S9" s="187"/>
      <c r="T9" s="187"/>
      <c r="U9" s="187"/>
      <c r="V9" s="187"/>
      <c r="W9" s="187"/>
      <c r="X9" s="187"/>
    </row>
    <row r="10" spans="1:24" ht="19.5" customHeight="1">
      <c r="A10" s="188"/>
      <c r="B10" s="189"/>
      <c r="C10" s="192"/>
      <c r="D10" s="194"/>
      <c r="E10" s="195"/>
      <c r="F10" s="196"/>
      <c r="G10" s="182"/>
      <c r="H10" s="100">
        <f t="shared" ref="H10:L10" si="0">I10-1</f>
        <v>42471</v>
      </c>
      <c r="I10" s="100">
        <f t="shared" si="0"/>
        <v>42472</v>
      </c>
      <c r="J10" s="100">
        <f t="shared" si="0"/>
        <v>42473</v>
      </c>
      <c r="K10" s="100">
        <f t="shared" si="0"/>
        <v>42474</v>
      </c>
      <c r="L10" s="100">
        <f t="shared" si="0"/>
        <v>42475</v>
      </c>
      <c r="M10" s="100">
        <f>N10-1</f>
        <v>42476</v>
      </c>
      <c r="N10" s="100">
        <f>F7</f>
        <v>42477</v>
      </c>
      <c r="O10" s="200" t="s">
        <v>46</v>
      </c>
      <c r="P10" s="200" t="s">
        <v>47</v>
      </c>
      <c r="Q10" s="200" t="s">
        <v>48</v>
      </c>
      <c r="R10" s="206" t="s">
        <v>44</v>
      </c>
      <c r="S10" s="206" t="s">
        <v>45</v>
      </c>
      <c r="T10" s="207"/>
      <c r="U10" s="207"/>
      <c r="V10" s="202" t="s">
        <v>35</v>
      </c>
      <c r="W10" s="203" t="s">
        <v>34</v>
      </c>
      <c r="X10" s="187"/>
    </row>
    <row r="11" spans="1:24" ht="18.75" hidden="1" customHeight="1">
      <c r="A11" s="188"/>
      <c r="B11" s="189"/>
      <c r="C11" s="192"/>
      <c r="D11" s="194"/>
      <c r="E11" s="195"/>
      <c r="F11" s="196"/>
      <c r="G11" s="182"/>
      <c r="H11" s="5"/>
      <c r="I11" s="4"/>
      <c r="J11" s="4"/>
      <c r="K11" s="4"/>
      <c r="L11" s="4"/>
      <c r="M11" s="4"/>
      <c r="N11" s="4"/>
      <c r="O11" s="200"/>
      <c r="P11" s="200"/>
      <c r="Q11" s="200"/>
      <c r="R11" s="206"/>
      <c r="S11" s="206"/>
      <c r="T11" s="207"/>
      <c r="U11" s="207"/>
      <c r="V11" s="202"/>
      <c r="W11" s="203"/>
      <c r="X11" s="187"/>
    </row>
    <row r="12" spans="1:24">
      <c r="A12" s="190"/>
      <c r="B12" s="191"/>
      <c r="C12" s="193"/>
      <c r="D12" s="197"/>
      <c r="E12" s="198"/>
      <c r="F12" s="199"/>
      <c r="G12" s="183"/>
      <c r="H12" s="204" t="s">
        <v>43</v>
      </c>
      <c r="I12" s="204"/>
      <c r="J12" s="204"/>
      <c r="K12" s="204"/>
      <c r="L12" s="204"/>
      <c r="M12" s="204"/>
      <c r="N12" s="205"/>
      <c r="O12" s="201"/>
      <c r="P12" s="201"/>
      <c r="Q12" s="201"/>
      <c r="R12" s="206"/>
      <c r="S12" s="206"/>
      <c r="T12" s="207"/>
      <c r="U12" s="207"/>
      <c r="V12" s="202"/>
      <c r="W12" s="203"/>
      <c r="X12" s="187"/>
    </row>
    <row r="13" spans="1:24" ht="15" customHeight="1">
      <c r="A13" s="208" t="s">
        <v>98</v>
      </c>
      <c r="B13" s="209"/>
      <c r="C13" s="210">
        <v>2</v>
      </c>
      <c r="D13" s="249" t="s">
        <v>123</v>
      </c>
      <c r="E13" s="250"/>
      <c r="F13" s="251"/>
      <c r="G13" s="220" t="s">
        <v>49</v>
      </c>
      <c r="H13" s="220"/>
      <c r="I13" s="220"/>
      <c r="J13" s="220"/>
      <c r="K13" s="220"/>
      <c r="L13" s="220"/>
      <c r="M13" s="220"/>
      <c r="N13" s="220"/>
      <c r="O13" s="232">
        <f>SUM(H13:N14)</f>
        <v>0</v>
      </c>
      <c r="P13" s="105" t="s">
        <v>110</v>
      </c>
      <c r="Q13" s="238">
        <f>P14*O13</f>
        <v>0</v>
      </c>
      <c r="R13" s="226">
        <v>0</v>
      </c>
      <c r="S13" s="226">
        <v>0</v>
      </c>
      <c r="T13" s="226"/>
      <c r="U13" s="226"/>
      <c r="V13" s="226"/>
      <c r="W13" s="226">
        <f>S13+R13</f>
        <v>0</v>
      </c>
      <c r="X13" s="229">
        <f>Q15-W13+Q13</f>
        <v>0</v>
      </c>
    </row>
    <row r="14" spans="1:24">
      <c r="A14" s="221" t="s">
        <v>103</v>
      </c>
      <c r="B14" s="222"/>
      <c r="C14" s="210"/>
      <c r="D14" s="252"/>
      <c r="E14" s="253"/>
      <c r="F14" s="254"/>
      <c r="G14" s="220"/>
      <c r="H14" s="220"/>
      <c r="I14" s="220"/>
      <c r="J14" s="220"/>
      <c r="K14" s="220"/>
      <c r="L14" s="220"/>
      <c r="M14" s="220"/>
      <c r="N14" s="220"/>
      <c r="O14" s="233"/>
      <c r="P14" s="103">
        <f>P16/2+P16</f>
        <v>22.5</v>
      </c>
      <c r="Q14" s="239"/>
      <c r="R14" s="227"/>
      <c r="S14" s="227"/>
      <c r="T14" s="227"/>
      <c r="U14" s="227"/>
      <c r="V14" s="227"/>
      <c r="W14" s="227"/>
      <c r="X14" s="230"/>
    </row>
    <row r="15" spans="1:24">
      <c r="A15" s="261"/>
      <c r="B15" s="262"/>
      <c r="C15" s="210"/>
      <c r="D15" s="252"/>
      <c r="E15" s="253"/>
      <c r="F15" s="254"/>
      <c r="G15" s="223" t="s">
        <v>40</v>
      </c>
      <c r="H15" s="223">
        <v>0</v>
      </c>
      <c r="I15" s="223">
        <v>0</v>
      </c>
      <c r="J15" s="223">
        <v>0</v>
      </c>
      <c r="K15" s="223">
        <v>0</v>
      </c>
      <c r="L15" s="223">
        <v>0</v>
      </c>
      <c r="M15" s="223">
        <v>0</v>
      </c>
      <c r="N15" s="223">
        <v>0</v>
      </c>
      <c r="O15" s="234">
        <f>SUM(H15:N16)</f>
        <v>0</v>
      </c>
      <c r="P15" s="106" t="s">
        <v>110</v>
      </c>
      <c r="Q15" s="236">
        <f>P16*O15</f>
        <v>0</v>
      </c>
      <c r="R15" s="227"/>
      <c r="S15" s="227"/>
      <c r="T15" s="227"/>
      <c r="U15" s="227"/>
      <c r="V15" s="227"/>
      <c r="W15" s="227"/>
      <c r="X15" s="230"/>
    </row>
    <row r="16" spans="1:24">
      <c r="A16" s="224"/>
      <c r="B16" s="225"/>
      <c r="C16" s="210"/>
      <c r="D16" s="255"/>
      <c r="E16" s="256"/>
      <c r="F16" s="257"/>
      <c r="G16" s="223"/>
      <c r="H16" s="223"/>
      <c r="I16" s="223"/>
      <c r="J16" s="223"/>
      <c r="K16" s="223"/>
      <c r="L16" s="223"/>
      <c r="M16" s="223"/>
      <c r="N16" s="223"/>
      <c r="O16" s="235"/>
      <c r="P16" s="104">
        <v>15</v>
      </c>
      <c r="Q16" s="237"/>
      <c r="R16" s="228"/>
      <c r="S16" s="228"/>
      <c r="T16" s="228"/>
      <c r="U16" s="228"/>
      <c r="V16" s="228"/>
      <c r="W16" s="228"/>
      <c r="X16" s="231"/>
    </row>
    <row r="17" spans="1:24" ht="15" customHeight="1">
      <c r="A17" s="208" t="s">
        <v>99</v>
      </c>
      <c r="B17" s="209"/>
      <c r="C17" s="210">
        <v>2</v>
      </c>
      <c r="D17" s="249" t="s">
        <v>123</v>
      </c>
      <c r="E17" s="250"/>
      <c r="F17" s="251"/>
      <c r="G17" s="220" t="s">
        <v>49</v>
      </c>
      <c r="H17" s="220"/>
      <c r="I17" s="220"/>
      <c r="J17" s="220"/>
      <c r="K17" s="220"/>
      <c r="L17" s="220"/>
      <c r="M17" s="220"/>
      <c r="N17" s="220"/>
      <c r="O17" s="232">
        <f>SUM(H17:N18)</f>
        <v>0</v>
      </c>
      <c r="P17" s="105" t="s">
        <v>110</v>
      </c>
      <c r="Q17" s="238">
        <f>P18*O17</f>
        <v>0</v>
      </c>
      <c r="R17" s="226">
        <v>0</v>
      </c>
      <c r="S17" s="226">
        <v>0</v>
      </c>
      <c r="T17" s="226"/>
      <c r="U17" s="226"/>
      <c r="V17" s="226"/>
      <c r="W17" s="226">
        <f>S17+R17</f>
        <v>0</v>
      </c>
      <c r="X17" s="229">
        <f>Q19-W17</f>
        <v>0</v>
      </c>
    </row>
    <row r="18" spans="1:24">
      <c r="A18" s="221" t="s">
        <v>102</v>
      </c>
      <c r="B18" s="222"/>
      <c r="C18" s="210"/>
      <c r="D18" s="252"/>
      <c r="E18" s="253"/>
      <c r="F18" s="254"/>
      <c r="G18" s="220"/>
      <c r="H18" s="220"/>
      <c r="I18" s="220"/>
      <c r="J18" s="220"/>
      <c r="K18" s="220"/>
      <c r="L18" s="220"/>
      <c r="M18" s="220"/>
      <c r="N18" s="220"/>
      <c r="O18" s="233"/>
      <c r="P18" s="103">
        <f>P20/2+P20</f>
        <v>22.5</v>
      </c>
      <c r="Q18" s="239"/>
      <c r="R18" s="227"/>
      <c r="S18" s="227"/>
      <c r="T18" s="227"/>
      <c r="U18" s="227"/>
      <c r="V18" s="227"/>
      <c r="W18" s="227"/>
      <c r="X18" s="230"/>
    </row>
    <row r="19" spans="1:24">
      <c r="A19" s="261"/>
      <c r="B19" s="262"/>
      <c r="C19" s="210"/>
      <c r="D19" s="252"/>
      <c r="E19" s="253"/>
      <c r="F19" s="254"/>
      <c r="G19" s="223" t="s">
        <v>40</v>
      </c>
      <c r="H19" s="223">
        <v>0</v>
      </c>
      <c r="I19" s="223">
        <v>0</v>
      </c>
      <c r="J19" s="223">
        <v>0</v>
      </c>
      <c r="K19" s="223">
        <v>0</v>
      </c>
      <c r="L19" s="223">
        <v>0</v>
      </c>
      <c r="M19" s="223">
        <v>0</v>
      </c>
      <c r="N19" s="223">
        <v>0</v>
      </c>
      <c r="O19" s="223">
        <f>SUM(H19:N20)</f>
        <v>0</v>
      </c>
      <c r="P19" s="106" t="s">
        <v>110</v>
      </c>
      <c r="Q19" s="236">
        <f>P20*O19</f>
        <v>0</v>
      </c>
      <c r="R19" s="227"/>
      <c r="S19" s="227"/>
      <c r="T19" s="227"/>
      <c r="U19" s="227"/>
      <c r="V19" s="227"/>
      <c r="W19" s="227"/>
      <c r="X19" s="230"/>
    </row>
    <row r="20" spans="1:24">
      <c r="A20" s="224"/>
      <c r="B20" s="225"/>
      <c r="C20" s="210"/>
      <c r="D20" s="255"/>
      <c r="E20" s="256"/>
      <c r="F20" s="257"/>
      <c r="G20" s="223"/>
      <c r="H20" s="223"/>
      <c r="I20" s="223"/>
      <c r="J20" s="223"/>
      <c r="K20" s="223"/>
      <c r="L20" s="223"/>
      <c r="M20" s="223"/>
      <c r="N20" s="223"/>
      <c r="O20" s="223"/>
      <c r="P20" s="104">
        <v>15</v>
      </c>
      <c r="Q20" s="237"/>
      <c r="R20" s="228"/>
      <c r="S20" s="228"/>
      <c r="T20" s="228"/>
      <c r="U20" s="228"/>
      <c r="V20" s="228"/>
      <c r="W20" s="228"/>
      <c r="X20" s="231"/>
    </row>
    <row r="21" spans="1:24" ht="14" customHeight="1">
      <c r="A21" s="208"/>
      <c r="B21" s="209"/>
      <c r="C21" s="210"/>
      <c r="D21" s="211"/>
      <c r="E21" s="212"/>
      <c r="F21" s="213"/>
      <c r="G21" s="220"/>
      <c r="H21" s="220"/>
      <c r="I21" s="220"/>
      <c r="J21" s="220"/>
      <c r="K21" s="220"/>
      <c r="L21" s="220"/>
      <c r="M21" s="220"/>
      <c r="N21" s="220"/>
      <c r="O21" s="232"/>
      <c r="P21" s="105"/>
      <c r="Q21" s="238"/>
      <c r="R21" s="226"/>
      <c r="S21" s="226"/>
      <c r="T21" s="226"/>
      <c r="U21" s="226"/>
      <c r="V21" s="226"/>
      <c r="W21" s="226"/>
      <c r="X21" s="229"/>
    </row>
    <row r="22" spans="1:24">
      <c r="A22" s="221"/>
      <c r="B22" s="222"/>
      <c r="C22" s="210"/>
      <c r="D22" s="214"/>
      <c r="E22" s="215"/>
      <c r="F22" s="216"/>
      <c r="G22" s="220"/>
      <c r="H22" s="220"/>
      <c r="I22" s="220"/>
      <c r="J22" s="220"/>
      <c r="K22" s="220"/>
      <c r="L22" s="220"/>
      <c r="M22" s="220"/>
      <c r="N22" s="220"/>
      <c r="O22" s="233"/>
      <c r="P22" s="103"/>
      <c r="Q22" s="239"/>
      <c r="R22" s="227"/>
      <c r="S22" s="227"/>
      <c r="T22" s="227"/>
      <c r="U22" s="227"/>
      <c r="V22" s="227"/>
      <c r="W22" s="227"/>
      <c r="X22" s="230"/>
    </row>
    <row r="23" spans="1:24">
      <c r="A23" s="221"/>
      <c r="B23" s="222"/>
      <c r="C23" s="210"/>
      <c r="D23" s="214"/>
      <c r="E23" s="215"/>
      <c r="F23" s="216"/>
      <c r="G23" s="223"/>
      <c r="H23" s="223"/>
      <c r="I23" s="223"/>
      <c r="J23" s="223"/>
      <c r="K23" s="223"/>
      <c r="L23" s="223"/>
      <c r="M23" s="223"/>
      <c r="N23" s="223"/>
      <c r="O23" s="223"/>
      <c r="P23" s="106"/>
      <c r="Q23" s="236"/>
      <c r="R23" s="227"/>
      <c r="S23" s="227"/>
      <c r="T23" s="227"/>
      <c r="U23" s="227"/>
      <c r="V23" s="227"/>
      <c r="W23" s="227"/>
      <c r="X23" s="230"/>
    </row>
    <row r="24" spans="1:24">
      <c r="A24" s="224"/>
      <c r="B24" s="225"/>
      <c r="C24" s="210"/>
      <c r="D24" s="217"/>
      <c r="E24" s="218"/>
      <c r="F24" s="219"/>
      <c r="G24" s="223"/>
      <c r="H24" s="223"/>
      <c r="I24" s="223"/>
      <c r="J24" s="223"/>
      <c r="K24" s="223"/>
      <c r="L24" s="223"/>
      <c r="M24" s="223"/>
      <c r="N24" s="223"/>
      <c r="O24" s="223"/>
      <c r="P24" s="104"/>
      <c r="Q24" s="237"/>
      <c r="R24" s="228"/>
      <c r="S24" s="228"/>
      <c r="T24" s="228"/>
      <c r="U24" s="228"/>
      <c r="V24" s="228"/>
      <c r="W24" s="228"/>
      <c r="X24" s="231"/>
    </row>
    <row r="25" spans="1:24" ht="14" customHeight="1">
      <c r="A25" s="208"/>
      <c r="B25" s="209"/>
      <c r="C25" s="210"/>
      <c r="D25" s="211"/>
      <c r="E25" s="212"/>
      <c r="F25" s="213"/>
      <c r="G25" s="220"/>
      <c r="H25" s="220"/>
      <c r="I25" s="220"/>
      <c r="J25" s="220"/>
      <c r="K25" s="220"/>
      <c r="L25" s="220"/>
      <c r="M25" s="220"/>
      <c r="N25" s="220"/>
      <c r="O25" s="232"/>
      <c r="P25" s="105"/>
      <c r="Q25" s="248"/>
      <c r="R25" s="226"/>
      <c r="S25" s="226"/>
      <c r="T25" s="226"/>
      <c r="U25" s="226"/>
      <c r="V25" s="226"/>
      <c r="W25" s="226"/>
      <c r="X25" s="229"/>
    </row>
    <row r="26" spans="1:24">
      <c r="A26" s="221"/>
      <c r="B26" s="222"/>
      <c r="C26" s="210"/>
      <c r="D26" s="214"/>
      <c r="E26" s="215"/>
      <c r="F26" s="216"/>
      <c r="G26" s="220"/>
      <c r="H26" s="220"/>
      <c r="I26" s="220"/>
      <c r="J26" s="220"/>
      <c r="K26" s="220"/>
      <c r="L26" s="220"/>
      <c r="M26" s="220"/>
      <c r="N26" s="220"/>
      <c r="O26" s="233"/>
      <c r="P26" s="103"/>
      <c r="Q26" s="248"/>
      <c r="R26" s="227"/>
      <c r="S26" s="227"/>
      <c r="T26" s="227"/>
      <c r="U26" s="227"/>
      <c r="V26" s="227"/>
      <c r="W26" s="227"/>
      <c r="X26" s="230"/>
    </row>
    <row r="27" spans="1:24">
      <c r="A27" s="221"/>
      <c r="B27" s="222"/>
      <c r="C27" s="210"/>
      <c r="D27" s="214"/>
      <c r="E27" s="215"/>
      <c r="F27" s="216"/>
      <c r="G27" s="223"/>
      <c r="H27" s="223"/>
      <c r="I27" s="223"/>
      <c r="J27" s="223"/>
      <c r="K27" s="223"/>
      <c r="L27" s="223"/>
      <c r="M27" s="223"/>
      <c r="N27" s="223"/>
      <c r="O27" s="223"/>
      <c r="P27" s="106"/>
      <c r="Q27" s="236"/>
      <c r="R27" s="227"/>
      <c r="S27" s="227"/>
      <c r="T27" s="227"/>
      <c r="U27" s="227"/>
      <c r="V27" s="227"/>
      <c r="W27" s="227"/>
      <c r="X27" s="230"/>
    </row>
    <row r="28" spans="1:24">
      <c r="A28" s="224"/>
      <c r="B28" s="225"/>
      <c r="C28" s="210"/>
      <c r="D28" s="217"/>
      <c r="E28" s="218"/>
      <c r="F28" s="219"/>
      <c r="G28" s="223"/>
      <c r="H28" s="223"/>
      <c r="I28" s="223"/>
      <c r="J28" s="223"/>
      <c r="K28" s="223"/>
      <c r="L28" s="223"/>
      <c r="M28" s="223"/>
      <c r="N28" s="223"/>
      <c r="O28" s="223"/>
      <c r="P28" s="104"/>
      <c r="Q28" s="237"/>
      <c r="R28" s="228"/>
      <c r="S28" s="228"/>
      <c r="T28" s="228"/>
      <c r="U28" s="228"/>
      <c r="V28" s="228"/>
      <c r="W28" s="228"/>
      <c r="X28" s="231"/>
    </row>
    <row r="29" spans="1:24" ht="14" customHeight="1">
      <c r="A29" s="208"/>
      <c r="B29" s="209"/>
      <c r="C29" s="210"/>
      <c r="D29" s="211"/>
      <c r="E29" s="212"/>
      <c r="F29" s="213"/>
      <c r="G29" s="220"/>
      <c r="H29" s="220"/>
      <c r="I29" s="220"/>
      <c r="J29" s="220"/>
      <c r="K29" s="220"/>
      <c r="L29" s="220"/>
      <c r="M29" s="220"/>
      <c r="N29" s="220"/>
      <c r="O29" s="232"/>
      <c r="P29" s="105"/>
      <c r="Q29" s="248"/>
      <c r="R29" s="226"/>
      <c r="S29" s="226"/>
      <c r="T29" s="226"/>
      <c r="U29" s="226"/>
      <c r="V29" s="226"/>
      <c r="W29" s="226"/>
      <c r="X29" s="229"/>
    </row>
    <row r="30" spans="1:24">
      <c r="A30" s="221"/>
      <c r="B30" s="222"/>
      <c r="C30" s="210"/>
      <c r="D30" s="214"/>
      <c r="E30" s="215"/>
      <c r="F30" s="216"/>
      <c r="G30" s="220"/>
      <c r="H30" s="220"/>
      <c r="I30" s="220"/>
      <c r="J30" s="220"/>
      <c r="K30" s="220"/>
      <c r="L30" s="220"/>
      <c r="M30" s="220"/>
      <c r="N30" s="220"/>
      <c r="O30" s="233"/>
      <c r="P30" s="103"/>
      <c r="Q30" s="248"/>
      <c r="R30" s="227"/>
      <c r="S30" s="227"/>
      <c r="T30" s="227"/>
      <c r="U30" s="227"/>
      <c r="V30" s="227"/>
      <c r="W30" s="227"/>
      <c r="X30" s="230"/>
    </row>
    <row r="31" spans="1:24">
      <c r="A31" s="221"/>
      <c r="B31" s="222"/>
      <c r="C31" s="210"/>
      <c r="D31" s="214"/>
      <c r="E31" s="215"/>
      <c r="F31" s="216"/>
      <c r="G31" s="223"/>
      <c r="H31" s="223"/>
      <c r="I31" s="234"/>
      <c r="J31" s="234"/>
      <c r="K31" s="234"/>
      <c r="L31" s="234"/>
      <c r="M31" s="234"/>
      <c r="N31" s="234"/>
      <c r="O31" s="223"/>
      <c r="P31" s="106"/>
      <c r="Q31" s="236"/>
      <c r="R31" s="227"/>
      <c r="S31" s="227"/>
      <c r="T31" s="227"/>
      <c r="U31" s="227"/>
      <c r="V31" s="227"/>
      <c r="W31" s="227"/>
      <c r="X31" s="230"/>
    </row>
    <row r="32" spans="1:24">
      <c r="A32" s="224"/>
      <c r="B32" s="225"/>
      <c r="C32" s="210"/>
      <c r="D32" s="217"/>
      <c r="E32" s="218"/>
      <c r="F32" s="219"/>
      <c r="G32" s="223"/>
      <c r="H32" s="223"/>
      <c r="I32" s="235"/>
      <c r="J32" s="235"/>
      <c r="K32" s="235"/>
      <c r="L32" s="235"/>
      <c r="M32" s="235"/>
      <c r="N32" s="235"/>
      <c r="O32" s="223"/>
      <c r="P32" s="104"/>
      <c r="Q32" s="237"/>
      <c r="R32" s="228"/>
      <c r="S32" s="228"/>
      <c r="T32" s="228"/>
      <c r="U32" s="228"/>
      <c r="V32" s="228"/>
      <c r="W32" s="228"/>
      <c r="X32" s="231"/>
    </row>
    <row r="33" spans="1:24" ht="14" customHeight="1">
      <c r="A33" s="208"/>
      <c r="B33" s="209"/>
      <c r="C33" s="210"/>
      <c r="D33" s="211"/>
      <c r="E33" s="212"/>
      <c r="F33" s="213"/>
      <c r="G33" s="220"/>
      <c r="H33" s="220"/>
      <c r="I33" s="220"/>
      <c r="J33" s="220"/>
      <c r="K33" s="220"/>
      <c r="L33" s="220"/>
      <c r="M33" s="220"/>
      <c r="N33" s="220"/>
      <c r="O33" s="232"/>
      <c r="P33" s="105"/>
      <c r="Q33" s="248"/>
      <c r="R33" s="229"/>
      <c r="S33" s="226"/>
      <c r="T33" s="226"/>
      <c r="U33" s="226"/>
      <c r="V33" s="226"/>
      <c r="W33" s="226"/>
      <c r="X33" s="229"/>
    </row>
    <row r="34" spans="1:24">
      <c r="A34" s="221"/>
      <c r="B34" s="222"/>
      <c r="C34" s="210"/>
      <c r="D34" s="214"/>
      <c r="E34" s="215"/>
      <c r="F34" s="216"/>
      <c r="G34" s="220"/>
      <c r="H34" s="220"/>
      <c r="I34" s="220"/>
      <c r="J34" s="220"/>
      <c r="K34" s="220"/>
      <c r="L34" s="220"/>
      <c r="M34" s="220"/>
      <c r="N34" s="220"/>
      <c r="O34" s="233"/>
      <c r="P34" s="103"/>
      <c r="Q34" s="248"/>
      <c r="R34" s="230"/>
      <c r="S34" s="227"/>
      <c r="T34" s="227"/>
      <c r="U34" s="227"/>
      <c r="V34" s="227"/>
      <c r="W34" s="227"/>
      <c r="X34" s="230"/>
    </row>
    <row r="35" spans="1:24">
      <c r="A35" s="221"/>
      <c r="B35" s="222"/>
      <c r="C35" s="210"/>
      <c r="D35" s="214"/>
      <c r="E35" s="215"/>
      <c r="F35" s="216"/>
      <c r="G35" s="223"/>
      <c r="H35" s="223"/>
      <c r="I35" s="234"/>
      <c r="J35" s="234"/>
      <c r="K35" s="234"/>
      <c r="L35" s="234"/>
      <c r="M35" s="234"/>
      <c r="N35" s="234"/>
      <c r="O35" s="223"/>
      <c r="P35" s="106"/>
      <c r="Q35" s="236"/>
      <c r="R35" s="230"/>
      <c r="S35" s="227"/>
      <c r="T35" s="227"/>
      <c r="U35" s="227"/>
      <c r="V35" s="227"/>
      <c r="W35" s="227"/>
      <c r="X35" s="230"/>
    </row>
    <row r="36" spans="1:24">
      <c r="A36" s="224"/>
      <c r="B36" s="225"/>
      <c r="C36" s="210"/>
      <c r="D36" s="217"/>
      <c r="E36" s="218"/>
      <c r="F36" s="219"/>
      <c r="G36" s="223"/>
      <c r="H36" s="223"/>
      <c r="I36" s="235"/>
      <c r="J36" s="235"/>
      <c r="K36" s="235"/>
      <c r="L36" s="235"/>
      <c r="M36" s="235"/>
      <c r="N36" s="235"/>
      <c r="O36" s="223"/>
      <c r="P36" s="104"/>
      <c r="Q36" s="237"/>
      <c r="R36" s="231"/>
      <c r="S36" s="228"/>
      <c r="T36" s="228"/>
      <c r="U36" s="228"/>
      <c r="V36" s="228"/>
      <c r="W36" s="228"/>
      <c r="X36" s="231"/>
    </row>
    <row r="37" spans="1:24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</row>
    <row r="38" spans="1:24" ht="15.75" customHeight="1">
      <c r="A38" s="18" t="s">
        <v>58</v>
      </c>
      <c r="B38" s="101">
        <f>N10</f>
        <v>42477</v>
      </c>
      <c r="C38" s="20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 t="s">
        <v>82</v>
      </c>
      <c r="R38" s="18"/>
      <c r="S38" s="18"/>
      <c r="T38" s="18"/>
      <c r="U38" s="3"/>
      <c r="V38" s="3"/>
      <c r="W38" s="3"/>
    </row>
    <row r="39" spans="1:24" ht="18.75" customHeight="1">
      <c r="A39" s="29" t="s">
        <v>59</v>
      </c>
      <c r="B39" s="35" t="s">
        <v>83</v>
      </c>
      <c r="C39" s="31"/>
      <c r="D39" s="31"/>
      <c r="E39" s="31"/>
      <c r="F39" s="31"/>
      <c r="G39" s="31"/>
      <c r="H39" s="96" t="s">
        <v>75</v>
      </c>
      <c r="I39" s="96"/>
      <c r="J39" s="96"/>
      <c r="K39" s="27"/>
      <c r="L39" s="27"/>
      <c r="M39" s="25"/>
      <c r="N39" s="25"/>
      <c r="O39" s="25"/>
      <c r="P39" s="18"/>
      <c r="Q39" s="13" t="s">
        <v>90</v>
      </c>
      <c r="S39" s="18"/>
      <c r="T39" s="18"/>
      <c r="U39" s="3"/>
      <c r="V39" s="3"/>
      <c r="W39" s="3"/>
    </row>
    <row r="40" spans="1:24" ht="14.25" customHeight="1">
      <c r="A40" s="29"/>
      <c r="B40" s="21" t="s">
        <v>62</v>
      </c>
      <c r="C40" s="21"/>
      <c r="D40" s="21"/>
      <c r="E40" s="21"/>
      <c r="F40" s="31"/>
      <c r="G40" s="58"/>
      <c r="H40" s="21" t="s">
        <v>63</v>
      </c>
      <c r="I40" s="58"/>
      <c r="J40" s="21"/>
      <c r="K40" s="21"/>
      <c r="L40" s="24"/>
      <c r="M40" s="24"/>
      <c r="N40" s="24"/>
      <c r="O40" s="25"/>
      <c r="P40" s="17" t="s">
        <v>10</v>
      </c>
      <c r="R40" s="18"/>
      <c r="S40" s="18"/>
      <c r="T40" s="3"/>
      <c r="U40" s="3"/>
      <c r="V40" s="3"/>
    </row>
    <row r="41" spans="1:24" ht="12" customHeight="1">
      <c r="A41" s="17"/>
      <c r="F41" s="23"/>
      <c r="L41" s="95"/>
      <c r="M41" s="18"/>
      <c r="N41" s="18"/>
      <c r="O41" s="18"/>
      <c r="P41" s="18" t="s">
        <v>11</v>
      </c>
      <c r="R41" s="18"/>
      <c r="S41" s="18"/>
      <c r="T41" s="3"/>
      <c r="U41" s="3"/>
      <c r="V41" s="3"/>
    </row>
    <row r="42" spans="1:24" ht="12" customHeight="1">
      <c r="A42" s="17" t="s">
        <v>60</v>
      </c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 t="s">
        <v>12</v>
      </c>
      <c r="R42" s="18"/>
      <c r="S42" s="18"/>
      <c r="T42" s="3"/>
      <c r="U42" s="3"/>
      <c r="V42" s="3"/>
    </row>
    <row r="43" spans="1:24" ht="12" customHeight="1">
      <c r="A43" s="18"/>
      <c r="B43" s="18" t="s">
        <v>61</v>
      </c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25" t="s">
        <v>13</v>
      </c>
      <c r="R43" s="25"/>
      <c r="S43" s="25"/>
      <c r="T43" s="34"/>
      <c r="U43" s="34"/>
      <c r="V43" s="34"/>
    </row>
    <row r="44" spans="1:24" s="19" customFormat="1" ht="16.5" customHeight="1">
      <c r="A44" s="29"/>
      <c r="B44" s="25"/>
      <c r="C44" s="31" t="str">
        <f>C50</f>
        <v>Evankoff LLC</v>
      </c>
      <c r="D44" s="36"/>
      <c r="E44" s="36"/>
      <c r="F44" s="25"/>
      <c r="G44" s="25"/>
      <c r="H44" s="25"/>
      <c r="I44" s="25"/>
      <c r="J44" s="25"/>
      <c r="K44" s="25"/>
      <c r="L44" s="25"/>
      <c r="M44" s="25"/>
      <c r="N44" s="25"/>
      <c r="O44" s="25" t="s">
        <v>64</v>
      </c>
      <c r="P44" s="25"/>
    </row>
    <row r="45" spans="1:24">
      <c r="A45" s="24"/>
      <c r="B45" s="24"/>
      <c r="C45" s="24" t="s">
        <v>65</v>
      </c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5"/>
      <c r="P45" s="25"/>
      <c r="Q45" s="36" t="s">
        <v>16</v>
      </c>
      <c r="S45" s="19"/>
      <c r="T45" s="19"/>
      <c r="U45" s="19"/>
    </row>
    <row r="46" spans="1:24" s="19" customFormat="1" ht="15" thickBot="1">
      <c r="A46" s="31" t="s">
        <v>105</v>
      </c>
      <c r="B46" s="31"/>
      <c r="C46" s="31"/>
      <c r="D46" s="31"/>
      <c r="E46" s="31"/>
      <c r="F46" s="31"/>
      <c r="G46" s="25" t="s">
        <v>67</v>
      </c>
      <c r="H46" s="25"/>
      <c r="I46" s="25"/>
      <c r="J46" s="25"/>
      <c r="K46" s="25"/>
      <c r="L46" s="25"/>
      <c r="M46" s="25"/>
      <c r="N46" s="25"/>
      <c r="O46" s="25"/>
      <c r="P46" s="25"/>
      <c r="Q46" s="25"/>
    </row>
    <row r="47" spans="1:24">
      <c r="A47" s="24"/>
      <c r="B47" s="24" t="s">
        <v>66</v>
      </c>
      <c r="C47" s="24"/>
      <c r="D47" s="24"/>
      <c r="E47" s="24"/>
      <c r="F47" s="24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94"/>
      <c r="R47" s="70" t="s">
        <v>14</v>
      </c>
      <c r="S47" s="71"/>
      <c r="T47" s="72"/>
      <c r="U47" s="37"/>
      <c r="V47" s="73" t="s">
        <v>15</v>
      </c>
      <c r="W47" s="74" t="s">
        <v>93</v>
      </c>
      <c r="X47" s="75"/>
    </row>
    <row r="48" spans="1:24">
      <c r="A48" s="99">
        <f>H10</f>
        <v>42471</v>
      </c>
      <c r="B48" s="26" t="s">
        <v>68</v>
      </c>
      <c r="C48" s="244">
        <f>F7</f>
        <v>42477</v>
      </c>
      <c r="D48" s="244"/>
      <c r="E48" s="98"/>
      <c r="F48" s="33" t="s">
        <v>73</v>
      </c>
      <c r="J48" s="32"/>
      <c r="L48" s="25"/>
      <c r="M48" s="25"/>
      <c r="N48" s="25"/>
      <c r="O48" s="25"/>
      <c r="P48" s="25"/>
      <c r="Q48" s="76"/>
      <c r="R48" s="77"/>
      <c r="S48" s="77"/>
      <c r="T48" s="78"/>
      <c r="U48" s="79"/>
      <c r="V48" s="80"/>
      <c r="W48" s="80"/>
      <c r="X48" s="81"/>
    </row>
    <row r="49" spans="1:24" ht="14.25" customHeight="1" thickBot="1">
      <c r="A49" s="24" t="s">
        <v>74</v>
      </c>
      <c r="B49" s="25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5"/>
      <c r="Q49" s="82"/>
      <c r="R49" s="83"/>
      <c r="S49" s="83"/>
      <c r="T49" s="84"/>
      <c r="U49" s="85"/>
      <c r="V49" s="86"/>
      <c r="W49" s="86"/>
      <c r="X49" s="87"/>
    </row>
    <row r="50" spans="1:24" ht="18.75" customHeight="1">
      <c r="A50" s="25"/>
      <c r="B50" s="25"/>
      <c r="C50" s="31" t="str">
        <f>A5</f>
        <v>Evankoff LLC</v>
      </c>
      <c r="D50" s="25"/>
      <c r="E50" s="25"/>
      <c r="F50" s="25"/>
      <c r="G50" s="25"/>
      <c r="H50" s="25"/>
      <c r="I50" s="25"/>
      <c r="J50" s="25"/>
      <c r="K50" s="25"/>
      <c r="L50" s="25"/>
      <c r="M50" s="25" t="s">
        <v>69</v>
      </c>
      <c r="N50" s="25"/>
      <c r="O50" s="25"/>
      <c r="P50" s="25"/>
      <c r="Q50" s="107" t="s">
        <v>128</v>
      </c>
      <c r="R50" s="108"/>
      <c r="S50" s="240" t="s">
        <v>97</v>
      </c>
      <c r="T50" s="240"/>
      <c r="U50" s="240"/>
      <c r="V50" s="240"/>
      <c r="W50" s="240"/>
      <c r="X50" s="241"/>
    </row>
    <row r="51" spans="1:24">
      <c r="A51" s="24"/>
      <c r="B51" s="24"/>
      <c r="C51" s="24" t="s">
        <v>65</v>
      </c>
      <c r="D51" s="24"/>
      <c r="E51" s="24"/>
      <c r="F51" s="24"/>
      <c r="G51" s="24"/>
      <c r="H51" s="24"/>
      <c r="I51" s="24"/>
      <c r="J51" s="24"/>
      <c r="K51" s="24"/>
      <c r="L51" s="24"/>
      <c r="M51" s="25"/>
      <c r="N51" s="25"/>
      <c r="O51" s="25"/>
      <c r="P51" s="25"/>
      <c r="Q51" s="109" t="s">
        <v>127</v>
      </c>
      <c r="R51" s="110"/>
      <c r="S51" s="242"/>
      <c r="T51" s="242"/>
      <c r="U51" s="242"/>
      <c r="V51" s="242"/>
      <c r="W51" s="242"/>
      <c r="X51" s="243"/>
    </row>
    <row r="52" spans="1:24" ht="12.75" customHeight="1" thickBot="1">
      <c r="A52" s="25" t="s">
        <v>70</v>
      </c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39"/>
      <c r="R52" s="88"/>
      <c r="S52" s="88"/>
      <c r="T52" s="89"/>
      <c r="U52" s="41"/>
      <c r="V52" s="40"/>
      <c r="W52" s="40"/>
      <c r="X52" s="42"/>
    </row>
    <row r="53" spans="1:24" ht="12.75" customHeight="1">
      <c r="A53" s="25" t="s">
        <v>71</v>
      </c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107" t="s">
        <v>128</v>
      </c>
      <c r="R53" s="108"/>
      <c r="S53" s="240" t="s">
        <v>95</v>
      </c>
      <c r="T53" s="240"/>
      <c r="U53" s="240"/>
      <c r="V53" s="240"/>
      <c r="W53" s="240"/>
      <c r="X53" s="241"/>
    </row>
    <row r="54" spans="1:24" ht="12.75" customHeight="1">
      <c r="A54" s="25" t="s">
        <v>72</v>
      </c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109" t="s">
        <v>127</v>
      </c>
      <c r="R54" s="110"/>
      <c r="S54" s="242"/>
      <c r="T54" s="242"/>
      <c r="U54" s="242"/>
      <c r="V54" s="242"/>
      <c r="W54" s="242"/>
      <c r="X54" s="243"/>
    </row>
    <row r="55" spans="1:24" ht="12.75" customHeight="1" thickBot="1">
      <c r="A55" s="25" t="s">
        <v>0</v>
      </c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53"/>
      <c r="R55" s="54"/>
      <c r="S55" s="54"/>
      <c r="T55" s="54"/>
      <c r="U55" s="55"/>
      <c r="V55" s="10"/>
      <c r="W55" s="10"/>
      <c r="X55" s="56"/>
    </row>
    <row r="56" spans="1:24" ht="18" customHeight="1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48"/>
      <c r="R56" s="49"/>
      <c r="S56" s="49"/>
      <c r="T56" s="49"/>
      <c r="U56" s="50"/>
      <c r="V56" s="51"/>
      <c r="W56" s="51"/>
      <c r="X56" s="52"/>
    </row>
    <row r="57" spans="1:24" ht="18" customHeight="1" thickBot="1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5"/>
      <c r="Q57" s="53"/>
      <c r="R57" s="54"/>
      <c r="S57" s="54"/>
      <c r="T57" s="54"/>
      <c r="U57" s="55"/>
      <c r="V57" s="10"/>
      <c r="W57" s="10"/>
      <c r="X57" s="56"/>
    </row>
    <row r="58" spans="1:24" ht="18" customHeight="1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5"/>
      <c r="Q58" s="48"/>
      <c r="R58" s="49"/>
      <c r="S58" s="49"/>
      <c r="T58" s="49"/>
      <c r="U58" s="50"/>
      <c r="V58" s="51"/>
      <c r="W58" s="51"/>
      <c r="X58" s="52"/>
    </row>
    <row r="59" spans="1:24" ht="21" customHeight="1" thickBot="1">
      <c r="A59" s="24"/>
      <c r="B59" s="28" t="s">
        <v>2</v>
      </c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5"/>
      <c r="Q59" s="53"/>
      <c r="R59" s="54"/>
      <c r="S59" s="54"/>
      <c r="T59" s="54"/>
      <c r="U59" s="55"/>
      <c r="V59" s="10"/>
      <c r="W59" s="10"/>
      <c r="X59" s="56"/>
    </row>
    <row r="60" spans="1:24" ht="12" customHeight="1">
      <c r="A60" s="30" t="s">
        <v>3</v>
      </c>
      <c r="B60" s="30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5"/>
      <c r="Q60" s="48" t="s">
        <v>17</v>
      </c>
      <c r="R60" s="49"/>
      <c r="S60" s="49"/>
      <c r="T60" s="49"/>
      <c r="U60" s="49"/>
      <c r="V60" s="51"/>
      <c r="W60" s="51"/>
      <c r="X60" s="52"/>
    </row>
    <row r="61" spans="1:24" ht="12" customHeight="1">
      <c r="A61" s="27" t="s">
        <v>4</v>
      </c>
      <c r="B61" s="30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5"/>
      <c r="Q61" s="111" t="s">
        <v>96</v>
      </c>
      <c r="R61" s="44"/>
      <c r="S61" s="44"/>
      <c r="T61" s="44"/>
      <c r="U61" s="44"/>
      <c r="V61" s="46"/>
      <c r="W61" s="46"/>
      <c r="X61" s="47"/>
    </row>
    <row r="62" spans="1:24" ht="12" customHeight="1">
      <c r="A62" s="27" t="s">
        <v>5</v>
      </c>
      <c r="B62" s="30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5"/>
      <c r="Q62" s="121"/>
      <c r="R62" s="122"/>
      <c r="S62" s="44"/>
      <c r="T62" s="44"/>
      <c r="U62" s="44"/>
      <c r="V62" s="46"/>
      <c r="W62" s="46"/>
      <c r="X62" s="47"/>
    </row>
    <row r="63" spans="1:24" ht="12" customHeight="1">
      <c r="A63" s="27"/>
      <c r="B63" s="30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5"/>
      <c r="Q63" s="121"/>
      <c r="R63" s="122"/>
      <c r="S63" s="44"/>
      <c r="T63" s="44"/>
      <c r="U63" s="44"/>
      <c r="V63" s="46"/>
      <c r="W63" s="46"/>
      <c r="X63" s="47"/>
    </row>
    <row r="64" spans="1:24" ht="12" customHeight="1">
      <c r="A64" s="29" t="s">
        <v>7</v>
      </c>
      <c r="B64" s="29" t="s">
        <v>6</v>
      </c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121"/>
      <c r="R64" s="122"/>
      <c r="S64" s="44"/>
      <c r="T64" s="44"/>
      <c r="U64" s="44"/>
      <c r="V64" s="46"/>
      <c r="W64" s="46"/>
      <c r="X64" s="47"/>
    </row>
    <row r="65" spans="1:24" ht="12" customHeight="1">
      <c r="A65" s="25" t="s">
        <v>8</v>
      </c>
      <c r="B65" s="29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43"/>
      <c r="R65" s="44"/>
      <c r="S65" s="44"/>
      <c r="T65" s="44"/>
      <c r="U65" s="44"/>
      <c r="V65" s="46"/>
      <c r="W65" s="46"/>
      <c r="X65" s="47"/>
    </row>
    <row r="66" spans="1:24" ht="12" customHeight="1">
      <c r="A66" s="25" t="s">
        <v>9</v>
      </c>
      <c r="B66" s="29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43"/>
      <c r="R66" s="44"/>
      <c r="S66" s="44"/>
      <c r="T66" s="44"/>
      <c r="U66" s="44"/>
      <c r="V66" s="46"/>
      <c r="W66" s="46"/>
      <c r="X66" s="47"/>
    </row>
    <row r="67" spans="1:24" ht="12" customHeight="1" thickBot="1">
      <c r="A67" s="25"/>
      <c r="B67" s="29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53"/>
      <c r="R67" s="54"/>
      <c r="S67" s="54"/>
      <c r="T67" s="54"/>
      <c r="U67" s="54"/>
      <c r="V67" s="10"/>
      <c r="W67" s="10"/>
      <c r="X67" s="56"/>
    </row>
    <row r="68" spans="1:24" ht="12" customHeight="1">
      <c r="A68" s="25"/>
      <c r="B68" s="25" t="s">
        <v>57</v>
      </c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</row>
    <row r="69" spans="1:24" ht="12" customHeight="1">
      <c r="A69" s="25"/>
      <c r="B69" s="25" t="s">
        <v>1</v>
      </c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12" t="s">
        <v>50</v>
      </c>
      <c r="R69" s="22"/>
      <c r="S69" s="22"/>
      <c r="T69" s="67"/>
      <c r="U69" s="57" t="s">
        <v>51</v>
      </c>
      <c r="V69" s="58"/>
      <c r="W69" s="58"/>
      <c r="X69" s="59"/>
    </row>
    <row r="70" spans="1:24" ht="11.25" customHeight="1">
      <c r="A70" s="25"/>
      <c r="B70" s="25" t="s">
        <v>81</v>
      </c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63"/>
      <c r="T70" s="68"/>
      <c r="U70" s="61"/>
      <c r="V70" s="38"/>
      <c r="W70" s="38"/>
      <c r="X70" s="60"/>
    </row>
    <row r="71" spans="1:24" ht="13.5" customHeight="1">
      <c r="A71" s="25"/>
      <c r="B71" s="97" t="s">
        <v>80</v>
      </c>
      <c r="C71" s="29" t="s">
        <v>76</v>
      </c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93" t="str">
        <f>B39</f>
        <v>Eric Coffie</v>
      </c>
      <c r="R71" s="90"/>
      <c r="S71" s="90" t="str">
        <f>H39</f>
        <v>President</v>
      </c>
      <c r="T71" s="68"/>
      <c r="U71" s="61"/>
      <c r="V71" s="38"/>
      <c r="W71" s="38"/>
      <c r="X71" s="60"/>
    </row>
    <row r="72" spans="1:24" ht="10.5" customHeight="1">
      <c r="A72" s="19"/>
      <c r="B72" s="25"/>
      <c r="C72" s="25" t="s">
        <v>77</v>
      </c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19"/>
      <c r="Q72" s="91"/>
      <c r="R72" s="92"/>
      <c r="S72" s="92"/>
      <c r="T72" s="69"/>
      <c r="U72" s="62"/>
      <c r="V72" s="116"/>
      <c r="W72" s="116"/>
      <c r="X72" s="117"/>
    </row>
    <row r="73" spans="1:24" ht="10.5" customHeight="1">
      <c r="A73" s="19"/>
      <c r="B73" s="19"/>
      <c r="C73" s="25" t="s">
        <v>78</v>
      </c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</row>
    <row r="74" spans="1:24" ht="10.5" customHeight="1">
      <c r="B74" s="19"/>
      <c r="C74" s="25" t="s">
        <v>79</v>
      </c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Q74" s="64" t="s">
        <v>86</v>
      </c>
      <c r="R74" s="58"/>
      <c r="S74" s="58"/>
      <c r="T74" s="58"/>
      <c r="U74" s="58"/>
      <c r="V74" s="58"/>
      <c r="W74" s="58"/>
      <c r="X74" s="59"/>
    </row>
    <row r="75" spans="1:24" ht="10.5" customHeight="1">
      <c r="Q75" s="66" t="s">
        <v>87</v>
      </c>
      <c r="R75" s="38"/>
      <c r="S75" s="38"/>
      <c r="T75" s="38"/>
      <c r="U75" s="38"/>
      <c r="V75" s="38"/>
      <c r="W75" s="38"/>
      <c r="X75" s="60"/>
    </row>
    <row r="76" spans="1:24" ht="10.5" customHeight="1">
      <c r="Q76" s="66" t="s">
        <v>88</v>
      </c>
      <c r="R76" s="38"/>
      <c r="S76" s="38"/>
      <c r="T76" s="38"/>
      <c r="U76" s="38"/>
      <c r="V76" s="38"/>
      <c r="W76" s="38"/>
      <c r="X76" s="60"/>
    </row>
    <row r="77" spans="1:24" ht="10.5" customHeight="1">
      <c r="Q77" s="65" t="s">
        <v>89</v>
      </c>
      <c r="R77" s="116"/>
      <c r="S77" s="116"/>
      <c r="T77" s="116"/>
      <c r="U77" s="116"/>
      <c r="V77" s="116"/>
      <c r="W77" s="116"/>
      <c r="X77" s="117"/>
    </row>
  </sheetData>
  <mergeCells count="235">
    <mergeCell ref="A1:D3"/>
    <mergeCell ref="F1:U3"/>
    <mergeCell ref="A4:C4"/>
    <mergeCell ref="D4:G4"/>
    <mergeCell ref="H4:N4"/>
    <mergeCell ref="O4:V4"/>
    <mergeCell ref="W4:X5"/>
    <mergeCell ref="A5:N5"/>
    <mergeCell ref="O5:V5"/>
    <mergeCell ref="A6:D6"/>
    <mergeCell ref="F6:N6"/>
    <mergeCell ref="A7:D7"/>
    <mergeCell ref="F7:N7"/>
    <mergeCell ref="O7:S7"/>
    <mergeCell ref="T7:X7"/>
    <mergeCell ref="A8:B8"/>
    <mergeCell ref="D8:F8"/>
    <mergeCell ref="G8:G12"/>
    <mergeCell ref="H8:N8"/>
    <mergeCell ref="R8:W9"/>
    <mergeCell ref="X8:X12"/>
    <mergeCell ref="A9:B12"/>
    <mergeCell ref="C9:C12"/>
    <mergeCell ref="D9:F12"/>
    <mergeCell ref="O10:O12"/>
    <mergeCell ref="V10:V12"/>
    <mergeCell ref="W10:W12"/>
    <mergeCell ref="H12:N12"/>
    <mergeCell ref="A13:B13"/>
    <mergeCell ref="C13:C16"/>
    <mergeCell ref="D13:F16"/>
    <mergeCell ref="G13:G14"/>
    <mergeCell ref="H13:H14"/>
    <mergeCell ref="I13:I14"/>
    <mergeCell ref="J13:J14"/>
    <mergeCell ref="P10:P12"/>
    <mergeCell ref="Q10:Q12"/>
    <mergeCell ref="R10:R12"/>
    <mergeCell ref="S10:S12"/>
    <mergeCell ref="T10:T12"/>
    <mergeCell ref="U10:U12"/>
    <mergeCell ref="X13:X16"/>
    <mergeCell ref="A14:B14"/>
    <mergeCell ref="A15:B15"/>
    <mergeCell ref="G15:G16"/>
    <mergeCell ref="H15:H16"/>
    <mergeCell ref="I15:I16"/>
    <mergeCell ref="J15:J16"/>
    <mergeCell ref="K15:K16"/>
    <mergeCell ref="L15:L16"/>
    <mergeCell ref="M15:M16"/>
    <mergeCell ref="R13:R16"/>
    <mergeCell ref="S13:S16"/>
    <mergeCell ref="T13:T16"/>
    <mergeCell ref="U13:U16"/>
    <mergeCell ref="V13:V16"/>
    <mergeCell ref="W13:W16"/>
    <mergeCell ref="K13:K14"/>
    <mergeCell ref="L13:L14"/>
    <mergeCell ref="M13:M14"/>
    <mergeCell ref="N13:N14"/>
    <mergeCell ref="O13:O14"/>
    <mergeCell ref="Q13:Q14"/>
    <mergeCell ref="N15:N16"/>
    <mergeCell ref="O15:O16"/>
    <mergeCell ref="Q15:Q16"/>
    <mergeCell ref="A16:B16"/>
    <mergeCell ref="A17:B17"/>
    <mergeCell ref="C17:C20"/>
    <mergeCell ref="D17:F20"/>
    <mergeCell ref="G17:G18"/>
    <mergeCell ref="H17:H18"/>
    <mergeCell ref="I17:I18"/>
    <mergeCell ref="W17:W20"/>
    <mergeCell ref="X17:X20"/>
    <mergeCell ref="A18:B18"/>
    <mergeCell ref="A19:B19"/>
    <mergeCell ref="G19:G20"/>
    <mergeCell ref="H19:H20"/>
    <mergeCell ref="I19:I20"/>
    <mergeCell ref="J19:J20"/>
    <mergeCell ref="K19:K20"/>
    <mergeCell ref="L19:L20"/>
    <mergeCell ref="Q17:Q18"/>
    <mergeCell ref="R17:R20"/>
    <mergeCell ref="S17:S20"/>
    <mergeCell ref="T17:T20"/>
    <mergeCell ref="U17:U20"/>
    <mergeCell ref="V17:V20"/>
    <mergeCell ref="J17:J18"/>
    <mergeCell ref="K17:K18"/>
    <mergeCell ref="L17:L18"/>
    <mergeCell ref="M17:M18"/>
    <mergeCell ref="N17:N18"/>
    <mergeCell ref="O17:O18"/>
    <mergeCell ref="K21:K22"/>
    <mergeCell ref="L21:L22"/>
    <mergeCell ref="M21:M22"/>
    <mergeCell ref="N21:N22"/>
    <mergeCell ref="M19:M20"/>
    <mergeCell ref="N19:N20"/>
    <mergeCell ref="O19:O20"/>
    <mergeCell ref="Q19:Q20"/>
    <mergeCell ref="A20:B20"/>
    <mergeCell ref="A21:B21"/>
    <mergeCell ref="C21:C24"/>
    <mergeCell ref="D21:F24"/>
    <mergeCell ref="G21:G22"/>
    <mergeCell ref="H21:H22"/>
    <mergeCell ref="L23:L24"/>
    <mergeCell ref="M23:M24"/>
    <mergeCell ref="N23:N24"/>
    <mergeCell ref="O23:O24"/>
    <mergeCell ref="Q23:Q24"/>
    <mergeCell ref="A24:B24"/>
    <mergeCell ref="V21:V24"/>
    <mergeCell ref="W21:W24"/>
    <mergeCell ref="X21:X24"/>
    <mergeCell ref="A22:B22"/>
    <mergeCell ref="A23:B23"/>
    <mergeCell ref="G23:G24"/>
    <mergeCell ref="H23:H24"/>
    <mergeCell ref="I23:I24"/>
    <mergeCell ref="J23:J24"/>
    <mergeCell ref="K23:K24"/>
    <mergeCell ref="O21:O22"/>
    <mergeCell ref="Q21:Q22"/>
    <mergeCell ref="R21:R24"/>
    <mergeCell ref="S21:S24"/>
    <mergeCell ref="T21:T24"/>
    <mergeCell ref="U21:U24"/>
    <mergeCell ref="I21:I22"/>
    <mergeCell ref="J21:J22"/>
    <mergeCell ref="W25:W28"/>
    <mergeCell ref="X25:X28"/>
    <mergeCell ref="A26:B26"/>
    <mergeCell ref="A27:B27"/>
    <mergeCell ref="G27:G28"/>
    <mergeCell ref="H27:H28"/>
    <mergeCell ref="I27:I28"/>
    <mergeCell ref="J27:J28"/>
    <mergeCell ref="K27:K28"/>
    <mergeCell ref="L27:L28"/>
    <mergeCell ref="Q25:Q26"/>
    <mergeCell ref="R25:R28"/>
    <mergeCell ref="S25:S28"/>
    <mergeCell ref="T25:T28"/>
    <mergeCell ref="U25:U28"/>
    <mergeCell ref="V25:V28"/>
    <mergeCell ref="J25:J26"/>
    <mergeCell ref="K25:K26"/>
    <mergeCell ref="L25:L26"/>
    <mergeCell ref="M25:M26"/>
    <mergeCell ref="N25:N26"/>
    <mergeCell ref="O25:O26"/>
    <mergeCell ref="A25:B25"/>
    <mergeCell ref="C25:C28"/>
    <mergeCell ref="K29:K30"/>
    <mergeCell ref="L29:L30"/>
    <mergeCell ref="M29:M30"/>
    <mergeCell ref="N29:N30"/>
    <mergeCell ref="M27:M28"/>
    <mergeCell ref="N27:N28"/>
    <mergeCell ref="O27:O28"/>
    <mergeCell ref="Q27:Q28"/>
    <mergeCell ref="A28:B28"/>
    <mergeCell ref="A29:B29"/>
    <mergeCell ref="C29:C32"/>
    <mergeCell ref="D29:F32"/>
    <mergeCell ref="G29:G30"/>
    <mergeCell ref="H29:H30"/>
    <mergeCell ref="D25:F28"/>
    <mergeCell ref="G25:G26"/>
    <mergeCell ref="H25:H26"/>
    <mergeCell ref="I25:I26"/>
    <mergeCell ref="L31:L32"/>
    <mergeCell ref="M31:M32"/>
    <mergeCell ref="N31:N32"/>
    <mergeCell ref="O31:O32"/>
    <mergeCell ref="Q31:Q32"/>
    <mergeCell ref="A32:B32"/>
    <mergeCell ref="V29:V32"/>
    <mergeCell ref="W29:W32"/>
    <mergeCell ref="X29:X32"/>
    <mergeCell ref="A30:B30"/>
    <mergeCell ref="A31:B31"/>
    <mergeCell ref="G31:G32"/>
    <mergeCell ref="H31:H32"/>
    <mergeCell ref="I31:I32"/>
    <mergeCell ref="J31:J32"/>
    <mergeCell ref="K31:K32"/>
    <mergeCell ref="O29:O30"/>
    <mergeCell ref="Q29:Q30"/>
    <mergeCell ref="R29:R32"/>
    <mergeCell ref="S29:S32"/>
    <mergeCell ref="T29:T32"/>
    <mergeCell ref="U29:U32"/>
    <mergeCell ref="I29:I30"/>
    <mergeCell ref="J29:J30"/>
    <mergeCell ref="J33:J34"/>
    <mergeCell ref="K33:K34"/>
    <mergeCell ref="L33:L34"/>
    <mergeCell ref="M33:M34"/>
    <mergeCell ref="N33:N34"/>
    <mergeCell ref="O33:O34"/>
    <mergeCell ref="A33:B33"/>
    <mergeCell ref="C33:C36"/>
    <mergeCell ref="D33:F36"/>
    <mergeCell ref="G33:G34"/>
    <mergeCell ref="H33:H34"/>
    <mergeCell ref="I33:I34"/>
    <mergeCell ref="S50:X51"/>
    <mergeCell ref="S53:X54"/>
    <mergeCell ref="M35:M36"/>
    <mergeCell ref="N35:N36"/>
    <mergeCell ref="O35:O36"/>
    <mergeCell ref="Q35:Q36"/>
    <mergeCell ref="A36:B36"/>
    <mergeCell ref="C48:D48"/>
    <mergeCell ref="W33:W36"/>
    <mergeCell ref="X33:X36"/>
    <mergeCell ref="A34:B34"/>
    <mergeCell ref="A35:B35"/>
    <mergeCell ref="G35:G36"/>
    <mergeCell ref="H35:H36"/>
    <mergeCell ref="I35:I36"/>
    <mergeCell ref="J35:J36"/>
    <mergeCell ref="K35:K36"/>
    <mergeCell ref="L35:L36"/>
    <mergeCell ref="Q33:Q34"/>
    <mergeCell ref="R33:R36"/>
    <mergeCell ref="S33:S36"/>
    <mergeCell ref="T33:T36"/>
    <mergeCell ref="U33:U36"/>
    <mergeCell ref="V33:V36"/>
  </mergeCells>
  <phoneticPr fontId="11" type="noConversion"/>
  <pageMargins left="0.7" right="0.7" top="0.75" bottom="0.75" header="0.3" footer="0.3"/>
  <pageSetup scale="77" orientation="landscape" horizontalDpi="4294967292" verticalDpi="4294967292"/>
  <rowBreaks count="1" manualBreakCount="1">
    <brk id="36" max="16383" man="1"/>
  </rowBreaks>
  <colBreaks count="1" manualBreakCount="1">
    <brk id="24" max="1048575" man="1"/>
  </colBreaks>
  <drawing r:id="rId1"/>
  <extLst>
    <ext xmlns:mx="http://schemas.microsoft.com/office/mac/excel/2008/main" uri="{64002731-A6B0-56B0-2670-7721B7C09600}">
      <mx:PLV Mode="1" OnePage="0" WScale="77"/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77"/>
  <sheetViews>
    <sheetView tabSelected="1" view="pageLayout" zoomScaleNormal="125" zoomScalePageLayoutView="125" workbookViewId="0">
      <selection activeCell="S17" sqref="S17:S20"/>
    </sheetView>
  </sheetViews>
  <sheetFormatPr baseColWidth="10" defaultColWidth="8.83203125" defaultRowHeight="14" x14ac:dyDescent="0"/>
  <cols>
    <col min="1" max="1" width="10.33203125" customWidth="1"/>
    <col min="2" max="2" width="11.1640625" customWidth="1"/>
    <col min="3" max="3" width="5" customWidth="1"/>
    <col min="4" max="4" width="5.1640625" customWidth="1"/>
    <col min="5" max="5" width="4.6640625" customWidth="1"/>
    <col min="6" max="6" width="4.83203125" customWidth="1"/>
    <col min="7" max="7" width="3.6640625" customWidth="1"/>
    <col min="8" max="8" width="5" customWidth="1"/>
    <col min="9" max="9" width="4.6640625" customWidth="1"/>
    <col min="10" max="11" width="5.33203125" customWidth="1"/>
    <col min="12" max="12" width="4.83203125" customWidth="1"/>
    <col min="13" max="13" width="5.5" customWidth="1"/>
    <col min="14" max="14" width="5.1640625" customWidth="1"/>
    <col min="16" max="17" width="9.83203125" bestFit="1" customWidth="1"/>
    <col min="18" max="18" width="7.6640625" customWidth="1"/>
    <col min="19" max="19" width="9.5" customWidth="1"/>
    <col min="20" max="20" width="6" hidden="1" customWidth="1"/>
    <col min="21" max="21" width="4.33203125" hidden="1" customWidth="1"/>
    <col min="22" max="22" width="7.6640625" hidden="1" customWidth="1"/>
    <col min="23" max="23" width="9.33203125" customWidth="1"/>
    <col min="24" max="24" width="12.6640625" customWidth="1"/>
  </cols>
  <sheetData>
    <row r="1" spans="1:24" ht="15" customHeight="1">
      <c r="A1" s="149" t="s">
        <v>22</v>
      </c>
      <c r="B1" s="149"/>
      <c r="C1" s="149"/>
      <c r="D1" s="149"/>
      <c r="E1" s="143"/>
      <c r="F1" s="151" t="s">
        <v>55</v>
      </c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9"/>
      <c r="W1" s="9"/>
      <c r="X1" s="9"/>
    </row>
    <row r="2" spans="1:24">
      <c r="A2" s="149"/>
      <c r="B2" s="149"/>
      <c r="C2" s="149"/>
      <c r="D2" s="149"/>
      <c r="E2" s="143"/>
      <c r="F2" s="151"/>
      <c r="G2" s="151"/>
      <c r="H2" s="151"/>
      <c r="I2" s="151"/>
      <c r="J2" s="151"/>
      <c r="K2" s="151"/>
      <c r="L2" s="151"/>
      <c r="M2" s="151"/>
      <c r="N2" s="151"/>
      <c r="O2" s="151"/>
      <c r="P2" s="151"/>
      <c r="Q2" s="151"/>
      <c r="R2" s="151"/>
      <c r="S2" s="151"/>
      <c r="T2" s="151"/>
      <c r="U2" s="151"/>
      <c r="V2" s="9"/>
      <c r="W2" s="9"/>
      <c r="X2" s="9"/>
    </row>
    <row r="3" spans="1:24" ht="15" customHeight="1" thickBot="1">
      <c r="A3" s="150"/>
      <c r="B3" s="150"/>
      <c r="C3" s="150"/>
      <c r="D3" s="150"/>
      <c r="E3" s="144"/>
      <c r="F3" s="152"/>
      <c r="G3" s="152"/>
      <c r="H3" s="152"/>
      <c r="I3" s="152"/>
      <c r="J3" s="152"/>
      <c r="K3" s="152"/>
      <c r="L3" s="152"/>
      <c r="M3" s="152"/>
      <c r="N3" s="152"/>
      <c r="O3" s="152"/>
      <c r="P3" s="152"/>
      <c r="Q3" s="152"/>
      <c r="R3" s="152"/>
      <c r="S3" s="152"/>
      <c r="T3" s="152"/>
      <c r="U3" s="152"/>
      <c r="V3" s="10"/>
      <c r="W3" s="10"/>
      <c r="X3" s="10"/>
    </row>
    <row r="4" spans="1:24" s="11" customFormat="1">
      <c r="A4" s="153" t="s">
        <v>56</v>
      </c>
      <c r="B4" s="154"/>
      <c r="C4" s="154"/>
      <c r="D4" s="154" t="s">
        <v>52</v>
      </c>
      <c r="E4" s="154"/>
      <c r="F4" s="154"/>
      <c r="G4" s="154"/>
      <c r="H4" s="155"/>
      <c r="I4" s="155"/>
      <c r="J4" s="155"/>
      <c r="K4" s="155"/>
      <c r="L4" s="155"/>
      <c r="M4" s="155"/>
      <c r="N4" s="156"/>
      <c r="O4" s="157" t="s">
        <v>126</v>
      </c>
      <c r="P4" s="158"/>
      <c r="Q4" s="158"/>
      <c r="R4" s="158"/>
      <c r="S4" s="158"/>
      <c r="T4" s="158"/>
      <c r="U4" s="158"/>
      <c r="V4" s="158"/>
      <c r="W4" s="159"/>
      <c r="X4" s="160"/>
    </row>
    <row r="5" spans="1:24" s="1" customFormat="1" ht="12">
      <c r="A5" s="163" t="s">
        <v>125</v>
      </c>
      <c r="B5" s="164"/>
      <c r="C5" s="164"/>
      <c r="D5" s="164"/>
      <c r="E5" s="164"/>
      <c r="F5" s="164"/>
      <c r="G5" s="164"/>
      <c r="H5" s="164"/>
      <c r="I5" s="164"/>
      <c r="J5" s="164"/>
      <c r="K5" s="164"/>
      <c r="L5" s="164"/>
      <c r="M5" s="164"/>
      <c r="N5" s="165"/>
      <c r="O5" s="166" t="s">
        <v>108</v>
      </c>
      <c r="P5" s="167"/>
      <c r="Q5" s="167"/>
      <c r="R5" s="167"/>
      <c r="S5" s="167"/>
      <c r="T5" s="167"/>
      <c r="U5" s="167"/>
      <c r="V5" s="167"/>
      <c r="W5" s="161"/>
      <c r="X5" s="162"/>
    </row>
    <row r="6" spans="1:24" s="13" customFormat="1" ht="11">
      <c r="A6" s="168" t="s">
        <v>18</v>
      </c>
      <c r="B6" s="169"/>
      <c r="C6" s="169"/>
      <c r="D6" s="170"/>
      <c r="E6" s="115"/>
      <c r="F6" s="168" t="s">
        <v>19</v>
      </c>
      <c r="G6" s="169"/>
      <c r="H6" s="169"/>
      <c r="I6" s="169"/>
      <c r="J6" s="169"/>
      <c r="K6" s="169"/>
      <c r="L6" s="169"/>
      <c r="M6" s="169"/>
      <c r="N6" s="170"/>
      <c r="O6" s="102" t="s">
        <v>20</v>
      </c>
      <c r="P6" s="15"/>
      <c r="Q6" s="15"/>
      <c r="R6" s="15"/>
      <c r="S6" s="102" t="s">
        <v>91</v>
      </c>
      <c r="T6" s="15" t="s">
        <v>21</v>
      </c>
      <c r="U6" s="15"/>
      <c r="V6" s="15"/>
      <c r="X6" s="16"/>
    </row>
    <row r="7" spans="1:24" s="1" customFormat="1" ht="16.5" customHeight="1">
      <c r="A7" s="171">
        <v>15</v>
      </c>
      <c r="B7" s="172"/>
      <c r="C7" s="172"/>
      <c r="D7" s="173"/>
      <c r="E7" s="145"/>
      <c r="F7" s="174">
        <v>42484</v>
      </c>
      <c r="G7" s="175"/>
      <c r="H7" s="175"/>
      <c r="I7" s="175"/>
      <c r="J7" s="175"/>
      <c r="K7" s="175"/>
      <c r="L7" s="175"/>
      <c r="M7" s="175"/>
      <c r="N7" s="176"/>
      <c r="O7" s="166" t="s">
        <v>107</v>
      </c>
      <c r="P7" s="167"/>
      <c r="Q7" s="167"/>
      <c r="R7" s="167"/>
      <c r="S7" s="167"/>
      <c r="T7" s="167" t="s">
        <v>109</v>
      </c>
      <c r="U7" s="167"/>
      <c r="V7" s="167"/>
      <c r="W7" s="167"/>
      <c r="X7" s="177"/>
    </row>
    <row r="8" spans="1:24" s="2" customFormat="1" ht="11.25" customHeight="1">
      <c r="A8" s="178" t="s">
        <v>23</v>
      </c>
      <c r="B8" s="179"/>
      <c r="C8" s="7" t="s">
        <v>24</v>
      </c>
      <c r="D8" s="178" t="s">
        <v>25</v>
      </c>
      <c r="E8" s="180"/>
      <c r="F8" s="179"/>
      <c r="G8" s="181" t="s">
        <v>29</v>
      </c>
      <c r="H8" s="184" t="s">
        <v>54</v>
      </c>
      <c r="I8" s="185"/>
      <c r="J8" s="185"/>
      <c r="K8" s="185"/>
      <c r="L8" s="185"/>
      <c r="M8" s="185"/>
      <c r="N8" s="186"/>
      <c r="O8" s="7" t="s">
        <v>30</v>
      </c>
      <c r="P8" s="7" t="s">
        <v>31</v>
      </c>
      <c r="Q8" s="7" t="s">
        <v>32</v>
      </c>
      <c r="R8" s="187" t="s">
        <v>33</v>
      </c>
      <c r="S8" s="187"/>
      <c r="T8" s="187"/>
      <c r="U8" s="187"/>
      <c r="V8" s="187"/>
      <c r="W8" s="187"/>
      <c r="X8" s="187" t="s">
        <v>53</v>
      </c>
    </row>
    <row r="9" spans="1:24" ht="17.25" customHeight="1">
      <c r="A9" s="188" t="s">
        <v>26</v>
      </c>
      <c r="B9" s="189"/>
      <c r="C9" s="192" t="s">
        <v>27</v>
      </c>
      <c r="D9" s="194" t="s">
        <v>28</v>
      </c>
      <c r="E9" s="195"/>
      <c r="F9" s="196"/>
      <c r="G9" s="182"/>
      <c r="H9" s="132" t="s">
        <v>36</v>
      </c>
      <c r="I9" s="133" t="s">
        <v>37</v>
      </c>
      <c r="J9" s="133" t="s">
        <v>38</v>
      </c>
      <c r="K9" s="133" t="s">
        <v>111</v>
      </c>
      <c r="L9" s="133" t="s">
        <v>39</v>
      </c>
      <c r="M9" s="133" t="s">
        <v>41</v>
      </c>
      <c r="N9" s="133" t="s">
        <v>42</v>
      </c>
      <c r="O9" s="6"/>
      <c r="P9" s="8"/>
      <c r="Q9" s="8"/>
      <c r="R9" s="187"/>
      <c r="S9" s="187"/>
      <c r="T9" s="187"/>
      <c r="U9" s="187"/>
      <c r="V9" s="187"/>
      <c r="W9" s="187"/>
      <c r="X9" s="187"/>
    </row>
    <row r="10" spans="1:24" ht="19.5" customHeight="1">
      <c r="A10" s="188"/>
      <c r="B10" s="189"/>
      <c r="C10" s="192"/>
      <c r="D10" s="194"/>
      <c r="E10" s="195"/>
      <c r="F10" s="196"/>
      <c r="G10" s="182"/>
      <c r="H10" s="100">
        <f t="shared" ref="H10:L10" si="0">I10-1</f>
        <v>42478</v>
      </c>
      <c r="I10" s="100">
        <f t="shared" si="0"/>
        <v>42479</v>
      </c>
      <c r="J10" s="100">
        <f t="shared" si="0"/>
        <v>42480</v>
      </c>
      <c r="K10" s="100">
        <f t="shared" si="0"/>
        <v>42481</v>
      </c>
      <c r="L10" s="100">
        <f t="shared" si="0"/>
        <v>42482</v>
      </c>
      <c r="M10" s="100">
        <f>N10-1</f>
        <v>42483</v>
      </c>
      <c r="N10" s="100">
        <f>F7</f>
        <v>42484</v>
      </c>
      <c r="O10" s="200" t="s">
        <v>46</v>
      </c>
      <c r="P10" s="200" t="s">
        <v>47</v>
      </c>
      <c r="Q10" s="200" t="s">
        <v>48</v>
      </c>
      <c r="R10" s="206" t="s">
        <v>44</v>
      </c>
      <c r="S10" s="206" t="s">
        <v>45</v>
      </c>
      <c r="T10" s="207"/>
      <c r="U10" s="207"/>
      <c r="V10" s="202" t="s">
        <v>35</v>
      </c>
      <c r="W10" s="203" t="s">
        <v>34</v>
      </c>
      <c r="X10" s="187"/>
    </row>
    <row r="11" spans="1:24" ht="18.75" hidden="1" customHeight="1">
      <c r="A11" s="188"/>
      <c r="B11" s="189"/>
      <c r="C11" s="192"/>
      <c r="D11" s="194"/>
      <c r="E11" s="195"/>
      <c r="F11" s="196"/>
      <c r="G11" s="182"/>
      <c r="H11" s="5"/>
      <c r="I11" s="4"/>
      <c r="J11" s="4"/>
      <c r="K11" s="4"/>
      <c r="L11" s="4"/>
      <c r="M11" s="4"/>
      <c r="N11" s="4"/>
      <c r="O11" s="200"/>
      <c r="P11" s="200"/>
      <c r="Q11" s="200"/>
      <c r="R11" s="206"/>
      <c r="S11" s="206"/>
      <c r="T11" s="207"/>
      <c r="U11" s="207"/>
      <c r="V11" s="202"/>
      <c r="W11" s="203"/>
      <c r="X11" s="187"/>
    </row>
    <row r="12" spans="1:24">
      <c r="A12" s="190"/>
      <c r="B12" s="191"/>
      <c r="C12" s="193"/>
      <c r="D12" s="197"/>
      <c r="E12" s="198"/>
      <c r="F12" s="199"/>
      <c r="G12" s="183"/>
      <c r="H12" s="204" t="s">
        <v>43</v>
      </c>
      <c r="I12" s="204"/>
      <c r="J12" s="204"/>
      <c r="K12" s="204"/>
      <c r="L12" s="204"/>
      <c r="M12" s="204"/>
      <c r="N12" s="205"/>
      <c r="O12" s="201"/>
      <c r="P12" s="201"/>
      <c r="Q12" s="201"/>
      <c r="R12" s="206"/>
      <c r="S12" s="206"/>
      <c r="T12" s="207"/>
      <c r="U12" s="207"/>
      <c r="V12" s="202"/>
      <c r="W12" s="203"/>
      <c r="X12" s="187"/>
    </row>
    <row r="13" spans="1:24" ht="15" customHeight="1">
      <c r="A13" s="208" t="s">
        <v>98</v>
      </c>
      <c r="B13" s="209"/>
      <c r="C13" s="210">
        <v>2</v>
      </c>
      <c r="D13" s="249" t="s">
        <v>123</v>
      </c>
      <c r="E13" s="250"/>
      <c r="F13" s="251"/>
      <c r="G13" s="220" t="s">
        <v>49</v>
      </c>
      <c r="H13" s="220"/>
      <c r="I13" s="220"/>
      <c r="J13" s="220"/>
      <c r="K13" s="220"/>
      <c r="L13" s="220"/>
      <c r="M13" s="220"/>
      <c r="N13" s="220"/>
      <c r="O13" s="232">
        <f>SUM(H13:N14)</f>
        <v>0</v>
      </c>
      <c r="P13" s="105" t="s">
        <v>110</v>
      </c>
      <c r="Q13" s="238">
        <f>P14*O13</f>
        <v>0</v>
      </c>
      <c r="R13" s="226">
        <v>0</v>
      </c>
      <c r="S13" s="226">
        <f>7.44+1.74</f>
        <v>9.18</v>
      </c>
      <c r="T13" s="226"/>
      <c r="U13" s="226"/>
      <c r="V13" s="226"/>
      <c r="W13" s="226">
        <f>S13+R13</f>
        <v>9.18</v>
      </c>
      <c r="X13" s="229">
        <f>Q15-W13+Q13</f>
        <v>110.82</v>
      </c>
    </row>
    <row r="14" spans="1:24">
      <c r="A14" s="221" t="s">
        <v>103</v>
      </c>
      <c r="B14" s="222"/>
      <c r="C14" s="210"/>
      <c r="D14" s="252"/>
      <c r="E14" s="253"/>
      <c r="F14" s="254"/>
      <c r="G14" s="220"/>
      <c r="H14" s="220"/>
      <c r="I14" s="220"/>
      <c r="J14" s="220"/>
      <c r="K14" s="220"/>
      <c r="L14" s="220"/>
      <c r="M14" s="220"/>
      <c r="N14" s="220"/>
      <c r="O14" s="233"/>
      <c r="P14" s="103">
        <f>P16/2+P16</f>
        <v>22.5</v>
      </c>
      <c r="Q14" s="239"/>
      <c r="R14" s="227"/>
      <c r="S14" s="227"/>
      <c r="T14" s="227"/>
      <c r="U14" s="227"/>
      <c r="V14" s="227"/>
      <c r="W14" s="227"/>
      <c r="X14" s="230"/>
    </row>
    <row r="15" spans="1:24">
      <c r="A15" s="261"/>
      <c r="B15" s="262"/>
      <c r="C15" s="210"/>
      <c r="D15" s="252"/>
      <c r="E15" s="253"/>
      <c r="F15" s="254"/>
      <c r="G15" s="223" t="s">
        <v>40</v>
      </c>
      <c r="H15" s="223">
        <v>0</v>
      </c>
      <c r="I15" s="223">
        <v>0</v>
      </c>
      <c r="J15" s="223">
        <v>0</v>
      </c>
      <c r="K15" s="223">
        <v>0</v>
      </c>
      <c r="L15" s="223">
        <v>0</v>
      </c>
      <c r="M15" s="223">
        <v>0</v>
      </c>
      <c r="N15" s="223">
        <v>8</v>
      </c>
      <c r="O15" s="234">
        <f>SUM(H15:N16)</f>
        <v>8</v>
      </c>
      <c r="P15" s="106" t="s">
        <v>110</v>
      </c>
      <c r="Q15" s="236">
        <f>P16*O15</f>
        <v>120</v>
      </c>
      <c r="R15" s="227"/>
      <c r="S15" s="227"/>
      <c r="T15" s="227"/>
      <c r="U15" s="227"/>
      <c r="V15" s="227"/>
      <c r="W15" s="227"/>
      <c r="X15" s="230"/>
    </row>
    <row r="16" spans="1:24">
      <c r="A16" s="224"/>
      <c r="B16" s="225"/>
      <c r="C16" s="210"/>
      <c r="D16" s="255"/>
      <c r="E16" s="256"/>
      <c r="F16" s="257"/>
      <c r="G16" s="223"/>
      <c r="H16" s="223"/>
      <c r="I16" s="223"/>
      <c r="J16" s="223"/>
      <c r="K16" s="223"/>
      <c r="L16" s="223"/>
      <c r="M16" s="223"/>
      <c r="N16" s="223"/>
      <c r="O16" s="235"/>
      <c r="P16" s="104">
        <v>15</v>
      </c>
      <c r="Q16" s="237"/>
      <c r="R16" s="228"/>
      <c r="S16" s="228"/>
      <c r="T16" s="228"/>
      <c r="U16" s="228"/>
      <c r="V16" s="228"/>
      <c r="W16" s="228"/>
      <c r="X16" s="231"/>
    </row>
    <row r="17" spans="1:24" ht="15" customHeight="1">
      <c r="A17" s="208"/>
      <c r="B17" s="209"/>
      <c r="C17" s="210">
        <v>2</v>
      </c>
      <c r="D17" s="249" t="s">
        <v>123</v>
      </c>
      <c r="E17" s="250"/>
      <c r="F17" s="251"/>
      <c r="G17" s="220" t="s">
        <v>49</v>
      </c>
      <c r="H17" s="220"/>
      <c r="I17" s="220"/>
      <c r="J17" s="220"/>
      <c r="K17" s="220"/>
      <c r="L17" s="220"/>
      <c r="M17" s="220"/>
      <c r="N17" s="220"/>
      <c r="O17" s="232">
        <f>SUM(H17:N18)</f>
        <v>0</v>
      </c>
      <c r="P17" s="105" t="s">
        <v>110</v>
      </c>
      <c r="Q17" s="238">
        <f>P18*O17</f>
        <v>0</v>
      </c>
      <c r="R17" s="226">
        <v>0</v>
      </c>
      <c r="S17" s="226">
        <v>0</v>
      </c>
      <c r="T17" s="226"/>
      <c r="U17" s="226"/>
      <c r="V17" s="226"/>
      <c r="W17" s="226">
        <f>S17+R17</f>
        <v>0</v>
      </c>
      <c r="X17" s="229">
        <f>Q19-W17</f>
        <v>0</v>
      </c>
    </row>
    <row r="18" spans="1:24">
      <c r="A18" s="221"/>
      <c r="B18" s="222"/>
      <c r="C18" s="210"/>
      <c r="D18" s="252"/>
      <c r="E18" s="253"/>
      <c r="F18" s="254"/>
      <c r="G18" s="220"/>
      <c r="H18" s="220"/>
      <c r="I18" s="220"/>
      <c r="J18" s="220"/>
      <c r="K18" s="220"/>
      <c r="L18" s="220"/>
      <c r="M18" s="220"/>
      <c r="N18" s="220"/>
      <c r="O18" s="233"/>
      <c r="P18" s="103">
        <f>P20/2+P20</f>
        <v>22.5</v>
      </c>
      <c r="Q18" s="239"/>
      <c r="R18" s="227"/>
      <c r="S18" s="227"/>
      <c r="T18" s="227"/>
      <c r="U18" s="227"/>
      <c r="V18" s="227"/>
      <c r="W18" s="227"/>
      <c r="X18" s="230"/>
    </row>
    <row r="19" spans="1:24">
      <c r="A19" s="261"/>
      <c r="B19" s="262"/>
      <c r="C19" s="210"/>
      <c r="D19" s="252"/>
      <c r="E19" s="253"/>
      <c r="F19" s="254"/>
      <c r="G19" s="223" t="s">
        <v>40</v>
      </c>
      <c r="H19" s="223">
        <v>0</v>
      </c>
      <c r="I19" s="223">
        <v>0</v>
      </c>
      <c r="J19" s="223">
        <v>0</v>
      </c>
      <c r="K19" s="223">
        <v>0</v>
      </c>
      <c r="L19" s="223">
        <v>0</v>
      </c>
      <c r="M19" s="223">
        <v>0</v>
      </c>
      <c r="N19" s="223">
        <v>0</v>
      </c>
      <c r="O19" s="223">
        <f>SUM(H19:N20)</f>
        <v>0</v>
      </c>
      <c r="P19" s="106" t="s">
        <v>110</v>
      </c>
      <c r="Q19" s="236">
        <f>P20*O19</f>
        <v>0</v>
      </c>
      <c r="R19" s="227"/>
      <c r="S19" s="227"/>
      <c r="T19" s="227"/>
      <c r="U19" s="227"/>
      <c r="V19" s="227"/>
      <c r="W19" s="227"/>
      <c r="X19" s="230"/>
    </row>
    <row r="20" spans="1:24">
      <c r="A20" s="224"/>
      <c r="B20" s="225"/>
      <c r="C20" s="210"/>
      <c r="D20" s="255"/>
      <c r="E20" s="256"/>
      <c r="F20" s="257"/>
      <c r="G20" s="223"/>
      <c r="H20" s="223"/>
      <c r="I20" s="223"/>
      <c r="J20" s="223"/>
      <c r="K20" s="223"/>
      <c r="L20" s="223"/>
      <c r="M20" s="223"/>
      <c r="N20" s="223"/>
      <c r="O20" s="223"/>
      <c r="P20" s="104">
        <v>15</v>
      </c>
      <c r="Q20" s="237"/>
      <c r="R20" s="228"/>
      <c r="S20" s="228"/>
      <c r="T20" s="228"/>
      <c r="U20" s="228"/>
      <c r="V20" s="228"/>
      <c r="W20" s="228"/>
      <c r="X20" s="231"/>
    </row>
    <row r="21" spans="1:24" ht="14" customHeight="1">
      <c r="A21" s="208"/>
      <c r="B21" s="209"/>
      <c r="C21" s="210"/>
      <c r="D21" s="211"/>
      <c r="E21" s="212"/>
      <c r="F21" s="213"/>
      <c r="G21" s="220"/>
      <c r="H21" s="220"/>
      <c r="I21" s="220"/>
      <c r="J21" s="220"/>
      <c r="K21" s="220"/>
      <c r="L21" s="220"/>
      <c r="M21" s="220"/>
      <c r="N21" s="220"/>
      <c r="O21" s="232"/>
      <c r="P21" s="105"/>
      <c r="Q21" s="238"/>
      <c r="R21" s="226"/>
      <c r="S21" s="226"/>
      <c r="T21" s="226"/>
      <c r="U21" s="226"/>
      <c r="V21" s="226"/>
      <c r="W21" s="226"/>
      <c r="X21" s="229"/>
    </row>
    <row r="22" spans="1:24">
      <c r="A22" s="221"/>
      <c r="B22" s="222"/>
      <c r="C22" s="210"/>
      <c r="D22" s="214"/>
      <c r="E22" s="215"/>
      <c r="F22" s="216"/>
      <c r="G22" s="220"/>
      <c r="H22" s="220"/>
      <c r="I22" s="220"/>
      <c r="J22" s="220"/>
      <c r="K22" s="220"/>
      <c r="L22" s="220"/>
      <c r="M22" s="220"/>
      <c r="N22" s="220"/>
      <c r="O22" s="233"/>
      <c r="P22" s="103"/>
      <c r="Q22" s="239"/>
      <c r="R22" s="227"/>
      <c r="S22" s="227"/>
      <c r="T22" s="227"/>
      <c r="U22" s="227"/>
      <c r="V22" s="227"/>
      <c r="W22" s="227"/>
      <c r="X22" s="230"/>
    </row>
    <row r="23" spans="1:24">
      <c r="A23" s="221"/>
      <c r="B23" s="222"/>
      <c r="C23" s="210"/>
      <c r="D23" s="214"/>
      <c r="E23" s="215"/>
      <c r="F23" s="216"/>
      <c r="G23" s="223"/>
      <c r="H23" s="223"/>
      <c r="I23" s="223"/>
      <c r="J23" s="223"/>
      <c r="K23" s="223"/>
      <c r="L23" s="223"/>
      <c r="M23" s="223"/>
      <c r="N23" s="223"/>
      <c r="O23" s="223"/>
      <c r="P23" s="106"/>
      <c r="Q23" s="236"/>
      <c r="R23" s="227"/>
      <c r="S23" s="227"/>
      <c r="T23" s="227"/>
      <c r="U23" s="227"/>
      <c r="V23" s="227"/>
      <c r="W23" s="227"/>
      <c r="X23" s="230"/>
    </row>
    <row r="24" spans="1:24">
      <c r="A24" s="224"/>
      <c r="B24" s="225"/>
      <c r="C24" s="210"/>
      <c r="D24" s="217"/>
      <c r="E24" s="218"/>
      <c r="F24" s="219"/>
      <c r="G24" s="223"/>
      <c r="H24" s="223"/>
      <c r="I24" s="223"/>
      <c r="J24" s="223"/>
      <c r="K24" s="223"/>
      <c r="L24" s="223"/>
      <c r="M24" s="223"/>
      <c r="N24" s="223"/>
      <c r="O24" s="223"/>
      <c r="P24" s="104"/>
      <c r="Q24" s="237"/>
      <c r="R24" s="228"/>
      <c r="S24" s="228"/>
      <c r="T24" s="228"/>
      <c r="U24" s="228"/>
      <c r="V24" s="228"/>
      <c r="W24" s="228"/>
      <c r="X24" s="231"/>
    </row>
    <row r="25" spans="1:24" ht="14" customHeight="1">
      <c r="A25" s="208"/>
      <c r="B25" s="209"/>
      <c r="C25" s="210"/>
      <c r="D25" s="211"/>
      <c r="E25" s="212"/>
      <c r="F25" s="213"/>
      <c r="G25" s="220"/>
      <c r="H25" s="220"/>
      <c r="I25" s="220"/>
      <c r="J25" s="220"/>
      <c r="K25" s="220"/>
      <c r="L25" s="220"/>
      <c r="M25" s="220"/>
      <c r="N25" s="220"/>
      <c r="O25" s="232"/>
      <c r="P25" s="105"/>
      <c r="Q25" s="248"/>
      <c r="R25" s="226"/>
      <c r="S25" s="226"/>
      <c r="T25" s="226"/>
      <c r="U25" s="226"/>
      <c r="V25" s="226"/>
      <c r="W25" s="226"/>
      <c r="X25" s="229"/>
    </row>
    <row r="26" spans="1:24">
      <c r="A26" s="221"/>
      <c r="B26" s="222"/>
      <c r="C26" s="210"/>
      <c r="D26" s="214"/>
      <c r="E26" s="215"/>
      <c r="F26" s="216"/>
      <c r="G26" s="220"/>
      <c r="H26" s="220"/>
      <c r="I26" s="220"/>
      <c r="J26" s="220"/>
      <c r="K26" s="220"/>
      <c r="L26" s="220"/>
      <c r="M26" s="220"/>
      <c r="N26" s="220"/>
      <c r="O26" s="233"/>
      <c r="P26" s="103"/>
      <c r="Q26" s="248"/>
      <c r="R26" s="227"/>
      <c r="S26" s="227"/>
      <c r="T26" s="227"/>
      <c r="U26" s="227"/>
      <c r="V26" s="227"/>
      <c r="W26" s="227"/>
      <c r="X26" s="230"/>
    </row>
    <row r="27" spans="1:24">
      <c r="A27" s="221"/>
      <c r="B27" s="222"/>
      <c r="C27" s="210"/>
      <c r="D27" s="214"/>
      <c r="E27" s="215"/>
      <c r="F27" s="216"/>
      <c r="G27" s="223"/>
      <c r="H27" s="223"/>
      <c r="I27" s="223"/>
      <c r="J27" s="223"/>
      <c r="K27" s="223"/>
      <c r="L27" s="223"/>
      <c r="M27" s="223"/>
      <c r="N27" s="223"/>
      <c r="O27" s="223"/>
      <c r="P27" s="106"/>
      <c r="Q27" s="236"/>
      <c r="R27" s="227"/>
      <c r="S27" s="227"/>
      <c r="T27" s="227"/>
      <c r="U27" s="227"/>
      <c r="V27" s="227"/>
      <c r="W27" s="227"/>
      <c r="X27" s="230"/>
    </row>
    <row r="28" spans="1:24">
      <c r="A28" s="224"/>
      <c r="B28" s="225"/>
      <c r="C28" s="210"/>
      <c r="D28" s="217"/>
      <c r="E28" s="218"/>
      <c r="F28" s="219"/>
      <c r="G28" s="223"/>
      <c r="H28" s="223"/>
      <c r="I28" s="223"/>
      <c r="J28" s="223"/>
      <c r="K28" s="223"/>
      <c r="L28" s="223"/>
      <c r="M28" s="223"/>
      <c r="N28" s="223"/>
      <c r="O28" s="223"/>
      <c r="P28" s="104"/>
      <c r="Q28" s="237"/>
      <c r="R28" s="228"/>
      <c r="S28" s="228"/>
      <c r="T28" s="228"/>
      <c r="U28" s="228"/>
      <c r="V28" s="228"/>
      <c r="W28" s="228"/>
      <c r="X28" s="231"/>
    </row>
    <row r="29" spans="1:24" ht="14" customHeight="1">
      <c r="A29" s="208"/>
      <c r="B29" s="209"/>
      <c r="C29" s="210"/>
      <c r="D29" s="211"/>
      <c r="E29" s="212"/>
      <c r="F29" s="213"/>
      <c r="G29" s="220"/>
      <c r="H29" s="220"/>
      <c r="I29" s="220"/>
      <c r="J29" s="220"/>
      <c r="K29" s="220"/>
      <c r="L29" s="220"/>
      <c r="M29" s="220"/>
      <c r="N29" s="220"/>
      <c r="O29" s="232"/>
      <c r="P29" s="105"/>
      <c r="Q29" s="248"/>
      <c r="R29" s="226"/>
      <c r="S29" s="226"/>
      <c r="T29" s="226"/>
      <c r="U29" s="226"/>
      <c r="V29" s="226"/>
      <c r="W29" s="226"/>
      <c r="X29" s="229"/>
    </row>
    <row r="30" spans="1:24">
      <c r="A30" s="221"/>
      <c r="B30" s="222"/>
      <c r="C30" s="210"/>
      <c r="D30" s="214"/>
      <c r="E30" s="215"/>
      <c r="F30" s="216"/>
      <c r="G30" s="220"/>
      <c r="H30" s="220"/>
      <c r="I30" s="220"/>
      <c r="J30" s="220"/>
      <c r="K30" s="220"/>
      <c r="L30" s="220"/>
      <c r="M30" s="220"/>
      <c r="N30" s="220"/>
      <c r="O30" s="233"/>
      <c r="P30" s="103"/>
      <c r="Q30" s="248"/>
      <c r="R30" s="227"/>
      <c r="S30" s="227"/>
      <c r="T30" s="227"/>
      <c r="U30" s="227"/>
      <c r="V30" s="227"/>
      <c r="W30" s="227"/>
      <c r="X30" s="230"/>
    </row>
    <row r="31" spans="1:24">
      <c r="A31" s="221"/>
      <c r="B31" s="222"/>
      <c r="C31" s="210"/>
      <c r="D31" s="214"/>
      <c r="E31" s="215"/>
      <c r="F31" s="216"/>
      <c r="G31" s="223"/>
      <c r="H31" s="223"/>
      <c r="I31" s="234"/>
      <c r="J31" s="234"/>
      <c r="K31" s="234"/>
      <c r="L31" s="234"/>
      <c r="M31" s="234"/>
      <c r="N31" s="234"/>
      <c r="O31" s="223"/>
      <c r="P31" s="106"/>
      <c r="Q31" s="236"/>
      <c r="R31" s="227"/>
      <c r="S31" s="227"/>
      <c r="T31" s="227"/>
      <c r="U31" s="227"/>
      <c r="V31" s="227"/>
      <c r="W31" s="227"/>
      <c r="X31" s="230"/>
    </row>
    <row r="32" spans="1:24">
      <c r="A32" s="224"/>
      <c r="B32" s="225"/>
      <c r="C32" s="210"/>
      <c r="D32" s="217"/>
      <c r="E32" s="218"/>
      <c r="F32" s="219"/>
      <c r="G32" s="223"/>
      <c r="H32" s="223"/>
      <c r="I32" s="235"/>
      <c r="J32" s="235"/>
      <c r="K32" s="235"/>
      <c r="L32" s="235"/>
      <c r="M32" s="235"/>
      <c r="N32" s="235"/>
      <c r="O32" s="223"/>
      <c r="P32" s="104"/>
      <c r="Q32" s="237"/>
      <c r="R32" s="228"/>
      <c r="S32" s="228"/>
      <c r="T32" s="228"/>
      <c r="U32" s="228"/>
      <c r="V32" s="228"/>
      <c r="W32" s="228"/>
      <c r="X32" s="231"/>
    </row>
    <row r="33" spans="1:24" ht="14" customHeight="1">
      <c r="A33" s="208"/>
      <c r="B33" s="209"/>
      <c r="C33" s="210"/>
      <c r="D33" s="211"/>
      <c r="E33" s="212"/>
      <c r="F33" s="213"/>
      <c r="G33" s="220"/>
      <c r="H33" s="220"/>
      <c r="I33" s="220"/>
      <c r="J33" s="220"/>
      <c r="K33" s="220"/>
      <c r="L33" s="220"/>
      <c r="M33" s="220"/>
      <c r="N33" s="220"/>
      <c r="O33" s="232"/>
      <c r="P33" s="105"/>
      <c r="Q33" s="248"/>
      <c r="R33" s="229"/>
      <c r="S33" s="226"/>
      <c r="T33" s="226"/>
      <c r="U33" s="226"/>
      <c r="V33" s="226"/>
      <c r="W33" s="226"/>
      <c r="X33" s="229"/>
    </row>
    <row r="34" spans="1:24">
      <c r="A34" s="221"/>
      <c r="B34" s="222"/>
      <c r="C34" s="210"/>
      <c r="D34" s="214"/>
      <c r="E34" s="215"/>
      <c r="F34" s="216"/>
      <c r="G34" s="220"/>
      <c r="H34" s="220"/>
      <c r="I34" s="220"/>
      <c r="J34" s="220"/>
      <c r="K34" s="220"/>
      <c r="L34" s="220"/>
      <c r="M34" s="220"/>
      <c r="N34" s="220"/>
      <c r="O34" s="233"/>
      <c r="P34" s="103"/>
      <c r="Q34" s="248"/>
      <c r="R34" s="230"/>
      <c r="S34" s="227"/>
      <c r="T34" s="227"/>
      <c r="U34" s="227"/>
      <c r="V34" s="227"/>
      <c r="W34" s="227"/>
      <c r="X34" s="230"/>
    </row>
    <row r="35" spans="1:24">
      <c r="A35" s="221"/>
      <c r="B35" s="222"/>
      <c r="C35" s="210"/>
      <c r="D35" s="214"/>
      <c r="E35" s="215"/>
      <c r="F35" s="216"/>
      <c r="G35" s="223"/>
      <c r="H35" s="223"/>
      <c r="I35" s="234"/>
      <c r="J35" s="234"/>
      <c r="K35" s="234"/>
      <c r="L35" s="234"/>
      <c r="M35" s="234"/>
      <c r="N35" s="234"/>
      <c r="O35" s="223"/>
      <c r="P35" s="106"/>
      <c r="Q35" s="236"/>
      <c r="R35" s="230"/>
      <c r="S35" s="227"/>
      <c r="T35" s="227"/>
      <c r="U35" s="227"/>
      <c r="V35" s="227"/>
      <c r="W35" s="227"/>
      <c r="X35" s="230"/>
    </row>
    <row r="36" spans="1:24">
      <c r="A36" s="224"/>
      <c r="B36" s="225"/>
      <c r="C36" s="210"/>
      <c r="D36" s="217"/>
      <c r="E36" s="218"/>
      <c r="F36" s="219"/>
      <c r="G36" s="223"/>
      <c r="H36" s="223"/>
      <c r="I36" s="235"/>
      <c r="J36" s="235"/>
      <c r="K36" s="235"/>
      <c r="L36" s="235"/>
      <c r="M36" s="235"/>
      <c r="N36" s="235"/>
      <c r="O36" s="223"/>
      <c r="P36" s="104"/>
      <c r="Q36" s="237"/>
      <c r="R36" s="231"/>
      <c r="S36" s="228"/>
      <c r="T36" s="228"/>
      <c r="U36" s="228"/>
      <c r="V36" s="228"/>
      <c r="W36" s="228"/>
      <c r="X36" s="231"/>
    </row>
    <row r="37" spans="1:24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</row>
    <row r="38" spans="1:24" ht="15.75" customHeight="1">
      <c r="A38" s="18" t="s">
        <v>58</v>
      </c>
      <c r="B38" s="101">
        <f>N10</f>
        <v>42484</v>
      </c>
      <c r="C38" s="20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 t="s">
        <v>82</v>
      </c>
      <c r="R38" s="18"/>
      <c r="S38" s="18"/>
      <c r="T38" s="18"/>
      <c r="U38" s="3"/>
      <c r="V38" s="3"/>
      <c r="W38" s="3"/>
    </row>
    <row r="39" spans="1:24" ht="18.75" customHeight="1">
      <c r="A39" s="29" t="s">
        <v>59</v>
      </c>
      <c r="B39" s="35" t="s">
        <v>83</v>
      </c>
      <c r="C39" s="31"/>
      <c r="D39" s="31"/>
      <c r="E39" s="31"/>
      <c r="F39" s="31"/>
      <c r="G39" s="31"/>
      <c r="H39" s="96" t="s">
        <v>75</v>
      </c>
      <c r="I39" s="96"/>
      <c r="J39" s="96"/>
      <c r="K39" s="27"/>
      <c r="L39" s="27"/>
      <c r="M39" s="25"/>
      <c r="N39" s="25"/>
      <c r="O39" s="25"/>
      <c r="P39" s="18"/>
      <c r="Q39" s="13" t="s">
        <v>90</v>
      </c>
      <c r="S39" s="18"/>
      <c r="T39" s="18"/>
      <c r="U39" s="3"/>
      <c r="V39" s="3"/>
      <c r="W39" s="3"/>
    </row>
    <row r="40" spans="1:24" ht="14.25" customHeight="1">
      <c r="A40" s="29"/>
      <c r="B40" s="21" t="s">
        <v>62</v>
      </c>
      <c r="C40" s="21"/>
      <c r="D40" s="21"/>
      <c r="E40" s="21"/>
      <c r="F40" s="31"/>
      <c r="G40" s="58"/>
      <c r="H40" s="21" t="s">
        <v>63</v>
      </c>
      <c r="I40" s="58"/>
      <c r="J40" s="21"/>
      <c r="K40" s="21"/>
      <c r="L40" s="24"/>
      <c r="M40" s="24"/>
      <c r="N40" s="24"/>
      <c r="O40" s="25"/>
      <c r="P40" s="17" t="s">
        <v>10</v>
      </c>
      <c r="R40" s="18"/>
      <c r="S40" s="18"/>
      <c r="T40" s="3"/>
      <c r="U40" s="3"/>
      <c r="V40" s="3"/>
    </row>
    <row r="41" spans="1:24" ht="12" customHeight="1">
      <c r="A41" s="17"/>
      <c r="F41" s="23"/>
      <c r="L41" s="95"/>
      <c r="M41" s="18"/>
      <c r="N41" s="18"/>
      <c r="O41" s="18"/>
      <c r="P41" s="18" t="s">
        <v>11</v>
      </c>
      <c r="R41" s="18"/>
      <c r="S41" s="18"/>
      <c r="T41" s="3"/>
      <c r="U41" s="3"/>
      <c r="V41" s="3"/>
    </row>
    <row r="42" spans="1:24" ht="12" customHeight="1">
      <c r="A42" s="17" t="s">
        <v>60</v>
      </c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 t="s">
        <v>12</v>
      </c>
      <c r="R42" s="18"/>
      <c r="S42" s="18"/>
      <c r="T42" s="3"/>
      <c r="U42" s="3"/>
      <c r="V42" s="3"/>
    </row>
    <row r="43" spans="1:24" ht="12" customHeight="1">
      <c r="A43" s="18"/>
      <c r="B43" s="18" t="s">
        <v>61</v>
      </c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25" t="s">
        <v>13</v>
      </c>
      <c r="R43" s="25"/>
      <c r="S43" s="25"/>
      <c r="T43" s="34"/>
      <c r="U43" s="34"/>
      <c r="V43" s="34"/>
    </row>
    <row r="44" spans="1:24" s="19" customFormat="1" ht="16.5" customHeight="1">
      <c r="A44" s="29"/>
      <c r="B44" s="25"/>
      <c r="C44" s="31" t="str">
        <f>C50</f>
        <v>Evankoff LLC</v>
      </c>
      <c r="D44" s="36"/>
      <c r="E44" s="36"/>
      <c r="F44" s="25"/>
      <c r="G44" s="25"/>
      <c r="H44" s="25"/>
      <c r="I44" s="25"/>
      <c r="J44" s="25"/>
      <c r="K44" s="25"/>
      <c r="L44" s="25"/>
      <c r="M44" s="25"/>
      <c r="N44" s="25"/>
      <c r="O44" s="25" t="s">
        <v>64</v>
      </c>
      <c r="P44" s="25"/>
    </row>
    <row r="45" spans="1:24">
      <c r="A45" s="24"/>
      <c r="B45" s="24"/>
      <c r="C45" s="24" t="s">
        <v>65</v>
      </c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5"/>
      <c r="P45" s="25"/>
      <c r="Q45" s="36" t="s">
        <v>16</v>
      </c>
      <c r="S45" s="19"/>
      <c r="T45" s="19"/>
      <c r="U45" s="19"/>
    </row>
    <row r="46" spans="1:24" s="19" customFormat="1" ht="15" thickBot="1">
      <c r="A46" s="31" t="s">
        <v>105</v>
      </c>
      <c r="B46" s="31"/>
      <c r="C46" s="31"/>
      <c r="D46" s="31"/>
      <c r="E46" s="31"/>
      <c r="F46" s="31"/>
      <c r="G46" s="25" t="s">
        <v>67</v>
      </c>
      <c r="H46" s="25"/>
      <c r="I46" s="25"/>
      <c r="J46" s="25"/>
      <c r="K46" s="25"/>
      <c r="L46" s="25"/>
      <c r="M46" s="25"/>
      <c r="N46" s="25"/>
      <c r="O46" s="25"/>
      <c r="P46" s="25"/>
      <c r="Q46" s="25"/>
    </row>
    <row r="47" spans="1:24">
      <c r="A47" s="24"/>
      <c r="B47" s="24" t="s">
        <v>66</v>
      </c>
      <c r="C47" s="24"/>
      <c r="D47" s="24"/>
      <c r="E47" s="24"/>
      <c r="F47" s="24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94"/>
      <c r="R47" s="70" t="s">
        <v>14</v>
      </c>
      <c r="S47" s="71"/>
      <c r="T47" s="72"/>
      <c r="U47" s="37"/>
      <c r="V47" s="73" t="s">
        <v>15</v>
      </c>
      <c r="W47" s="74" t="s">
        <v>93</v>
      </c>
      <c r="X47" s="75"/>
    </row>
    <row r="48" spans="1:24">
      <c r="A48" s="99">
        <f>H10</f>
        <v>42478</v>
      </c>
      <c r="B48" s="26" t="s">
        <v>68</v>
      </c>
      <c r="C48" s="244">
        <f>F7</f>
        <v>42484</v>
      </c>
      <c r="D48" s="244"/>
      <c r="E48" s="98"/>
      <c r="F48" s="33" t="s">
        <v>73</v>
      </c>
      <c r="J48" s="32"/>
      <c r="L48" s="25"/>
      <c r="M48" s="25"/>
      <c r="N48" s="25"/>
      <c r="O48" s="25"/>
      <c r="P48" s="25"/>
      <c r="Q48" s="76"/>
      <c r="R48" s="77"/>
      <c r="S48" s="77"/>
      <c r="T48" s="78"/>
      <c r="U48" s="79"/>
      <c r="V48" s="80"/>
      <c r="W48" s="80"/>
      <c r="X48" s="81"/>
    </row>
    <row r="49" spans="1:24" ht="14.25" customHeight="1" thickBot="1">
      <c r="A49" s="24" t="s">
        <v>74</v>
      </c>
      <c r="B49" s="25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5"/>
      <c r="Q49" s="82"/>
      <c r="R49" s="83"/>
      <c r="S49" s="83"/>
      <c r="T49" s="84"/>
      <c r="U49" s="85"/>
      <c r="V49" s="86"/>
      <c r="W49" s="86"/>
      <c r="X49" s="87"/>
    </row>
    <row r="50" spans="1:24" ht="18.75" customHeight="1">
      <c r="A50" s="25"/>
      <c r="B50" s="25"/>
      <c r="C50" s="31" t="str">
        <f>A5</f>
        <v>Evankoff LLC</v>
      </c>
      <c r="D50" s="25"/>
      <c r="E50" s="25"/>
      <c r="F50" s="25"/>
      <c r="G50" s="25"/>
      <c r="H50" s="25"/>
      <c r="I50" s="25"/>
      <c r="J50" s="25"/>
      <c r="K50" s="25"/>
      <c r="L50" s="25"/>
      <c r="M50" s="25" t="s">
        <v>69</v>
      </c>
      <c r="N50" s="25"/>
      <c r="O50" s="25"/>
      <c r="P50" s="25"/>
      <c r="Q50" s="107" t="s">
        <v>128</v>
      </c>
      <c r="R50" s="108"/>
      <c r="S50" s="240" t="s">
        <v>97</v>
      </c>
      <c r="T50" s="240"/>
      <c r="U50" s="240"/>
      <c r="V50" s="240"/>
      <c r="W50" s="240"/>
      <c r="X50" s="241"/>
    </row>
    <row r="51" spans="1:24">
      <c r="A51" s="24"/>
      <c r="B51" s="24"/>
      <c r="C51" s="24" t="s">
        <v>65</v>
      </c>
      <c r="D51" s="24"/>
      <c r="E51" s="24"/>
      <c r="F51" s="24"/>
      <c r="G51" s="24"/>
      <c r="H51" s="24"/>
      <c r="I51" s="24"/>
      <c r="J51" s="24"/>
      <c r="K51" s="24"/>
      <c r="L51" s="24"/>
      <c r="M51" s="25"/>
      <c r="N51" s="25"/>
      <c r="O51" s="25"/>
      <c r="P51" s="25"/>
      <c r="Q51" s="109" t="s">
        <v>127</v>
      </c>
      <c r="R51" s="110"/>
      <c r="S51" s="242"/>
      <c r="T51" s="242"/>
      <c r="U51" s="242"/>
      <c r="V51" s="242"/>
      <c r="W51" s="242"/>
      <c r="X51" s="243"/>
    </row>
    <row r="52" spans="1:24" ht="12.75" customHeight="1" thickBot="1">
      <c r="A52" s="25" t="s">
        <v>70</v>
      </c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39"/>
      <c r="R52" s="88"/>
      <c r="S52" s="88"/>
      <c r="T52" s="89"/>
      <c r="U52" s="41"/>
      <c r="V52" s="40"/>
      <c r="W52" s="40"/>
      <c r="X52" s="42"/>
    </row>
    <row r="53" spans="1:24" ht="12.75" customHeight="1">
      <c r="A53" s="25" t="s">
        <v>71</v>
      </c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107" t="s">
        <v>128</v>
      </c>
      <c r="R53" s="108"/>
      <c r="S53" s="240" t="s">
        <v>95</v>
      </c>
      <c r="T53" s="240"/>
      <c r="U53" s="240"/>
      <c r="V53" s="240"/>
      <c r="W53" s="240"/>
      <c r="X53" s="241"/>
    </row>
    <row r="54" spans="1:24" ht="12.75" customHeight="1">
      <c r="A54" s="25" t="s">
        <v>72</v>
      </c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109" t="s">
        <v>127</v>
      </c>
      <c r="R54" s="110"/>
      <c r="S54" s="242"/>
      <c r="T54" s="242"/>
      <c r="U54" s="242"/>
      <c r="V54" s="242"/>
      <c r="W54" s="242"/>
      <c r="X54" s="243"/>
    </row>
    <row r="55" spans="1:24" ht="12.75" customHeight="1" thickBot="1">
      <c r="A55" s="25" t="s">
        <v>0</v>
      </c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53"/>
      <c r="R55" s="54"/>
      <c r="S55" s="54"/>
      <c r="T55" s="54"/>
      <c r="U55" s="55"/>
      <c r="V55" s="10"/>
      <c r="W55" s="10"/>
      <c r="X55" s="56"/>
    </row>
    <row r="56" spans="1:24" ht="18" customHeight="1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48"/>
      <c r="R56" s="49"/>
      <c r="S56" s="49"/>
      <c r="T56" s="49"/>
      <c r="U56" s="50"/>
      <c r="V56" s="51"/>
      <c r="W56" s="51"/>
      <c r="X56" s="52"/>
    </row>
    <row r="57" spans="1:24" ht="18" customHeight="1" thickBot="1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5"/>
      <c r="Q57" s="53"/>
      <c r="R57" s="54"/>
      <c r="S57" s="54"/>
      <c r="T57" s="54"/>
      <c r="U57" s="55"/>
      <c r="V57" s="10"/>
      <c r="W57" s="10"/>
      <c r="X57" s="56"/>
    </row>
    <row r="58" spans="1:24" ht="18" customHeight="1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5"/>
      <c r="Q58" s="48"/>
      <c r="R58" s="49"/>
      <c r="S58" s="49"/>
      <c r="T58" s="49"/>
      <c r="U58" s="50"/>
      <c r="V58" s="51"/>
      <c r="W58" s="51"/>
      <c r="X58" s="52"/>
    </row>
    <row r="59" spans="1:24" ht="21" customHeight="1" thickBot="1">
      <c r="A59" s="24"/>
      <c r="B59" s="28" t="s">
        <v>2</v>
      </c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5"/>
      <c r="Q59" s="53"/>
      <c r="R59" s="54"/>
      <c r="S59" s="54"/>
      <c r="T59" s="54"/>
      <c r="U59" s="55"/>
      <c r="V59" s="10"/>
      <c r="W59" s="10"/>
      <c r="X59" s="56"/>
    </row>
    <row r="60" spans="1:24" ht="12" customHeight="1">
      <c r="A60" s="30" t="s">
        <v>3</v>
      </c>
      <c r="B60" s="30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5"/>
      <c r="Q60" s="48" t="s">
        <v>17</v>
      </c>
      <c r="R60" s="49"/>
      <c r="S60" s="49"/>
      <c r="T60" s="49"/>
      <c r="U60" s="49"/>
      <c r="V60" s="51"/>
      <c r="W60" s="51"/>
      <c r="X60" s="52"/>
    </row>
    <row r="61" spans="1:24" ht="12" customHeight="1">
      <c r="A61" s="27" t="s">
        <v>4</v>
      </c>
      <c r="B61" s="30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5"/>
      <c r="Q61" s="111" t="s">
        <v>96</v>
      </c>
      <c r="R61" s="44"/>
      <c r="S61" s="44"/>
      <c r="T61" s="44"/>
      <c r="U61" s="44"/>
      <c r="V61" s="46"/>
      <c r="W61" s="46"/>
      <c r="X61" s="47"/>
    </row>
    <row r="62" spans="1:24" ht="12" customHeight="1">
      <c r="A62" s="27" t="s">
        <v>5</v>
      </c>
      <c r="B62" s="30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5"/>
      <c r="Q62" s="121"/>
      <c r="R62" s="122"/>
      <c r="S62" s="44"/>
      <c r="T62" s="44"/>
      <c r="U62" s="44"/>
      <c r="V62" s="46"/>
      <c r="W62" s="46"/>
      <c r="X62" s="47"/>
    </row>
    <row r="63" spans="1:24" ht="12" customHeight="1">
      <c r="A63" s="27"/>
      <c r="B63" s="30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5"/>
      <c r="Q63" s="121"/>
      <c r="R63" s="122"/>
      <c r="S63" s="44"/>
      <c r="T63" s="44"/>
      <c r="U63" s="44"/>
      <c r="V63" s="46"/>
      <c r="W63" s="46"/>
      <c r="X63" s="47"/>
    </row>
    <row r="64" spans="1:24" ht="12" customHeight="1">
      <c r="A64" s="29" t="s">
        <v>7</v>
      </c>
      <c r="B64" s="29" t="s">
        <v>6</v>
      </c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121"/>
      <c r="R64" s="122"/>
      <c r="S64" s="44"/>
      <c r="T64" s="44"/>
      <c r="U64" s="44"/>
      <c r="V64" s="46"/>
      <c r="W64" s="46"/>
      <c r="X64" s="47"/>
    </row>
    <row r="65" spans="1:24" ht="12" customHeight="1">
      <c r="A65" s="25" t="s">
        <v>8</v>
      </c>
      <c r="B65" s="29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43"/>
      <c r="R65" s="44"/>
      <c r="S65" s="44"/>
      <c r="T65" s="44"/>
      <c r="U65" s="44"/>
      <c r="V65" s="46"/>
      <c r="W65" s="46"/>
      <c r="X65" s="47"/>
    </row>
    <row r="66" spans="1:24" ht="12" customHeight="1">
      <c r="A66" s="25" t="s">
        <v>9</v>
      </c>
      <c r="B66" s="29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43"/>
      <c r="R66" s="44"/>
      <c r="S66" s="44"/>
      <c r="T66" s="44"/>
      <c r="U66" s="44"/>
      <c r="V66" s="46"/>
      <c r="W66" s="46"/>
      <c r="X66" s="47"/>
    </row>
    <row r="67" spans="1:24" ht="12" customHeight="1" thickBot="1">
      <c r="A67" s="25"/>
      <c r="B67" s="29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53"/>
      <c r="R67" s="54"/>
      <c r="S67" s="54"/>
      <c r="T67" s="54"/>
      <c r="U67" s="54"/>
      <c r="V67" s="10"/>
      <c r="W67" s="10"/>
      <c r="X67" s="56"/>
    </row>
    <row r="68" spans="1:24" ht="12" customHeight="1">
      <c r="A68" s="25"/>
      <c r="B68" s="25" t="s">
        <v>57</v>
      </c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</row>
    <row r="69" spans="1:24" ht="12" customHeight="1">
      <c r="A69" s="25"/>
      <c r="B69" s="25" t="s">
        <v>1</v>
      </c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12" t="s">
        <v>50</v>
      </c>
      <c r="R69" s="22"/>
      <c r="S69" s="22"/>
      <c r="T69" s="67"/>
      <c r="U69" s="57" t="s">
        <v>51</v>
      </c>
      <c r="V69" s="58"/>
      <c r="W69" s="58"/>
      <c r="X69" s="59"/>
    </row>
    <row r="70" spans="1:24" ht="11.25" customHeight="1">
      <c r="A70" s="25"/>
      <c r="B70" s="25" t="s">
        <v>81</v>
      </c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63"/>
      <c r="T70" s="68"/>
      <c r="U70" s="61"/>
      <c r="V70" s="38"/>
      <c r="W70" s="38"/>
      <c r="X70" s="60"/>
    </row>
    <row r="71" spans="1:24" ht="13.5" customHeight="1">
      <c r="A71" s="25"/>
      <c r="B71" s="97" t="s">
        <v>80</v>
      </c>
      <c r="C71" s="29" t="s">
        <v>76</v>
      </c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93" t="str">
        <f>B39</f>
        <v>Eric Coffie</v>
      </c>
      <c r="R71" s="90"/>
      <c r="S71" s="90" t="str">
        <f>H39</f>
        <v>President</v>
      </c>
      <c r="T71" s="68"/>
      <c r="U71" s="61"/>
      <c r="V71" s="38"/>
      <c r="W71" s="38"/>
      <c r="X71" s="60"/>
    </row>
    <row r="72" spans="1:24" ht="10.5" customHeight="1">
      <c r="A72" s="19"/>
      <c r="B72" s="25"/>
      <c r="C72" s="25" t="s">
        <v>77</v>
      </c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19"/>
      <c r="Q72" s="91"/>
      <c r="R72" s="92"/>
      <c r="S72" s="92"/>
      <c r="T72" s="69"/>
      <c r="U72" s="62"/>
      <c r="V72" s="116"/>
      <c r="W72" s="116"/>
      <c r="X72" s="117"/>
    </row>
    <row r="73" spans="1:24" ht="10.5" customHeight="1">
      <c r="A73" s="19"/>
      <c r="B73" s="19"/>
      <c r="C73" s="25" t="s">
        <v>78</v>
      </c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</row>
    <row r="74" spans="1:24" ht="10.5" customHeight="1">
      <c r="B74" s="19"/>
      <c r="C74" s="25" t="s">
        <v>79</v>
      </c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Q74" s="64" t="s">
        <v>86</v>
      </c>
      <c r="R74" s="58"/>
      <c r="S74" s="58"/>
      <c r="T74" s="58"/>
      <c r="U74" s="58"/>
      <c r="V74" s="58"/>
      <c r="W74" s="58"/>
      <c r="X74" s="59"/>
    </row>
    <row r="75" spans="1:24" ht="10.5" customHeight="1">
      <c r="Q75" s="66" t="s">
        <v>87</v>
      </c>
      <c r="R75" s="38"/>
      <c r="S75" s="38"/>
      <c r="T75" s="38"/>
      <c r="U75" s="38"/>
      <c r="V75" s="38"/>
      <c r="W75" s="38"/>
      <c r="X75" s="60"/>
    </row>
    <row r="76" spans="1:24" ht="10.5" customHeight="1">
      <c r="Q76" s="66" t="s">
        <v>88</v>
      </c>
      <c r="R76" s="38"/>
      <c r="S76" s="38"/>
      <c r="T76" s="38"/>
      <c r="U76" s="38"/>
      <c r="V76" s="38"/>
      <c r="W76" s="38"/>
      <c r="X76" s="60"/>
    </row>
    <row r="77" spans="1:24" ht="10.5" customHeight="1">
      <c r="Q77" s="65" t="s">
        <v>89</v>
      </c>
      <c r="R77" s="116"/>
      <c r="S77" s="116"/>
      <c r="T77" s="116"/>
      <c r="U77" s="116"/>
      <c r="V77" s="116"/>
      <c r="W77" s="116"/>
      <c r="X77" s="117"/>
    </row>
  </sheetData>
  <mergeCells count="235">
    <mergeCell ref="A1:D3"/>
    <mergeCell ref="F1:U3"/>
    <mergeCell ref="A4:C4"/>
    <mergeCell ref="D4:G4"/>
    <mergeCell ref="H4:N4"/>
    <mergeCell ref="O4:V4"/>
    <mergeCell ref="W4:X5"/>
    <mergeCell ref="A5:N5"/>
    <mergeCell ref="O5:V5"/>
    <mergeCell ref="A6:D6"/>
    <mergeCell ref="F6:N6"/>
    <mergeCell ref="A7:D7"/>
    <mergeCell ref="F7:N7"/>
    <mergeCell ref="O7:S7"/>
    <mergeCell ref="T7:X7"/>
    <mergeCell ref="A8:B8"/>
    <mergeCell ref="D8:F8"/>
    <mergeCell ref="G8:G12"/>
    <mergeCell ref="H8:N8"/>
    <mergeCell ref="R8:W9"/>
    <mergeCell ref="X8:X12"/>
    <mergeCell ref="A9:B12"/>
    <mergeCell ref="C9:C12"/>
    <mergeCell ref="D9:F12"/>
    <mergeCell ref="O10:O12"/>
    <mergeCell ref="V10:V12"/>
    <mergeCell ref="W10:W12"/>
    <mergeCell ref="H12:N12"/>
    <mergeCell ref="A13:B13"/>
    <mergeCell ref="C13:C16"/>
    <mergeCell ref="D13:F16"/>
    <mergeCell ref="G13:G14"/>
    <mergeCell ref="H13:H14"/>
    <mergeCell ref="I13:I14"/>
    <mergeCell ref="J13:J14"/>
    <mergeCell ref="P10:P12"/>
    <mergeCell ref="Q10:Q12"/>
    <mergeCell ref="R10:R12"/>
    <mergeCell ref="S10:S12"/>
    <mergeCell ref="T10:T12"/>
    <mergeCell ref="U10:U12"/>
    <mergeCell ref="X13:X16"/>
    <mergeCell ref="A14:B14"/>
    <mergeCell ref="A15:B15"/>
    <mergeCell ref="G15:G16"/>
    <mergeCell ref="H15:H16"/>
    <mergeCell ref="I15:I16"/>
    <mergeCell ref="J15:J16"/>
    <mergeCell ref="K15:K16"/>
    <mergeCell ref="L15:L16"/>
    <mergeCell ref="M15:M16"/>
    <mergeCell ref="R13:R16"/>
    <mergeCell ref="S13:S16"/>
    <mergeCell ref="T13:T16"/>
    <mergeCell ref="U13:U16"/>
    <mergeCell ref="V13:V16"/>
    <mergeCell ref="W13:W16"/>
    <mergeCell ref="K13:K14"/>
    <mergeCell ref="L13:L14"/>
    <mergeCell ref="M13:M14"/>
    <mergeCell ref="N13:N14"/>
    <mergeCell ref="O13:O14"/>
    <mergeCell ref="Q13:Q14"/>
    <mergeCell ref="N15:N16"/>
    <mergeCell ref="O15:O16"/>
    <mergeCell ref="Q15:Q16"/>
    <mergeCell ref="A16:B16"/>
    <mergeCell ref="A17:B17"/>
    <mergeCell ref="C17:C20"/>
    <mergeCell ref="D17:F20"/>
    <mergeCell ref="G17:G18"/>
    <mergeCell ref="H17:H18"/>
    <mergeCell ref="I17:I18"/>
    <mergeCell ref="W17:W20"/>
    <mergeCell ref="X17:X20"/>
    <mergeCell ref="A18:B18"/>
    <mergeCell ref="A19:B19"/>
    <mergeCell ref="G19:G20"/>
    <mergeCell ref="H19:H20"/>
    <mergeCell ref="I19:I20"/>
    <mergeCell ref="J19:J20"/>
    <mergeCell ref="K19:K20"/>
    <mergeCell ref="L19:L20"/>
    <mergeCell ref="Q17:Q18"/>
    <mergeCell ref="R17:R20"/>
    <mergeCell ref="S17:S20"/>
    <mergeCell ref="T17:T20"/>
    <mergeCell ref="U17:U20"/>
    <mergeCell ref="V17:V20"/>
    <mergeCell ref="J17:J18"/>
    <mergeCell ref="K17:K18"/>
    <mergeCell ref="L17:L18"/>
    <mergeCell ref="M17:M18"/>
    <mergeCell ref="N17:N18"/>
    <mergeCell ref="O17:O18"/>
    <mergeCell ref="K21:K22"/>
    <mergeCell ref="L21:L22"/>
    <mergeCell ref="M21:M22"/>
    <mergeCell ref="N21:N22"/>
    <mergeCell ref="M19:M20"/>
    <mergeCell ref="N19:N20"/>
    <mergeCell ref="O19:O20"/>
    <mergeCell ref="Q19:Q20"/>
    <mergeCell ref="A20:B20"/>
    <mergeCell ref="A21:B21"/>
    <mergeCell ref="C21:C24"/>
    <mergeCell ref="D21:F24"/>
    <mergeCell ref="G21:G22"/>
    <mergeCell ref="H21:H22"/>
    <mergeCell ref="L23:L24"/>
    <mergeCell ref="M23:M24"/>
    <mergeCell ref="N23:N24"/>
    <mergeCell ref="O23:O24"/>
    <mergeCell ref="Q23:Q24"/>
    <mergeCell ref="A24:B24"/>
    <mergeCell ref="V21:V24"/>
    <mergeCell ref="W21:W24"/>
    <mergeCell ref="X21:X24"/>
    <mergeCell ref="A22:B22"/>
    <mergeCell ref="A23:B23"/>
    <mergeCell ref="G23:G24"/>
    <mergeCell ref="H23:H24"/>
    <mergeCell ref="I23:I24"/>
    <mergeCell ref="J23:J24"/>
    <mergeCell ref="K23:K24"/>
    <mergeCell ref="O21:O22"/>
    <mergeCell ref="Q21:Q22"/>
    <mergeCell ref="R21:R24"/>
    <mergeCell ref="S21:S24"/>
    <mergeCell ref="T21:T24"/>
    <mergeCell ref="U21:U24"/>
    <mergeCell ref="I21:I22"/>
    <mergeCell ref="J21:J22"/>
    <mergeCell ref="W25:W28"/>
    <mergeCell ref="X25:X28"/>
    <mergeCell ref="A26:B26"/>
    <mergeCell ref="A27:B27"/>
    <mergeCell ref="G27:G28"/>
    <mergeCell ref="H27:H28"/>
    <mergeCell ref="I27:I28"/>
    <mergeCell ref="J27:J28"/>
    <mergeCell ref="K27:K28"/>
    <mergeCell ref="L27:L28"/>
    <mergeCell ref="Q25:Q26"/>
    <mergeCell ref="R25:R28"/>
    <mergeCell ref="S25:S28"/>
    <mergeCell ref="T25:T28"/>
    <mergeCell ref="U25:U28"/>
    <mergeCell ref="V25:V28"/>
    <mergeCell ref="J25:J26"/>
    <mergeCell ref="K25:K26"/>
    <mergeCell ref="L25:L26"/>
    <mergeCell ref="M25:M26"/>
    <mergeCell ref="N25:N26"/>
    <mergeCell ref="O25:O26"/>
    <mergeCell ref="A25:B25"/>
    <mergeCell ref="C25:C28"/>
    <mergeCell ref="K29:K30"/>
    <mergeCell ref="L29:L30"/>
    <mergeCell ref="M29:M30"/>
    <mergeCell ref="N29:N30"/>
    <mergeCell ref="M27:M28"/>
    <mergeCell ref="N27:N28"/>
    <mergeCell ref="O27:O28"/>
    <mergeCell ref="Q27:Q28"/>
    <mergeCell ref="A28:B28"/>
    <mergeCell ref="A29:B29"/>
    <mergeCell ref="C29:C32"/>
    <mergeCell ref="D29:F32"/>
    <mergeCell ref="G29:G30"/>
    <mergeCell ref="H29:H30"/>
    <mergeCell ref="D25:F28"/>
    <mergeCell ref="G25:G26"/>
    <mergeCell ref="H25:H26"/>
    <mergeCell ref="I25:I26"/>
    <mergeCell ref="L31:L32"/>
    <mergeCell ref="M31:M32"/>
    <mergeCell ref="N31:N32"/>
    <mergeCell ref="O31:O32"/>
    <mergeCell ref="Q31:Q32"/>
    <mergeCell ref="A32:B32"/>
    <mergeCell ref="V29:V32"/>
    <mergeCell ref="W29:W32"/>
    <mergeCell ref="X29:X32"/>
    <mergeCell ref="A30:B30"/>
    <mergeCell ref="A31:B31"/>
    <mergeCell ref="G31:G32"/>
    <mergeCell ref="H31:H32"/>
    <mergeCell ref="I31:I32"/>
    <mergeCell ref="J31:J32"/>
    <mergeCell ref="K31:K32"/>
    <mergeCell ref="O29:O30"/>
    <mergeCell ref="Q29:Q30"/>
    <mergeCell ref="R29:R32"/>
    <mergeCell ref="S29:S32"/>
    <mergeCell ref="T29:T32"/>
    <mergeCell ref="U29:U32"/>
    <mergeCell ref="I29:I30"/>
    <mergeCell ref="J29:J30"/>
    <mergeCell ref="J33:J34"/>
    <mergeCell ref="K33:K34"/>
    <mergeCell ref="L33:L34"/>
    <mergeCell ref="M33:M34"/>
    <mergeCell ref="N33:N34"/>
    <mergeCell ref="O33:O34"/>
    <mergeCell ref="A33:B33"/>
    <mergeCell ref="C33:C36"/>
    <mergeCell ref="D33:F36"/>
    <mergeCell ref="G33:G34"/>
    <mergeCell ref="H33:H34"/>
    <mergeCell ref="I33:I34"/>
    <mergeCell ref="S50:X51"/>
    <mergeCell ref="S53:X54"/>
    <mergeCell ref="M35:M36"/>
    <mergeCell ref="N35:N36"/>
    <mergeCell ref="O35:O36"/>
    <mergeCell ref="Q35:Q36"/>
    <mergeCell ref="A36:B36"/>
    <mergeCell ref="C48:D48"/>
    <mergeCell ref="W33:W36"/>
    <mergeCell ref="X33:X36"/>
    <mergeCell ref="A34:B34"/>
    <mergeCell ref="A35:B35"/>
    <mergeCell ref="G35:G36"/>
    <mergeCell ref="H35:H36"/>
    <mergeCell ref="I35:I36"/>
    <mergeCell ref="J35:J36"/>
    <mergeCell ref="K35:K36"/>
    <mergeCell ref="L35:L36"/>
    <mergeCell ref="Q33:Q34"/>
    <mergeCell ref="R33:R36"/>
    <mergeCell ref="S33:S36"/>
    <mergeCell ref="T33:T36"/>
    <mergeCell ref="U33:U36"/>
    <mergeCell ref="V33:V36"/>
  </mergeCells>
  <phoneticPr fontId="11" type="noConversion"/>
  <pageMargins left="0.7" right="0.7" top="0.75" bottom="0.75" header="0.3" footer="0.3"/>
  <pageSetup scale="77" orientation="landscape" horizontalDpi="4294967292" verticalDpi="4294967292"/>
  <rowBreaks count="1" manualBreakCount="1">
    <brk id="36" max="16383" man="1"/>
  </rowBreaks>
  <colBreaks count="1" manualBreakCount="1">
    <brk id="24" max="1048575" man="1"/>
  </colBreaks>
  <extLst>
    <ext xmlns:mx="http://schemas.microsoft.com/office/mac/excel/2008/main" uri="{64002731-A6B0-56B0-2670-7721B7C09600}">
      <mx:PLV Mode="1" OnePage="0" WScale="77"/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77"/>
  <sheetViews>
    <sheetView view="pageLayout" zoomScaleNormal="125" zoomScalePageLayoutView="125" workbookViewId="0">
      <selection activeCell="A8" sqref="A8:B8"/>
    </sheetView>
  </sheetViews>
  <sheetFormatPr baseColWidth="10" defaultColWidth="8.83203125" defaultRowHeight="14" x14ac:dyDescent="0"/>
  <cols>
    <col min="1" max="1" width="10.33203125" customWidth="1"/>
    <col min="2" max="2" width="11.1640625" customWidth="1"/>
    <col min="3" max="3" width="5" customWidth="1"/>
    <col min="4" max="4" width="5.1640625" customWidth="1"/>
    <col min="5" max="5" width="4.6640625" customWidth="1"/>
    <col min="6" max="6" width="4.83203125" customWidth="1"/>
    <col min="7" max="7" width="3.6640625" customWidth="1"/>
    <col min="8" max="8" width="5" customWidth="1"/>
    <col min="9" max="9" width="4.6640625" customWidth="1"/>
    <col min="10" max="11" width="5.33203125" customWidth="1"/>
    <col min="12" max="12" width="4.83203125" customWidth="1"/>
    <col min="13" max="13" width="5.5" customWidth="1"/>
    <col min="14" max="14" width="5.1640625" customWidth="1"/>
    <col min="16" max="17" width="9.83203125" bestFit="1" customWidth="1"/>
    <col min="18" max="18" width="7.6640625" customWidth="1"/>
    <col min="19" max="19" width="9.5" customWidth="1"/>
    <col min="20" max="20" width="6" hidden="1" customWidth="1"/>
    <col min="21" max="21" width="4.33203125" hidden="1" customWidth="1"/>
    <col min="22" max="22" width="7.6640625" hidden="1" customWidth="1"/>
    <col min="23" max="23" width="9.33203125" customWidth="1"/>
    <col min="24" max="24" width="12.6640625" customWidth="1"/>
  </cols>
  <sheetData>
    <row r="1" spans="1:24" ht="15" customHeight="1">
      <c r="A1" s="149" t="s">
        <v>22</v>
      </c>
      <c r="B1" s="149"/>
      <c r="C1" s="149"/>
      <c r="D1" s="149"/>
      <c r="E1" s="147"/>
      <c r="F1" s="151" t="s">
        <v>55</v>
      </c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9"/>
      <c r="W1" s="9"/>
      <c r="X1" s="9"/>
    </row>
    <row r="2" spans="1:24">
      <c r="A2" s="149"/>
      <c r="B2" s="149"/>
      <c r="C2" s="149"/>
      <c r="D2" s="149"/>
      <c r="E2" s="147"/>
      <c r="F2" s="151"/>
      <c r="G2" s="151"/>
      <c r="H2" s="151"/>
      <c r="I2" s="151"/>
      <c r="J2" s="151"/>
      <c r="K2" s="151"/>
      <c r="L2" s="151"/>
      <c r="M2" s="151"/>
      <c r="N2" s="151"/>
      <c r="O2" s="151"/>
      <c r="P2" s="151"/>
      <c r="Q2" s="151"/>
      <c r="R2" s="151"/>
      <c r="S2" s="151"/>
      <c r="T2" s="151"/>
      <c r="U2" s="151"/>
      <c r="V2" s="9"/>
      <c r="W2" s="9"/>
      <c r="X2" s="9"/>
    </row>
    <row r="3" spans="1:24" ht="15" customHeight="1" thickBot="1">
      <c r="A3" s="150"/>
      <c r="B3" s="150"/>
      <c r="C3" s="150"/>
      <c r="D3" s="150"/>
      <c r="E3" s="148"/>
      <c r="F3" s="152"/>
      <c r="G3" s="152"/>
      <c r="H3" s="152"/>
      <c r="I3" s="152"/>
      <c r="J3" s="152"/>
      <c r="K3" s="152"/>
      <c r="L3" s="152"/>
      <c r="M3" s="152"/>
      <c r="N3" s="152"/>
      <c r="O3" s="152"/>
      <c r="P3" s="152"/>
      <c r="Q3" s="152"/>
      <c r="R3" s="152"/>
      <c r="S3" s="152"/>
      <c r="T3" s="152"/>
      <c r="U3" s="152"/>
      <c r="V3" s="10"/>
      <c r="W3" s="10"/>
      <c r="X3" s="10"/>
    </row>
    <row r="4" spans="1:24" s="11" customFormat="1">
      <c r="A4" s="153" t="s">
        <v>56</v>
      </c>
      <c r="B4" s="154"/>
      <c r="C4" s="154"/>
      <c r="D4" s="154" t="s">
        <v>52</v>
      </c>
      <c r="E4" s="154"/>
      <c r="F4" s="154"/>
      <c r="G4" s="154"/>
      <c r="H4" s="155"/>
      <c r="I4" s="155"/>
      <c r="J4" s="155"/>
      <c r="K4" s="155"/>
      <c r="L4" s="155"/>
      <c r="M4" s="155"/>
      <c r="N4" s="156"/>
      <c r="O4" s="157" t="s">
        <v>126</v>
      </c>
      <c r="P4" s="158"/>
      <c r="Q4" s="158"/>
      <c r="R4" s="158"/>
      <c r="S4" s="158"/>
      <c r="T4" s="158"/>
      <c r="U4" s="158"/>
      <c r="V4" s="158"/>
      <c r="W4" s="159"/>
      <c r="X4" s="160"/>
    </row>
    <row r="5" spans="1:24" s="1" customFormat="1" ht="12">
      <c r="A5" s="163" t="s">
        <v>125</v>
      </c>
      <c r="B5" s="164"/>
      <c r="C5" s="164"/>
      <c r="D5" s="164"/>
      <c r="E5" s="164"/>
      <c r="F5" s="164"/>
      <c r="G5" s="164"/>
      <c r="H5" s="164"/>
      <c r="I5" s="164"/>
      <c r="J5" s="164"/>
      <c r="K5" s="164"/>
      <c r="L5" s="164"/>
      <c r="M5" s="164"/>
      <c r="N5" s="165"/>
      <c r="O5" s="166" t="s">
        <v>108</v>
      </c>
      <c r="P5" s="167"/>
      <c r="Q5" s="167"/>
      <c r="R5" s="167"/>
      <c r="S5" s="167"/>
      <c r="T5" s="167"/>
      <c r="U5" s="167"/>
      <c r="V5" s="167"/>
      <c r="W5" s="161"/>
      <c r="X5" s="162"/>
    </row>
    <row r="6" spans="1:24" s="13" customFormat="1" ht="11">
      <c r="A6" s="168" t="s">
        <v>18</v>
      </c>
      <c r="B6" s="169"/>
      <c r="C6" s="169"/>
      <c r="D6" s="170"/>
      <c r="E6" s="115"/>
      <c r="F6" s="168" t="s">
        <v>19</v>
      </c>
      <c r="G6" s="169"/>
      <c r="H6" s="169"/>
      <c r="I6" s="169"/>
      <c r="J6" s="169"/>
      <c r="K6" s="169"/>
      <c r="L6" s="169"/>
      <c r="M6" s="169"/>
      <c r="N6" s="170"/>
      <c r="O6" s="102" t="s">
        <v>20</v>
      </c>
      <c r="P6" s="15"/>
      <c r="Q6" s="15"/>
      <c r="R6" s="15"/>
      <c r="S6" s="102" t="s">
        <v>91</v>
      </c>
      <c r="T6" s="15" t="s">
        <v>21</v>
      </c>
      <c r="U6" s="15"/>
      <c r="V6" s="15"/>
      <c r="X6" s="16"/>
    </row>
    <row r="7" spans="1:24" s="1" customFormat="1" ht="16.5" customHeight="1">
      <c r="A7" s="171">
        <v>16</v>
      </c>
      <c r="B7" s="172"/>
      <c r="C7" s="172"/>
      <c r="D7" s="173"/>
      <c r="E7" s="146"/>
      <c r="F7" s="174">
        <v>42491</v>
      </c>
      <c r="G7" s="175"/>
      <c r="H7" s="175"/>
      <c r="I7" s="175"/>
      <c r="J7" s="175"/>
      <c r="K7" s="175"/>
      <c r="L7" s="175"/>
      <c r="M7" s="175"/>
      <c r="N7" s="176"/>
      <c r="O7" s="166" t="s">
        <v>107</v>
      </c>
      <c r="P7" s="167"/>
      <c r="Q7" s="167"/>
      <c r="R7" s="167"/>
      <c r="S7" s="167"/>
      <c r="T7" s="167" t="s">
        <v>109</v>
      </c>
      <c r="U7" s="167"/>
      <c r="V7" s="167"/>
      <c r="W7" s="167"/>
      <c r="X7" s="177"/>
    </row>
    <row r="8" spans="1:24" s="2" customFormat="1" ht="11.25" customHeight="1">
      <c r="A8" s="178" t="s">
        <v>23</v>
      </c>
      <c r="B8" s="179"/>
      <c r="C8" s="7" t="s">
        <v>24</v>
      </c>
      <c r="D8" s="178" t="s">
        <v>25</v>
      </c>
      <c r="E8" s="180"/>
      <c r="F8" s="179"/>
      <c r="G8" s="181" t="s">
        <v>29</v>
      </c>
      <c r="H8" s="184" t="s">
        <v>54</v>
      </c>
      <c r="I8" s="185"/>
      <c r="J8" s="185"/>
      <c r="K8" s="185"/>
      <c r="L8" s="185"/>
      <c r="M8" s="185"/>
      <c r="N8" s="186"/>
      <c r="O8" s="7" t="s">
        <v>30</v>
      </c>
      <c r="P8" s="7" t="s">
        <v>31</v>
      </c>
      <c r="Q8" s="7" t="s">
        <v>32</v>
      </c>
      <c r="R8" s="187" t="s">
        <v>33</v>
      </c>
      <c r="S8" s="187"/>
      <c r="T8" s="187"/>
      <c r="U8" s="187"/>
      <c r="V8" s="187"/>
      <c r="W8" s="187"/>
      <c r="X8" s="187" t="s">
        <v>53</v>
      </c>
    </row>
    <row r="9" spans="1:24" ht="17.25" customHeight="1">
      <c r="A9" s="188" t="s">
        <v>26</v>
      </c>
      <c r="B9" s="189"/>
      <c r="C9" s="192" t="s">
        <v>27</v>
      </c>
      <c r="D9" s="194" t="s">
        <v>28</v>
      </c>
      <c r="E9" s="195"/>
      <c r="F9" s="196"/>
      <c r="G9" s="182"/>
      <c r="H9" s="132" t="s">
        <v>36</v>
      </c>
      <c r="I9" s="133" t="s">
        <v>37</v>
      </c>
      <c r="J9" s="133" t="s">
        <v>38</v>
      </c>
      <c r="K9" s="133" t="s">
        <v>111</v>
      </c>
      <c r="L9" s="133" t="s">
        <v>39</v>
      </c>
      <c r="M9" s="133" t="s">
        <v>41</v>
      </c>
      <c r="N9" s="133" t="s">
        <v>42</v>
      </c>
      <c r="O9" s="6"/>
      <c r="P9" s="8"/>
      <c r="Q9" s="8"/>
      <c r="R9" s="187"/>
      <c r="S9" s="187"/>
      <c r="T9" s="187"/>
      <c r="U9" s="187"/>
      <c r="V9" s="187"/>
      <c r="W9" s="187"/>
      <c r="X9" s="187"/>
    </row>
    <row r="10" spans="1:24" ht="19.5" customHeight="1">
      <c r="A10" s="188"/>
      <c r="B10" s="189"/>
      <c r="C10" s="192"/>
      <c r="D10" s="194"/>
      <c r="E10" s="195"/>
      <c r="F10" s="196"/>
      <c r="G10" s="182"/>
      <c r="H10" s="100">
        <f t="shared" ref="H10:L10" si="0">I10-1</f>
        <v>42485</v>
      </c>
      <c r="I10" s="100">
        <f t="shared" si="0"/>
        <v>42486</v>
      </c>
      <c r="J10" s="100">
        <f t="shared" si="0"/>
        <v>42487</v>
      </c>
      <c r="K10" s="100">
        <f t="shared" si="0"/>
        <v>42488</v>
      </c>
      <c r="L10" s="100">
        <f t="shared" si="0"/>
        <v>42489</v>
      </c>
      <c r="M10" s="100">
        <f>N10-1</f>
        <v>42490</v>
      </c>
      <c r="N10" s="100">
        <f>F7</f>
        <v>42491</v>
      </c>
      <c r="O10" s="200" t="s">
        <v>46</v>
      </c>
      <c r="P10" s="200" t="s">
        <v>47</v>
      </c>
      <c r="Q10" s="200" t="s">
        <v>48</v>
      </c>
      <c r="R10" s="206" t="s">
        <v>44</v>
      </c>
      <c r="S10" s="206" t="s">
        <v>45</v>
      </c>
      <c r="T10" s="207"/>
      <c r="U10" s="207"/>
      <c r="V10" s="202" t="s">
        <v>35</v>
      </c>
      <c r="W10" s="203" t="s">
        <v>34</v>
      </c>
      <c r="X10" s="187"/>
    </row>
    <row r="11" spans="1:24" ht="18.75" hidden="1" customHeight="1">
      <c r="A11" s="188"/>
      <c r="B11" s="189"/>
      <c r="C11" s="192"/>
      <c r="D11" s="194"/>
      <c r="E11" s="195"/>
      <c r="F11" s="196"/>
      <c r="G11" s="182"/>
      <c r="H11" s="5"/>
      <c r="I11" s="4"/>
      <c r="J11" s="4"/>
      <c r="K11" s="4"/>
      <c r="L11" s="4"/>
      <c r="M11" s="4"/>
      <c r="N11" s="4"/>
      <c r="O11" s="200"/>
      <c r="P11" s="200"/>
      <c r="Q11" s="200"/>
      <c r="R11" s="206"/>
      <c r="S11" s="206"/>
      <c r="T11" s="207"/>
      <c r="U11" s="207"/>
      <c r="V11" s="202"/>
      <c r="W11" s="203"/>
      <c r="X11" s="187"/>
    </row>
    <row r="12" spans="1:24">
      <c r="A12" s="190"/>
      <c r="B12" s="191"/>
      <c r="C12" s="193"/>
      <c r="D12" s="197"/>
      <c r="E12" s="198"/>
      <c r="F12" s="199"/>
      <c r="G12" s="183"/>
      <c r="H12" s="204" t="s">
        <v>43</v>
      </c>
      <c r="I12" s="204"/>
      <c r="J12" s="204"/>
      <c r="K12" s="204"/>
      <c r="L12" s="204"/>
      <c r="M12" s="204"/>
      <c r="N12" s="205"/>
      <c r="O12" s="201"/>
      <c r="P12" s="201"/>
      <c r="Q12" s="201"/>
      <c r="R12" s="206"/>
      <c r="S12" s="206"/>
      <c r="T12" s="207"/>
      <c r="U12" s="207"/>
      <c r="V12" s="202"/>
      <c r="W12" s="203"/>
      <c r="X12" s="187"/>
    </row>
    <row r="13" spans="1:24" ht="15" customHeight="1">
      <c r="A13" s="208" t="s">
        <v>98</v>
      </c>
      <c r="B13" s="209"/>
      <c r="C13" s="210">
        <v>2</v>
      </c>
      <c r="D13" s="249" t="s">
        <v>123</v>
      </c>
      <c r="E13" s="250"/>
      <c r="F13" s="251"/>
      <c r="G13" s="220" t="s">
        <v>49</v>
      </c>
      <c r="H13" s="220"/>
      <c r="I13" s="220"/>
      <c r="J13" s="220"/>
      <c r="K13" s="220"/>
      <c r="L13" s="220"/>
      <c r="M13" s="220"/>
      <c r="N13" s="220"/>
      <c r="O13" s="232">
        <f>SUM(H13:N14)</f>
        <v>0</v>
      </c>
      <c r="P13" s="105" t="s">
        <v>110</v>
      </c>
      <c r="Q13" s="238">
        <f>P14*O13</f>
        <v>0</v>
      </c>
      <c r="R13" s="226">
        <v>0</v>
      </c>
      <c r="S13" s="226">
        <f>7.44+1.74</f>
        <v>9.18</v>
      </c>
      <c r="T13" s="226"/>
      <c r="U13" s="226"/>
      <c r="V13" s="226"/>
      <c r="W13" s="226">
        <f>S13+R13</f>
        <v>9.18</v>
      </c>
      <c r="X13" s="229">
        <f>Q15-W13+Q13</f>
        <v>-9.18</v>
      </c>
    </row>
    <row r="14" spans="1:24">
      <c r="A14" s="221" t="s">
        <v>103</v>
      </c>
      <c r="B14" s="222"/>
      <c r="C14" s="210"/>
      <c r="D14" s="252"/>
      <c r="E14" s="253"/>
      <c r="F14" s="254"/>
      <c r="G14" s="220"/>
      <c r="H14" s="220"/>
      <c r="I14" s="220"/>
      <c r="J14" s="220"/>
      <c r="K14" s="220"/>
      <c r="L14" s="220"/>
      <c r="M14" s="220"/>
      <c r="N14" s="220"/>
      <c r="O14" s="233"/>
      <c r="P14" s="103">
        <f>P16/2+P16</f>
        <v>22.5</v>
      </c>
      <c r="Q14" s="239"/>
      <c r="R14" s="227"/>
      <c r="S14" s="227"/>
      <c r="T14" s="227"/>
      <c r="U14" s="227"/>
      <c r="V14" s="227"/>
      <c r="W14" s="227"/>
      <c r="X14" s="230"/>
    </row>
    <row r="15" spans="1:24">
      <c r="A15" s="261"/>
      <c r="B15" s="262"/>
      <c r="C15" s="210"/>
      <c r="D15" s="252"/>
      <c r="E15" s="253"/>
      <c r="F15" s="254"/>
      <c r="G15" s="223" t="s">
        <v>40</v>
      </c>
      <c r="H15" s="223">
        <v>0</v>
      </c>
      <c r="I15" s="223">
        <v>0</v>
      </c>
      <c r="J15" s="223">
        <v>0</v>
      </c>
      <c r="K15" s="223">
        <v>0</v>
      </c>
      <c r="L15" s="223">
        <v>0</v>
      </c>
      <c r="M15" s="223">
        <v>0</v>
      </c>
      <c r="N15" s="223">
        <v>0</v>
      </c>
      <c r="O15" s="234">
        <f>SUM(H15:N16)</f>
        <v>0</v>
      </c>
      <c r="P15" s="106" t="s">
        <v>110</v>
      </c>
      <c r="Q15" s="236">
        <f>P16*O15</f>
        <v>0</v>
      </c>
      <c r="R15" s="227"/>
      <c r="S15" s="227"/>
      <c r="T15" s="227"/>
      <c r="U15" s="227"/>
      <c r="V15" s="227"/>
      <c r="W15" s="227"/>
      <c r="X15" s="230"/>
    </row>
    <row r="16" spans="1:24">
      <c r="A16" s="224"/>
      <c r="B16" s="225"/>
      <c r="C16" s="210"/>
      <c r="D16" s="255"/>
      <c r="E16" s="256"/>
      <c r="F16" s="257"/>
      <c r="G16" s="223"/>
      <c r="H16" s="223"/>
      <c r="I16" s="223"/>
      <c r="J16" s="223"/>
      <c r="K16" s="223"/>
      <c r="L16" s="223"/>
      <c r="M16" s="223"/>
      <c r="N16" s="223"/>
      <c r="O16" s="235"/>
      <c r="P16" s="104">
        <v>15</v>
      </c>
      <c r="Q16" s="237"/>
      <c r="R16" s="228"/>
      <c r="S16" s="228"/>
      <c r="T16" s="228"/>
      <c r="U16" s="228"/>
      <c r="V16" s="228"/>
      <c r="W16" s="228"/>
      <c r="X16" s="231"/>
    </row>
    <row r="17" spans="1:24" ht="15" customHeight="1">
      <c r="A17" s="208"/>
      <c r="B17" s="209"/>
      <c r="C17" s="210">
        <v>2</v>
      </c>
      <c r="D17" s="249" t="s">
        <v>123</v>
      </c>
      <c r="E17" s="250"/>
      <c r="F17" s="251"/>
      <c r="G17" s="220" t="s">
        <v>49</v>
      </c>
      <c r="H17" s="220"/>
      <c r="I17" s="220"/>
      <c r="J17" s="220"/>
      <c r="K17" s="220"/>
      <c r="L17" s="220"/>
      <c r="M17" s="220"/>
      <c r="N17" s="220"/>
      <c r="O17" s="232">
        <f>SUM(H17:N18)</f>
        <v>0</v>
      </c>
      <c r="P17" s="105" t="s">
        <v>110</v>
      </c>
      <c r="Q17" s="238">
        <f>P18*O17</f>
        <v>0</v>
      </c>
      <c r="R17" s="226">
        <v>0</v>
      </c>
      <c r="S17" s="226">
        <v>0</v>
      </c>
      <c r="T17" s="226"/>
      <c r="U17" s="226"/>
      <c r="V17" s="226"/>
      <c r="W17" s="226">
        <f>S17+R17</f>
        <v>0</v>
      </c>
      <c r="X17" s="229">
        <f>Q19-W17</f>
        <v>0</v>
      </c>
    </row>
    <row r="18" spans="1:24">
      <c r="A18" s="221"/>
      <c r="B18" s="222"/>
      <c r="C18" s="210"/>
      <c r="D18" s="252"/>
      <c r="E18" s="253"/>
      <c r="F18" s="254"/>
      <c r="G18" s="220"/>
      <c r="H18" s="220"/>
      <c r="I18" s="220"/>
      <c r="J18" s="220"/>
      <c r="K18" s="220"/>
      <c r="L18" s="220"/>
      <c r="M18" s="220"/>
      <c r="N18" s="220"/>
      <c r="O18" s="233"/>
      <c r="P18" s="103">
        <f>P20/2+P20</f>
        <v>22.5</v>
      </c>
      <c r="Q18" s="239"/>
      <c r="R18" s="227"/>
      <c r="S18" s="227"/>
      <c r="T18" s="227"/>
      <c r="U18" s="227"/>
      <c r="V18" s="227"/>
      <c r="W18" s="227"/>
      <c r="X18" s="230"/>
    </row>
    <row r="19" spans="1:24">
      <c r="A19" s="261"/>
      <c r="B19" s="262"/>
      <c r="C19" s="210"/>
      <c r="D19" s="252"/>
      <c r="E19" s="253"/>
      <c r="F19" s="254"/>
      <c r="G19" s="223" t="s">
        <v>40</v>
      </c>
      <c r="H19" s="223">
        <v>0</v>
      </c>
      <c r="I19" s="223">
        <v>0</v>
      </c>
      <c r="J19" s="223">
        <v>0</v>
      </c>
      <c r="K19" s="223">
        <v>0</v>
      </c>
      <c r="L19" s="223">
        <v>0</v>
      </c>
      <c r="M19" s="223">
        <v>0</v>
      </c>
      <c r="N19" s="223">
        <v>0</v>
      </c>
      <c r="O19" s="223">
        <f>SUM(H19:N20)</f>
        <v>0</v>
      </c>
      <c r="P19" s="106" t="s">
        <v>110</v>
      </c>
      <c r="Q19" s="236">
        <f>P20*O19</f>
        <v>0</v>
      </c>
      <c r="R19" s="227"/>
      <c r="S19" s="227"/>
      <c r="T19" s="227"/>
      <c r="U19" s="227"/>
      <c r="V19" s="227"/>
      <c r="W19" s="227"/>
      <c r="X19" s="230"/>
    </row>
    <row r="20" spans="1:24">
      <c r="A20" s="224"/>
      <c r="B20" s="225"/>
      <c r="C20" s="210"/>
      <c r="D20" s="255"/>
      <c r="E20" s="256"/>
      <c r="F20" s="257"/>
      <c r="G20" s="223"/>
      <c r="H20" s="223"/>
      <c r="I20" s="223"/>
      <c r="J20" s="223"/>
      <c r="K20" s="223"/>
      <c r="L20" s="223"/>
      <c r="M20" s="223"/>
      <c r="N20" s="223"/>
      <c r="O20" s="223"/>
      <c r="P20" s="104">
        <v>15</v>
      </c>
      <c r="Q20" s="237"/>
      <c r="R20" s="228"/>
      <c r="S20" s="228"/>
      <c r="T20" s="228"/>
      <c r="U20" s="228"/>
      <c r="V20" s="228"/>
      <c r="W20" s="228"/>
      <c r="X20" s="231"/>
    </row>
    <row r="21" spans="1:24" ht="14" customHeight="1">
      <c r="A21" s="208"/>
      <c r="B21" s="209"/>
      <c r="C21" s="210"/>
      <c r="D21" s="211"/>
      <c r="E21" s="212"/>
      <c r="F21" s="213"/>
      <c r="G21" s="220"/>
      <c r="H21" s="220"/>
      <c r="I21" s="220"/>
      <c r="J21" s="220"/>
      <c r="K21" s="220"/>
      <c r="L21" s="220"/>
      <c r="M21" s="220"/>
      <c r="N21" s="220"/>
      <c r="O21" s="232"/>
      <c r="P21" s="105"/>
      <c r="Q21" s="238"/>
      <c r="R21" s="226"/>
      <c r="S21" s="226"/>
      <c r="T21" s="226"/>
      <c r="U21" s="226"/>
      <c r="V21" s="226"/>
      <c r="W21" s="226"/>
      <c r="X21" s="229"/>
    </row>
    <row r="22" spans="1:24">
      <c r="A22" s="221"/>
      <c r="B22" s="222"/>
      <c r="C22" s="210"/>
      <c r="D22" s="214"/>
      <c r="E22" s="215"/>
      <c r="F22" s="216"/>
      <c r="G22" s="220"/>
      <c r="H22" s="220"/>
      <c r="I22" s="220"/>
      <c r="J22" s="220"/>
      <c r="K22" s="220"/>
      <c r="L22" s="220"/>
      <c r="M22" s="220"/>
      <c r="N22" s="220"/>
      <c r="O22" s="233"/>
      <c r="P22" s="103"/>
      <c r="Q22" s="239"/>
      <c r="R22" s="227"/>
      <c r="S22" s="227"/>
      <c r="T22" s="227"/>
      <c r="U22" s="227"/>
      <c r="V22" s="227"/>
      <c r="W22" s="227"/>
      <c r="X22" s="230"/>
    </row>
    <row r="23" spans="1:24">
      <c r="A23" s="221"/>
      <c r="B23" s="222"/>
      <c r="C23" s="210"/>
      <c r="D23" s="214"/>
      <c r="E23" s="215"/>
      <c r="F23" s="216"/>
      <c r="G23" s="223"/>
      <c r="H23" s="223"/>
      <c r="I23" s="223"/>
      <c r="J23" s="223"/>
      <c r="K23" s="223"/>
      <c r="L23" s="223"/>
      <c r="M23" s="223"/>
      <c r="N23" s="223"/>
      <c r="O23" s="223"/>
      <c r="P23" s="106"/>
      <c r="Q23" s="236"/>
      <c r="R23" s="227"/>
      <c r="S23" s="227"/>
      <c r="T23" s="227"/>
      <c r="U23" s="227"/>
      <c r="V23" s="227"/>
      <c r="W23" s="227"/>
      <c r="X23" s="230"/>
    </row>
    <row r="24" spans="1:24">
      <c r="A24" s="224"/>
      <c r="B24" s="225"/>
      <c r="C24" s="210"/>
      <c r="D24" s="217"/>
      <c r="E24" s="218"/>
      <c r="F24" s="219"/>
      <c r="G24" s="223"/>
      <c r="H24" s="223"/>
      <c r="I24" s="223"/>
      <c r="J24" s="223"/>
      <c r="K24" s="223"/>
      <c r="L24" s="223"/>
      <c r="M24" s="223"/>
      <c r="N24" s="223"/>
      <c r="O24" s="223"/>
      <c r="P24" s="104"/>
      <c r="Q24" s="237"/>
      <c r="R24" s="228"/>
      <c r="S24" s="228"/>
      <c r="T24" s="228"/>
      <c r="U24" s="228"/>
      <c r="V24" s="228"/>
      <c r="W24" s="228"/>
      <c r="X24" s="231"/>
    </row>
    <row r="25" spans="1:24" ht="14" customHeight="1">
      <c r="A25" s="208"/>
      <c r="B25" s="209"/>
      <c r="C25" s="210"/>
      <c r="D25" s="211"/>
      <c r="E25" s="212"/>
      <c r="F25" s="213"/>
      <c r="G25" s="220"/>
      <c r="H25" s="220"/>
      <c r="I25" s="220"/>
      <c r="J25" s="220"/>
      <c r="K25" s="220"/>
      <c r="L25" s="220"/>
      <c r="M25" s="220"/>
      <c r="N25" s="220"/>
      <c r="O25" s="232"/>
      <c r="P25" s="105"/>
      <c r="Q25" s="248"/>
      <c r="R25" s="226"/>
      <c r="S25" s="226"/>
      <c r="T25" s="226"/>
      <c r="U25" s="226"/>
      <c r="V25" s="226"/>
      <c r="W25" s="226"/>
      <c r="X25" s="229"/>
    </row>
    <row r="26" spans="1:24">
      <c r="A26" s="221"/>
      <c r="B26" s="222"/>
      <c r="C26" s="210"/>
      <c r="D26" s="214"/>
      <c r="E26" s="215"/>
      <c r="F26" s="216"/>
      <c r="G26" s="220"/>
      <c r="H26" s="220"/>
      <c r="I26" s="220"/>
      <c r="J26" s="220"/>
      <c r="K26" s="220"/>
      <c r="L26" s="220"/>
      <c r="M26" s="220"/>
      <c r="N26" s="220"/>
      <c r="O26" s="233"/>
      <c r="P26" s="103"/>
      <c r="Q26" s="248"/>
      <c r="R26" s="227"/>
      <c r="S26" s="227"/>
      <c r="T26" s="227"/>
      <c r="U26" s="227"/>
      <c r="V26" s="227"/>
      <c r="W26" s="227"/>
      <c r="X26" s="230"/>
    </row>
    <row r="27" spans="1:24">
      <c r="A27" s="221"/>
      <c r="B27" s="222"/>
      <c r="C27" s="210"/>
      <c r="D27" s="214"/>
      <c r="E27" s="215"/>
      <c r="F27" s="216"/>
      <c r="G27" s="223"/>
      <c r="H27" s="223"/>
      <c r="I27" s="223"/>
      <c r="J27" s="223"/>
      <c r="K27" s="223"/>
      <c r="L27" s="223"/>
      <c r="M27" s="223"/>
      <c r="N27" s="223"/>
      <c r="O27" s="223"/>
      <c r="P27" s="106"/>
      <c r="Q27" s="236"/>
      <c r="R27" s="227"/>
      <c r="S27" s="227"/>
      <c r="T27" s="227"/>
      <c r="U27" s="227"/>
      <c r="V27" s="227"/>
      <c r="W27" s="227"/>
      <c r="X27" s="230"/>
    </row>
    <row r="28" spans="1:24">
      <c r="A28" s="224"/>
      <c r="B28" s="225"/>
      <c r="C28" s="210"/>
      <c r="D28" s="217"/>
      <c r="E28" s="218"/>
      <c r="F28" s="219"/>
      <c r="G28" s="223"/>
      <c r="H28" s="223"/>
      <c r="I28" s="223"/>
      <c r="J28" s="223"/>
      <c r="K28" s="223"/>
      <c r="L28" s="223"/>
      <c r="M28" s="223"/>
      <c r="N28" s="223"/>
      <c r="O28" s="223"/>
      <c r="P28" s="104"/>
      <c r="Q28" s="237"/>
      <c r="R28" s="228"/>
      <c r="S28" s="228"/>
      <c r="T28" s="228"/>
      <c r="U28" s="228"/>
      <c r="V28" s="228"/>
      <c r="W28" s="228"/>
      <c r="X28" s="231"/>
    </row>
    <row r="29" spans="1:24" ht="14" customHeight="1">
      <c r="A29" s="208"/>
      <c r="B29" s="209"/>
      <c r="C29" s="210"/>
      <c r="D29" s="211"/>
      <c r="E29" s="212"/>
      <c r="F29" s="213"/>
      <c r="G29" s="220"/>
      <c r="H29" s="220"/>
      <c r="I29" s="220"/>
      <c r="J29" s="220"/>
      <c r="K29" s="220"/>
      <c r="L29" s="220"/>
      <c r="M29" s="220"/>
      <c r="N29" s="220"/>
      <c r="O29" s="232"/>
      <c r="P29" s="105"/>
      <c r="Q29" s="248"/>
      <c r="R29" s="226"/>
      <c r="S29" s="226"/>
      <c r="T29" s="226"/>
      <c r="U29" s="226"/>
      <c r="V29" s="226"/>
      <c r="W29" s="226"/>
      <c r="X29" s="229"/>
    </row>
    <row r="30" spans="1:24">
      <c r="A30" s="221"/>
      <c r="B30" s="222"/>
      <c r="C30" s="210"/>
      <c r="D30" s="214"/>
      <c r="E30" s="215"/>
      <c r="F30" s="216"/>
      <c r="G30" s="220"/>
      <c r="H30" s="220"/>
      <c r="I30" s="220"/>
      <c r="J30" s="220"/>
      <c r="K30" s="220"/>
      <c r="L30" s="220"/>
      <c r="M30" s="220"/>
      <c r="N30" s="220"/>
      <c r="O30" s="233"/>
      <c r="P30" s="103"/>
      <c r="Q30" s="248"/>
      <c r="R30" s="227"/>
      <c r="S30" s="227"/>
      <c r="T30" s="227"/>
      <c r="U30" s="227"/>
      <c r="V30" s="227"/>
      <c r="W30" s="227"/>
      <c r="X30" s="230"/>
    </row>
    <row r="31" spans="1:24">
      <c r="A31" s="221"/>
      <c r="B31" s="222"/>
      <c r="C31" s="210"/>
      <c r="D31" s="214"/>
      <c r="E31" s="215"/>
      <c r="F31" s="216"/>
      <c r="G31" s="223"/>
      <c r="H31" s="223"/>
      <c r="I31" s="234"/>
      <c r="J31" s="234"/>
      <c r="K31" s="234"/>
      <c r="L31" s="234"/>
      <c r="M31" s="234"/>
      <c r="N31" s="234"/>
      <c r="O31" s="223"/>
      <c r="P31" s="106"/>
      <c r="Q31" s="236"/>
      <c r="R31" s="227"/>
      <c r="S31" s="227"/>
      <c r="T31" s="227"/>
      <c r="U31" s="227"/>
      <c r="V31" s="227"/>
      <c r="W31" s="227"/>
      <c r="X31" s="230"/>
    </row>
    <row r="32" spans="1:24">
      <c r="A32" s="224"/>
      <c r="B32" s="225"/>
      <c r="C32" s="210"/>
      <c r="D32" s="217"/>
      <c r="E32" s="218"/>
      <c r="F32" s="219"/>
      <c r="G32" s="223"/>
      <c r="H32" s="223"/>
      <c r="I32" s="235"/>
      <c r="J32" s="235"/>
      <c r="K32" s="235"/>
      <c r="L32" s="235"/>
      <c r="M32" s="235"/>
      <c r="N32" s="235"/>
      <c r="O32" s="223"/>
      <c r="P32" s="104"/>
      <c r="Q32" s="237"/>
      <c r="R32" s="228"/>
      <c r="S32" s="228"/>
      <c r="T32" s="228"/>
      <c r="U32" s="228"/>
      <c r="V32" s="228"/>
      <c r="W32" s="228"/>
      <c r="X32" s="231"/>
    </row>
    <row r="33" spans="1:24" ht="14" customHeight="1">
      <c r="A33" s="208"/>
      <c r="B33" s="209"/>
      <c r="C33" s="210"/>
      <c r="D33" s="211"/>
      <c r="E33" s="212"/>
      <c r="F33" s="213"/>
      <c r="G33" s="220"/>
      <c r="H33" s="220"/>
      <c r="I33" s="220"/>
      <c r="J33" s="220"/>
      <c r="K33" s="220"/>
      <c r="L33" s="220"/>
      <c r="M33" s="220"/>
      <c r="N33" s="220"/>
      <c r="O33" s="232"/>
      <c r="P33" s="105"/>
      <c r="Q33" s="248"/>
      <c r="R33" s="229"/>
      <c r="S33" s="226"/>
      <c r="T33" s="226"/>
      <c r="U33" s="226"/>
      <c r="V33" s="226"/>
      <c r="W33" s="226"/>
      <c r="X33" s="229"/>
    </row>
    <row r="34" spans="1:24">
      <c r="A34" s="221"/>
      <c r="B34" s="222"/>
      <c r="C34" s="210"/>
      <c r="D34" s="214"/>
      <c r="E34" s="215"/>
      <c r="F34" s="216"/>
      <c r="G34" s="220"/>
      <c r="H34" s="220"/>
      <c r="I34" s="220"/>
      <c r="J34" s="220"/>
      <c r="K34" s="220"/>
      <c r="L34" s="220"/>
      <c r="M34" s="220"/>
      <c r="N34" s="220"/>
      <c r="O34" s="233"/>
      <c r="P34" s="103"/>
      <c r="Q34" s="248"/>
      <c r="R34" s="230"/>
      <c r="S34" s="227"/>
      <c r="T34" s="227"/>
      <c r="U34" s="227"/>
      <c r="V34" s="227"/>
      <c r="W34" s="227"/>
      <c r="X34" s="230"/>
    </row>
    <row r="35" spans="1:24">
      <c r="A35" s="221"/>
      <c r="B35" s="222"/>
      <c r="C35" s="210"/>
      <c r="D35" s="214"/>
      <c r="E35" s="215"/>
      <c r="F35" s="216"/>
      <c r="G35" s="223"/>
      <c r="H35" s="223"/>
      <c r="I35" s="234"/>
      <c r="J35" s="234"/>
      <c r="K35" s="234"/>
      <c r="L35" s="234"/>
      <c r="M35" s="234"/>
      <c r="N35" s="234"/>
      <c r="O35" s="223"/>
      <c r="P35" s="106"/>
      <c r="Q35" s="236"/>
      <c r="R35" s="230"/>
      <c r="S35" s="227"/>
      <c r="T35" s="227"/>
      <c r="U35" s="227"/>
      <c r="V35" s="227"/>
      <c r="W35" s="227"/>
      <c r="X35" s="230"/>
    </row>
    <row r="36" spans="1:24">
      <c r="A36" s="224"/>
      <c r="B36" s="225"/>
      <c r="C36" s="210"/>
      <c r="D36" s="217"/>
      <c r="E36" s="218"/>
      <c r="F36" s="219"/>
      <c r="G36" s="223"/>
      <c r="H36" s="223"/>
      <c r="I36" s="235"/>
      <c r="J36" s="235"/>
      <c r="K36" s="235"/>
      <c r="L36" s="235"/>
      <c r="M36" s="235"/>
      <c r="N36" s="235"/>
      <c r="O36" s="223"/>
      <c r="P36" s="104"/>
      <c r="Q36" s="237"/>
      <c r="R36" s="231"/>
      <c r="S36" s="228"/>
      <c r="T36" s="228"/>
      <c r="U36" s="228"/>
      <c r="V36" s="228"/>
      <c r="W36" s="228"/>
      <c r="X36" s="231"/>
    </row>
    <row r="37" spans="1:24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</row>
    <row r="38" spans="1:24" ht="15.75" customHeight="1">
      <c r="A38" s="18" t="s">
        <v>58</v>
      </c>
      <c r="B38" s="101">
        <f>N10</f>
        <v>42491</v>
      </c>
      <c r="C38" s="20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 t="s">
        <v>82</v>
      </c>
      <c r="R38" s="18"/>
      <c r="S38" s="18"/>
      <c r="T38" s="18"/>
      <c r="U38" s="3"/>
      <c r="V38" s="3"/>
      <c r="W38" s="3"/>
    </row>
    <row r="39" spans="1:24" ht="18.75" customHeight="1">
      <c r="A39" s="29" t="s">
        <v>59</v>
      </c>
      <c r="B39" s="35" t="s">
        <v>83</v>
      </c>
      <c r="C39" s="31"/>
      <c r="D39" s="31"/>
      <c r="E39" s="31"/>
      <c r="F39" s="31"/>
      <c r="G39" s="31"/>
      <c r="H39" s="96" t="s">
        <v>75</v>
      </c>
      <c r="I39" s="96"/>
      <c r="J39" s="96"/>
      <c r="K39" s="27"/>
      <c r="L39" s="27"/>
      <c r="M39" s="25"/>
      <c r="N39" s="25"/>
      <c r="O39" s="25"/>
      <c r="P39" s="18"/>
      <c r="Q39" s="13" t="s">
        <v>90</v>
      </c>
      <c r="S39" s="18"/>
      <c r="T39" s="18"/>
      <c r="U39" s="3"/>
      <c r="V39" s="3"/>
      <c r="W39" s="3"/>
    </row>
    <row r="40" spans="1:24" ht="14.25" customHeight="1">
      <c r="A40" s="29"/>
      <c r="B40" s="21" t="s">
        <v>62</v>
      </c>
      <c r="C40" s="21"/>
      <c r="D40" s="21"/>
      <c r="E40" s="21"/>
      <c r="F40" s="31"/>
      <c r="G40" s="58"/>
      <c r="H40" s="21" t="s">
        <v>63</v>
      </c>
      <c r="I40" s="58"/>
      <c r="J40" s="21"/>
      <c r="K40" s="21"/>
      <c r="L40" s="24"/>
      <c r="M40" s="24"/>
      <c r="N40" s="24"/>
      <c r="O40" s="25"/>
      <c r="P40" s="17" t="s">
        <v>10</v>
      </c>
      <c r="R40" s="18"/>
      <c r="S40" s="18"/>
      <c r="T40" s="3"/>
      <c r="U40" s="3"/>
      <c r="V40" s="3"/>
    </row>
    <row r="41" spans="1:24" ht="12" customHeight="1">
      <c r="A41" s="17"/>
      <c r="F41" s="23"/>
      <c r="L41" s="95"/>
      <c r="M41" s="18"/>
      <c r="N41" s="18"/>
      <c r="O41" s="18"/>
      <c r="P41" s="18" t="s">
        <v>11</v>
      </c>
      <c r="R41" s="18"/>
      <c r="S41" s="18"/>
      <c r="T41" s="3"/>
      <c r="U41" s="3"/>
      <c r="V41" s="3"/>
    </row>
    <row r="42" spans="1:24" ht="12" customHeight="1">
      <c r="A42" s="17" t="s">
        <v>60</v>
      </c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 t="s">
        <v>12</v>
      </c>
      <c r="R42" s="18"/>
      <c r="S42" s="18"/>
      <c r="T42" s="3"/>
      <c r="U42" s="3"/>
      <c r="V42" s="3"/>
    </row>
    <row r="43" spans="1:24" ht="12" customHeight="1">
      <c r="A43" s="18"/>
      <c r="B43" s="18" t="s">
        <v>61</v>
      </c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25" t="s">
        <v>13</v>
      </c>
      <c r="R43" s="25"/>
      <c r="S43" s="25"/>
      <c r="T43" s="34"/>
      <c r="U43" s="34"/>
      <c r="V43" s="34"/>
    </row>
    <row r="44" spans="1:24" s="19" customFormat="1" ht="16.5" customHeight="1">
      <c r="A44" s="29"/>
      <c r="B44" s="25"/>
      <c r="C44" s="31" t="str">
        <f>C50</f>
        <v>Evankoff LLC</v>
      </c>
      <c r="D44" s="36"/>
      <c r="E44" s="36"/>
      <c r="F44" s="25"/>
      <c r="G44" s="25"/>
      <c r="H44" s="25"/>
      <c r="I44" s="25"/>
      <c r="J44" s="25"/>
      <c r="K44" s="25"/>
      <c r="L44" s="25"/>
      <c r="M44" s="25"/>
      <c r="N44" s="25"/>
      <c r="O44" s="25" t="s">
        <v>64</v>
      </c>
      <c r="P44" s="25"/>
    </row>
    <row r="45" spans="1:24">
      <c r="A45" s="24"/>
      <c r="B45" s="24"/>
      <c r="C45" s="24" t="s">
        <v>65</v>
      </c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5"/>
      <c r="P45" s="25"/>
      <c r="Q45" s="36" t="s">
        <v>16</v>
      </c>
      <c r="S45" s="19"/>
      <c r="T45" s="19"/>
      <c r="U45" s="19"/>
    </row>
    <row r="46" spans="1:24" s="19" customFormat="1" ht="15" thickBot="1">
      <c r="A46" s="31" t="s">
        <v>105</v>
      </c>
      <c r="B46" s="31"/>
      <c r="C46" s="31"/>
      <c r="D46" s="31"/>
      <c r="E46" s="31"/>
      <c r="F46" s="31"/>
      <c r="G46" s="25" t="s">
        <v>67</v>
      </c>
      <c r="H46" s="25"/>
      <c r="I46" s="25"/>
      <c r="J46" s="25"/>
      <c r="K46" s="25"/>
      <c r="L46" s="25"/>
      <c r="M46" s="25"/>
      <c r="N46" s="25"/>
      <c r="O46" s="25"/>
      <c r="P46" s="25"/>
      <c r="Q46" s="25"/>
    </row>
    <row r="47" spans="1:24">
      <c r="A47" s="24"/>
      <c r="B47" s="24" t="s">
        <v>66</v>
      </c>
      <c r="C47" s="24"/>
      <c r="D47" s="24"/>
      <c r="E47" s="24"/>
      <c r="F47" s="24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94"/>
      <c r="R47" s="70" t="s">
        <v>14</v>
      </c>
      <c r="S47" s="71"/>
      <c r="T47" s="72"/>
      <c r="U47" s="37"/>
      <c r="V47" s="73" t="s">
        <v>15</v>
      </c>
      <c r="W47" s="74" t="s">
        <v>93</v>
      </c>
      <c r="X47" s="75"/>
    </row>
    <row r="48" spans="1:24">
      <c r="A48" s="99">
        <f>H10</f>
        <v>42485</v>
      </c>
      <c r="B48" s="26" t="s">
        <v>68</v>
      </c>
      <c r="C48" s="244">
        <f>F7</f>
        <v>42491</v>
      </c>
      <c r="D48" s="244"/>
      <c r="E48" s="98"/>
      <c r="F48" s="33" t="s">
        <v>73</v>
      </c>
      <c r="J48" s="32"/>
      <c r="L48" s="25"/>
      <c r="M48" s="25"/>
      <c r="N48" s="25"/>
      <c r="O48" s="25"/>
      <c r="P48" s="25"/>
      <c r="Q48" s="76"/>
      <c r="R48" s="77"/>
      <c r="S48" s="77"/>
      <c r="T48" s="78"/>
      <c r="U48" s="79"/>
      <c r="V48" s="80"/>
      <c r="W48" s="80"/>
      <c r="X48" s="81"/>
    </row>
    <row r="49" spans="1:24" ht="14.25" customHeight="1" thickBot="1">
      <c r="A49" s="24" t="s">
        <v>74</v>
      </c>
      <c r="B49" s="25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5"/>
      <c r="Q49" s="82"/>
      <c r="R49" s="83"/>
      <c r="S49" s="83"/>
      <c r="T49" s="84"/>
      <c r="U49" s="85"/>
      <c r="V49" s="86"/>
      <c r="W49" s="86"/>
      <c r="X49" s="87"/>
    </row>
    <row r="50" spans="1:24" ht="18.75" customHeight="1">
      <c r="A50" s="25"/>
      <c r="B50" s="25"/>
      <c r="C50" s="31" t="str">
        <f>A5</f>
        <v>Evankoff LLC</v>
      </c>
      <c r="D50" s="25"/>
      <c r="E50" s="25"/>
      <c r="F50" s="25"/>
      <c r="G50" s="25"/>
      <c r="H50" s="25"/>
      <c r="I50" s="25"/>
      <c r="J50" s="25"/>
      <c r="K50" s="25"/>
      <c r="L50" s="25"/>
      <c r="M50" s="25" t="s">
        <v>69</v>
      </c>
      <c r="N50" s="25"/>
      <c r="O50" s="25"/>
      <c r="P50" s="25"/>
      <c r="Q50" s="107" t="s">
        <v>128</v>
      </c>
      <c r="R50" s="108"/>
      <c r="S50" s="240" t="s">
        <v>97</v>
      </c>
      <c r="T50" s="240"/>
      <c r="U50" s="240"/>
      <c r="V50" s="240"/>
      <c r="W50" s="240"/>
      <c r="X50" s="241"/>
    </row>
    <row r="51" spans="1:24">
      <c r="A51" s="24"/>
      <c r="B51" s="24"/>
      <c r="C51" s="24" t="s">
        <v>65</v>
      </c>
      <c r="D51" s="24"/>
      <c r="E51" s="24"/>
      <c r="F51" s="24"/>
      <c r="G51" s="24"/>
      <c r="H51" s="24"/>
      <c r="I51" s="24"/>
      <c r="J51" s="24"/>
      <c r="K51" s="24"/>
      <c r="L51" s="24"/>
      <c r="M51" s="25"/>
      <c r="N51" s="25"/>
      <c r="O51" s="25"/>
      <c r="P51" s="25"/>
      <c r="Q51" s="109" t="s">
        <v>127</v>
      </c>
      <c r="R51" s="110"/>
      <c r="S51" s="242"/>
      <c r="T51" s="242"/>
      <c r="U51" s="242"/>
      <c r="V51" s="242"/>
      <c r="W51" s="242"/>
      <c r="X51" s="243"/>
    </row>
    <row r="52" spans="1:24" ht="12.75" customHeight="1" thickBot="1">
      <c r="A52" s="25" t="s">
        <v>70</v>
      </c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39"/>
      <c r="R52" s="88"/>
      <c r="S52" s="88"/>
      <c r="T52" s="89"/>
      <c r="U52" s="41"/>
      <c r="V52" s="40"/>
      <c r="W52" s="40"/>
      <c r="X52" s="42"/>
    </row>
    <row r="53" spans="1:24" ht="12.75" customHeight="1">
      <c r="A53" s="25" t="s">
        <v>71</v>
      </c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107" t="s">
        <v>128</v>
      </c>
      <c r="R53" s="108"/>
      <c r="S53" s="240" t="s">
        <v>95</v>
      </c>
      <c r="T53" s="240"/>
      <c r="U53" s="240"/>
      <c r="V53" s="240"/>
      <c r="W53" s="240"/>
      <c r="X53" s="241"/>
    </row>
    <row r="54" spans="1:24" ht="12.75" customHeight="1">
      <c r="A54" s="25" t="s">
        <v>72</v>
      </c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109" t="s">
        <v>127</v>
      </c>
      <c r="R54" s="110"/>
      <c r="S54" s="242"/>
      <c r="T54" s="242"/>
      <c r="U54" s="242"/>
      <c r="V54" s="242"/>
      <c r="W54" s="242"/>
      <c r="X54" s="243"/>
    </row>
    <row r="55" spans="1:24" ht="12.75" customHeight="1" thickBot="1">
      <c r="A55" s="25" t="s">
        <v>0</v>
      </c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53"/>
      <c r="R55" s="54"/>
      <c r="S55" s="54"/>
      <c r="T55" s="54"/>
      <c r="U55" s="55"/>
      <c r="V55" s="10"/>
      <c r="W55" s="10"/>
      <c r="X55" s="56"/>
    </row>
    <row r="56" spans="1:24" ht="18" customHeight="1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48"/>
      <c r="R56" s="49"/>
      <c r="S56" s="49"/>
      <c r="T56" s="49"/>
      <c r="U56" s="50"/>
      <c r="V56" s="51"/>
      <c r="W56" s="51"/>
      <c r="X56" s="52"/>
    </row>
    <row r="57" spans="1:24" ht="18" customHeight="1" thickBot="1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5"/>
      <c r="Q57" s="53"/>
      <c r="R57" s="54"/>
      <c r="S57" s="54"/>
      <c r="T57" s="54"/>
      <c r="U57" s="55"/>
      <c r="V57" s="10"/>
      <c r="W57" s="10"/>
      <c r="X57" s="56"/>
    </row>
    <row r="58" spans="1:24" ht="18" customHeight="1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5"/>
      <c r="Q58" s="48"/>
      <c r="R58" s="49"/>
      <c r="S58" s="49"/>
      <c r="T58" s="49"/>
      <c r="U58" s="50"/>
      <c r="V58" s="51"/>
      <c r="W58" s="51"/>
      <c r="X58" s="52"/>
    </row>
    <row r="59" spans="1:24" ht="21" customHeight="1" thickBot="1">
      <c r="A59" s="24"/>
      <c r="B59" s="28" t="s">
        <v>2</v>
      </c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5"/>
      <c r="Q59" s="53"/>
      <c r="R59" s="54"/>
      <c r="S59" s="54"/>
      <c r="T59" s="54"/>
      <c r="U59" s="55"/>
      <c r="V59" s="10"/>
      <c r="W59" s="10"/>
      <c r="X59" s="56"/>
    </row>
    <row r="60" spans="1:24" ht="12" customHeight="1">
      <c r="A60" s="30" t="s">
        <v>3</v>
      </c>
      <c r="B60" s="30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5"/>
      <c r="Q60" s="48" t="s">
        <v>17</v>
      </c>
      <c r="R60" s="49"/>
      <c r="S60" s="49"/>
      <c r="T60" s="49"/>
      <c r="U60" s="49"/>
      <c r="V60" s="51"/>
      <c r="W60" s="51"/>
      <c r="X60" s="52"/>
    </row>
    <row r="61" spans="1:24" ht="12" customHeight="1">
      <c r="A61" s="27" t="s">
        <v>4</v>
      </c>
      <c r="B61" s="30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5"/>
      <c r="Q61" s="111" t="s">
        <v>96</v>
      </c>
      <c r="R61" s="44"/>
      <c r="S61" s="44"/>
      <c r="T61" s="44"/>
      <c r="U61" s="44"/>
      <c r="V61" s="46"/>
      <c r="W61" s="46"/>
      <c r="X61" s="47"/>
    </row>
    <row r="62" spans="1:24" ht="12" customHeight="1">
      <c r="A62" s="27" t="s">
        <v>5</v>
      </c>
      <c r="B62" s="30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5"/>
      <c r="Q62" s="121"/>
      <c r="R62" s="122"/>
      <c r="S62" s="44"/>
      <c r="T62" s="44"/>
      <c r="U62" s="44"/>
      <c r="V62" s="46"/>
      <c r="W62" s="46"/>
      <c r="X62" s="47"/>
    </row>
    <row r="63" spans="1:24" ht="12" customHeight="1">
      <c r="A63" s="27"/>
      <c r="B63" s="30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5"/>
      <c r="Q63" s="121"/>
      <c r="R63" s="122"/>
      <c r="S63" s="44"/>
      <c r="T63" s="44"/>
      <c r="U63" s="44"/>
      <c r="V63" s="46"/>
      <c r="W63" s="46"/>
      <c r="X63" s="47"/>
    </row>
    <row r="64" spans="1:24" ht="12" customHeight="1">
      <c r="A64" s="29" t="s">
        <v>7</v>
      </c>
      <c r="B64" s="29" t="s">
        <v>6</v>
      </c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121"/>
      <c r="R64" s="122"/>
      <c r="S64" s="44"/>
      <c r="T64" s="44"/>
      <c r="U64" s="44"/>
      <c r="V64" s="46"/>
      <c r="W64" s="46"/>
      <c r="X64" s="47"/>
    </row>
    <row r="65" spans="1:24" ht="12" customHeight="1">
      <c r="A65" s="25" t="s">
        <v>8</v>
      </c>
      <c r="B65" s="29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43"/>
      <c r="R65" s="44"/>
      <c r="S65" s="44"/>
      <c r="T65" s="44"/>
      <c r="U65" s="44"/>
      <c r="V65" s="46"/>
      <c r="W65" s="46"/>
      <c r="X65" s="47"/>
    </row>
    <row r="66" spans="1:24" ht="12" customHeight="1">
      <c r="A66" s="25" t="s">
        <v>9</v>
      </c>
      <c r="B66" s="29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43"/>
      <c r="R66" s="44"/>
      <c r="S66" s="44"/>
      <c r="T66" s="44"/>
      <c r="U66" s="44"/>
      <c r="V66" s="46"/>
      <c r="W66" s="46"/>
      <c r="X66" s="47"/>
    </row>
    <row r="67" spans="1:24" ht="12" customHeight="1" thickBot="1">
      <c r="A67" s="25"/>
      <c r="B67" s="29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53"/>
      <c r="R67" s="54"/>
      <c r="S67" s="54"/>
      <c r="T67" s="54"/>
      <c r="U67" s="54"/>
      <c r="V67" s="10"/>
      <c r="W67" s="10"/>
      <c r="X67" s="56"/>
    </row>
    <row r="68" spans="1:24" ht="12" customHeight="1">
      <c r="A68" s="25"/>
      <c r="B68" s="25" t="s">
        <v>57</v>
      </c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</row>
    <row r="69" spans="1:24" ht="12" customHeight="1">
      <c r="A69" s="25"/>
      <c r="B69" s="25" t="s">
        <v>1</v>
      </c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12" t="s">
        <v>50</v>
      </c>
      <c r="R69" s="22"/>
      <c r="S69" s="22"/>
      <c r="T69" s="67"/>
      <c r="U69" s="57" t="s">
        <v>51</v>
      </c>
      <c r="V69" s="58"/>
      <c r="W69" s="58"/>
      <c r="X69" s="59"/>
    </row>
    <row r="70" spans="1:24" ht="11.25" customHeight="1">
      <c r="A70" s="25"/>
      <c r="B70" s="25" t="s">
        <v>81</v>
      </c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63"/>
      <c r="T70" s="68"/>
      <c r="U70" s="61"/>
      <c r="V70" s="38"/>
      <c r="W70" s="38"/>
      <c r="X70" s="60"/>
    </row>
    <row r="71" spans="1:24" ht="13.5" customHeight="1">
      <c r="A71" s="25"/>
      <c r="B71" s="97" t="s">
        <v>80</v>
      </c>
      <c r="C71" s="29" t="s">
        <v>76</v>
      </c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93" t="str">
        <f>B39</f>
        <v>Eric Coffie</v>
      </c>
      <c r="R71" s="90"/>
      <c r="S71" s="90" t="str">
        <f>H39</f>
        <v>President</v>
      </c>
      <c r="T71" s="68"/>
      <c r="U71" s="61"/>
      <c r="V71" s="38"/>
      <c r="W71" s="38"/>
      <c r="X71" s="60"/>
    </row>
    <row r="72" spans="1:24" ht="10.5" customHeight="1">
      <c r="A72" s="19"/>
      <c r="B72" s="25"/>
      <c r="C72" s="25" t="s">
        <v>77</v>
      </c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19"/>
      <c r="Q72" s="91"/>
      <c r="R72" s="92"/>
      <c r="S72" s="92"/>
      <c r="T72" s="69"/>
      <c r="U72" s="62"/>
      <c r="V72" s="116"/>
      <c r="W72" s="116"/>
      <c r="X72" s="117"/>
    </row>
    <row r="73" spans="1:24" ht="10.5" customHeight="1">
      <c r="A73" s="19"/>
      <c r="B73" s="19"/>
      <c r="C73" s="25" t="s">
        <v>78</v>
      </c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</row>
    <row r="74" spans="1:24" ht="10.5" customHeight="1">
      <c r="B74" s="19"/>
      <c r="C74" s="25" t="s">
        <v>79</v>
      </c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Q74" s="64" t="s">
        <v>86</v>
      </c>
      <c r="R74" s="58"/>
      <c r="S74" s="58"/>
      <c r="T74" s="58"/>
      <c r="U74" s="58"/>
      <c r="V74" s="58"/>
      <c r="W74" s="58"/>
      <c r="X74" s="59"/>
    </row>
    <row r="75" spans="1:24" ht="10.5" customHeight="1">
      <c r="Q75" s="66" t="s">
        <v>87</v>
      </c>
      <c r="R75" s="38"/>
      <c r="S75" s="38"/>
      <c r="T75" s="38"/>
      <c r="U75" s="38"/>
      <c r="V75" s="38"/>
      <c r="W75" s="38"/>
      <c r="X75" s="60"/>
    </row>
    <row r="76" spans="1:24" ht="10.5" customHeight="1">
      <c r="Q76" s="66" t="s">
        <v>88</v>
      </c>
      <c r="R76" s="38"/>
      <c r="S76" s="38"/>
      <c r="T76" s="38"/>
      <c r="U76" s="38"/>
      <c r="V76" s="38"/>
      <c r="W76" s="38"/>
      <c r="X76" s="60"/>
    </row>
    <row r="77" spans="1:24" ht="10.5" customHeight="1">
      <c r="Q77" s="65" t="s">
        <v>89</v>
      </c>
      <c r="R77" s="116"/>
      <c r="S77" s="116"/>
      <c r="T77" s="116"/>
      <c r="U77" s="116"/>
      <c r="V77" s="116"/>
      <c r="W77" s="116"/>
      <c r="X77" s="117"/>
    </row>
  </sheetData>
  <mergeCells count="235">
    <mergeCell ref="S50:X51"/>
    <mergeCell ref="S53:X54"/>
    <mergeCell ref="M35:M36"/>
    <mergeCell ref="N35:N36"/>
    <mergeCell ref="O35:O36"/>
    <mergeCell ref="Q35:Q36"/>
    <mergeCell ref="A36:B36"/>
    <mergeCell ref="C48:D48"/>
    <mergeCell ref="W33:W36"/>
    <mergeCell ref="X33:X36"/>
    <mergeCell ref="A34:B34"/>
    <mergeCell ref="A35:B35"/>
    <mergeCell ref="G35:G36"/>
    <mergeCell ref="H35:H36"/>
    <mergeCell ref="I35:I36"/>
    <mergeCell ref="J35:J36"/>
    <mergeCell ref="K35:K36"/>
    <mergeCell ref="L35:L36"/>
    <mergeCell ref="Q33:Q34"/>
    <mergeCell ref="R33:R36"/>
    <mergeCell ref="S33:S36"/>
    <mergeCell ref="T33:T36"/>
    <mergeCell ref="U33:U36"/>
    <mergeCell ref="V33:V36"/>
    <mergeCell ref="J33:J34"/>
    <mergeCell ref="K33:K34"/>
    <mergeCell ref="L33:L34"/>
    <mergeCell ref="M33:M34"/>
    <mergeCell ref="N33:N34"/>
    <mergeCell ref="O33:O34"/>
    <mergeCell ref="A33:B33"/>
    <mergeCell ref="C33:C36"/>
    <mergeCell ref="D33:F36"/>
    <mergeCell ref="G33:G34"/>
    <mergeCell ref="H33:H34"/>
    <mergeCell ref="I33:I34"/>
    <mergeCell ref="L31:L32"/>
    <mergeCell ref="M31:M32"/>
    <mergeCell ref="N31:N32"/>
    <mergeCell ref="O31:O32"/>
    <mergeCell ref="Q31:Q32"/>
    <mergeCell ref="A32:B32"/>
    <mergeCell ref="V29:V32"/>
    <mergeCell ref="W29:W32"/>
    <mergeCell ref="X29:X32"/>
    <mergeCell ref="A30:B30"/>
    <mergeCell ref="A31:B31"/>
    <mergeCell ref="G31:G32"/>
    <mergeCell ref="H31:H32"/>
    <mergeCell ref="I31:I32"/>
    <mergeCell ref="J31:J32"/>
    <mergeCell ref="K31:K32"/>
    <mergeCell ref="O29:O30"/>
    <mergeCell ref="Q29:Q30"/>
    <mergeCell ref="R29:R32"/>
    <mergeCell ref="S29:S32"/>
    <mergeCell ref="T29:T32"/>
    <mergeCell ref="U29:U32"/>
    <mergeCell ref="I29:I30"/>
    <mergeCell ref="J29:J30"/>
    <mergeCell ref="K29:K30"/>
    <mergeCell ref="L29:L30"/>
    <mergeCell ref="M29:M30"/>
    <mergeCell ref="N29:N30"/>
    <mergeCell ref="M27:M28"/>
    <mergeCell ref="N27:N28"/>
    <mergeCell ref="O27:O28"/>
    <mergeCell ref="Q27:Q28"/>
    <mergeCell ref="A28:B28"/>
    <mergeCell ref="A29:B29"/>
    <mergeCell ref="C29:C32"/>
    <mergeCell ref="D29:F32"/>
    <mergeCell ref="G29:G30"/>
    <mergeCell ref="H29:H30"/>
    <mergeCell ref="W25:W28"/>
    <mergeCell ref="X25:X28"/>
    <mergeCell ref="A26:B26"/>
    <mergeCell ref="A27:B27"/>
    <mergeCell ref="G27:G28"/>
    <mergeCell ref="H27:H28"/>
    <mergeCell ref="I27:I28"/>
    <mergeCell ref="J27:J28"/>
    <mergeCell ref="K27:K28"/>
    <mergeCell ref="L27:L28"/>
    <mergeCell ref="Q25:Q26"/>
    <mergeCell ref="R25:R28"/>
    <mergeCell ref="S25:S28"/>
    <mergeCell ref="T25:T28"/>
    <mergeCell ref="U25:U28"/>
    <mergeCell ref="V25:V28"/>
    <mergeCell ref="J25:J26"/>
    <mergeCell ref="K25:K26"/>
    <mergeCell ref="L25:L26"/>
    <mergeCell ref="M25:M26"/>
    <mergeCell ref="N25:N26"/>
    <mergeCell ref="O25:O26"/>
    <mergeCell ref="A25:B25"/>
    <mergeCell ref="C25:C28"/>
    <mergeCell ref="D25:F28"/>
    <mergeCell ref="G25:G26"/>
    <mergeCell ref="H25:H26"/>
    <mergeCell ref="I25:I26"/>
    <mergeCell ref="L23:L24"/>
    <mergeCell ref="M23:M24"/>
    <mergeCell ref="N23:N24"/>
    <mergeCell ref="O23:O24"/>
    <mergeCell ref="Q23:Q24"/>
    <mergeCell ref="A24:B24"/>
    <mergeCell ref="V21:V24"/>
    <mergeCell ref="W21:W24"/>
    <mergeCell ref="X21:X24"/>
    <mergeCell ref="A22:B22"/>
    <mergeCell ref="A23:B23"/>
    <mergeCell ref="G23:G24"/>
    <mergeCell ref="H23:H24"/>
    <mergeCell ref="I23:I24"/>
    <mergeCell ref="J23:J24"/>
    <mergeCell ref="K23:K24"/>
    <mergeCell ref="O21:O22"/>
    <mergeCell ref="Q21:Q22"/>
    <mergeCell ref="R21:R24"/>
    <mergeCell ref="S21:S24"/>
    <mergeCell ref="T21:T24"/>
    <mergeCell ref="U21:U24"/>
    <mergeCell ref="I21:I22"/>
    <mergeCell ref="J21:J22"/>
    <mergeCell ref="K21:K22"/>
    <mergeCell ref="L21:L22"/>
    <mergeCell ref="M21:M22"/>
    <mergeCell ref="N21:N22"/>
    <mergeCell ref="M19:M20"/>
    <mergeCell ref="N19:N20"/>
    <mergeCell ref="O19:O20"/>
    <mergeCell ref="Q19:Q20"/>
    <mergeCell ref="A20:B20"/>
    <mergeCell ref="A21:B21"/>
    <mergeCell ref="C21:C24"/>
    <mergeCell ref="D21:F24"/>
    <mergeCell ref="G21:G22"/>
    <mergeCell ref="H21:H22"/>
    <mergeCell ref="W17:W20"/>
    <mergeCell ref="X17:X20"/>
    <mergeCell ref="A18:B18"/>
    <mergeCell ref="A19:B19"/>
    <mergeCell ref="G19:G20"/>
    <mergeCell ref="H19:H20"/>
    <mergeCell ref="I19:I20"/>
    <mergeCell ref="J19:J20"/>
    <mergeCell ref="K19:K20"/>
    <mergeCell ref="L19:L20"/>
    <mergeCell ref="Q17:Q18"/>
    <mergeCell ref="R17:R20"/>
    <mergeCell ref="S17:S20"/>
    <mergeCell ref="T17:T20"/>
    <mergeCell ref="U17:U20"/>
    <mergeCell ref="V17:V20"/>
    <mergeCell ref="J17:J18"/>
    <mergeCell ref="K17:K18"/>
    <mergeCell ref="L17:L18"/>
    <mergeCell ref="M17:M18"/>
    <mergeCell ref="N17:N18"/>
    <mergeCell ref="O17:O18"/>
    <mergeCell ref="N15:N16"/>
    <mergeCell ref="O15:O16"/>
    <mergeCell ref="Q15:Q16"/>
    <mergeCell ref="A16:B16"/>
    <mergeCell ref="A17:B17"/>
    <mergeCell ref="C17:C20"/>
    <mergeCell ref="D17:F20"/>
    <mergeCell ref="G17:G18"/>
    <mergeCell ref="H17:H18"/>
    <mergeCell ref="I17:I18"/>
    <mergeCell ref="X13:X16"/>
    <mergeCell ref="A14:B14"/>
    <mergeCell ref="A15:B15"/>
    <mergeCell ref="G15:G16"/>
    <mergeCell ref="H15:H16"/>
    <mergeCell ref="I15:I16"/>
    <mergeCell ref="J15:J16"/>
    <mergeCell ref="K15:K16"/>
    <mergeCell ref="L15:L16"/>
    <mergeCell ref="M15:M16"/>
    <mergeCell ref="R13:R16"/>
    <mergeCell ref="S13:S16"/>
    <mergeCell ref="T13:T16"/>
    <mergeCell ref="U13:U16"/>
    <mergeCell ref="V13:V16"/>
    <mergeCell ref="W13:W16"/>
    <mergeCell ref="K13:K14"/>
    <mergeCell ref="L13:L14"/>
    <mergeCell ref="M13:M14"/>
    <mergeCell ref="N13:N14"/>
    <mergeCell ref="O13:O14"/>
    <mergeCell ref="Q13:Q14"/>
    <mergeCell ref="V10:V12"/>
    <mergeCell ref="W10:W12"/>
    <mergeCell ref="H12:N12"/>
    <mergeCell ref="A13:B13"/>
    <mergeCell ref="C13:C16"/>
    <mergeCell ref="D13:F16"/>
    <mergeCell ref="G13:G14"/>
    <mergeCell ref="H13:H14"/>
    <mergeCell ref="I13:I14"/>
    <mergeCell ref="J13:J14"/>
    <mergeCell ref="P10:P12"/>
    <mergeCell ref="Q10:Q12"/>
    <mergeCell ref="R10:R12"/>
    <mergeCell ref="S10:S12"/>
    <mergeCell ref="T10:T12"/>
    <mergeCell ref="U10:U12"/>
    <mergeCell ref="A8:B8"/>
    <mergeCell ref="D8:F8"/>
    <mergeCell ref="G8:G12"/>
    <mergeCell ref="H8:N8"/>
    <mergeCell ref="R8:W9"/>
    <mergeCell ref="X8:X12"/>
    <mergeCell ref="A9:B12"/>
    <mergeCell ref="C9:C12"/>
    <mergeCell ref="D9:F12"/>
    <mergeCell ref="O10:O12"/>
    <mergeCell ref="W4:X5"/>
    <mergeCell ref="A5:N5"/>
    <mergeCell ref="O5:V5"/>
    <mergeCell ref="A6:D6"/>
    <mergeCell ref="F6:N6"/>
    <mergeCell ref="A7:D7"/>
    <mergeCell ref="F7:N7"/>
    <mergeCell ref="O7:S7"/>
    <mergeCell ref="T7:X7"/>
    <mergeCell ref="A1:D3"/>
    <mergeCell ref="F1:U3"/>
    <mergeCell ref="A4:C4"/>
    <mergeCell ref="D4:G4"/>
    <mergeCell ref="H4:N4"/>
    <mergeCell ref="O4:V4"/>
  </mergeCells>
  <phoneticPr fontId="11" type="noConversion"/>
  <pageMargins left="0.7" right="0.7" top="0.75" bottom="0.75" header="0.3" footer="0.3"/>
  <pageSetup scale="77" orientation="landscape" horizontalDpi="4294967292" verticalDpi="4294967292"/>
  <rowBreaks count="1" manualBreakCount="1">
    <brk id="36" max="16383" man="1"/>
  </rowBreaks>
  <colBreaks count="1" manualBreakCount="1">
    <brk id="24" max="1048575" man="1"/>
  </colBreaks>
  <drawing r:id="rId1"/>
  <extLst>
    <ext xmlns:mx="http://schemas.microsoft.com/office/mac/excel/2008/main" uri="{64002731-A6B0-56B0-2670-7721B7C09600}">
      <mx:PLV Mode="1" OnePage="0" WScale="77"/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77"/>
  <sheetViews>
    <sheetView view="pageLayout" zoomScaleNormal="125" zoomScalePageLayoutView="125" workbookViewId="0">
      <selection activeCell="D8" sqref="D8:F8"/>
    </sheetView>
  </sheetViews>
  <sheetFormatPr baseColWidth="10" defaultColWidth="8.83203125" defaultRowHeight="14" x14ac:dyDescent="0"/>
  <cols>
    <col min="1" max="1" width="10.33203125" customWidth="1"/>
    <col min="2" max="2" width="11.1640625" customWidth="1"/>
    <col min="3" max="3" width="5" customWidth="1"/>
    <col min="4" max="4" width="5.1640625" customWidth="1"/>
    <col min="5" max="5" width="4.6640625" customWidth="1"/>
    <col min="6" max="6" width="4.83203125" customWidth="1"/>
    <col min="7" max="7" width="3.6640625" customWidth="1"/>
    <col min="8" max="8" width="5" customWidth="1"/>
    <col min="9" max="9" width="4.6640625" customWidth="1"/>
    <col min="10" max="11" width="5.33203125" customWidth="1"/>
    <col min="12" max="12" width="4.83203125" customWidth="1"/>
    <col min="13" max="13" width="5.5" customWidth="1"/>
    <col min="14" max="14" width="5.1640625" customWidth="1"/>
    <col min="16" max="17" width="9.83203125" bestFit="1" customWidth="1"/>
    <col min="18" max="18" width="7.6640625" customWidth="1"/>
    <col min="19" max="19" width="9.5" customWidth="1"/>
    <col min="20" max="20" width="6" hidden="1" customWidth="1"/>
    <col min="21" max="21" width="4.33203125" hidden="1" customWidth="1"/>
    <col min="22" max="22" width="7.6640625" hidden="1" customWidth="1"/>
    <col min="23" max="23" width="9.33203125" customWidth="1"/>
    <col min="24" max="24" width="12.6640625" customWidth="1"/>
  </cols>
  <sheetData>
    <row r="1" spans="1:24" ht="15" customHeight="1">
      <c r="A1" s="149" t="s">
        <v>22</v>
      </c>
      <c r="B1" s="149"/>
      <c r="C1" s="149"/>
      <c r="D1" s="149"/>
      <c r="E1" s="147"/>
      <c r="F1" s="151" t="s">
        <v>55</v>
      </c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9"/>
      <c r="W1" s="9"/>
      <c r="X1" s="9"/>
    </row>
    <row r="2" spans="1:24">
      <c r="A2" s="149"/>
      <c r="B2" s="149"/>
      <c r="C2" s="149"/>
      <c r="D2" s="149"/>
      <c r="E2" s="147"/>
      <c r="F2" s="151"/>
      <c r="G2" s="151"/>
      <c r="H2" s="151"/>
      <c r="I2" s="151"/>
      <c r="J2" s="151"/>
      <c r="K2" s="151"/>
      <c r="L2" s="151"/>
      <c r="M2" s="151"/>
      <c r="N2" s="151"/>
      <c r="O2" s="151"/>
      <c r="P2" s="151"/>
      <c r="Q2" s="151"/>
      <c r="R2" s="151"/>
      <c r="S2" s="151"/>
      <c r="T2" s="151"/>
      <c r="U2" s="151"/>
      <c r="V2" s="9"/>
      <c r="W2" s="9"/>
      <c r="X2" s="9"/>
    </row>
    <row r="3" spans="1:24" ht="15" customHeight="1" thickBot="1">
      <c r="A3" s="150"/>
      <c r="B3" s="150"/>
      <c r="C3" s="150"/>
      <c r="D3" s="150"/>
      <c r="E3" s="148"/>
      <c r="F3" s="152"/>
      <c r="G3" s="152"/>
      <c r="H3" s="152"/>
      <c r="I3" s="152"/>
      <c r="J3" s="152"/>
      <c r="K3" s="152"/>
      <c r="L3" s="152"/>
      <c r="M3" s="152"/>
      <c r="N3" s="152"/>
      <c r="O3" s="152"/>
      <c r="P3" s="152"/>
      <c r="Q3" s="152"/>
      <c r="R3" s="152"/>
      <c r="S3" s="152"/>
      <c r="T3" s="152"/>
      <c r="U3" s="152"/>
      <c r="V3" s="10"/>
      <c r="W3" s="10"/>
      <c r="X3" s="10"/>
    </row>
    <row r="4" spans="1:24" s="11" customFormat="1">
      <c r="A4" s="153" t="s">
        <v>56</v>
      </c>
      <c r="B4" s="154"/>
      <c r="C4" s="154"/>
      <c r="D4" s="154" t="s">
        <v>52</v>
      </c>
      <c r="E4" s="154"/>
      <c r="F4" s="154"/>
      <c r="G4" s="154"/>
      <c r="H4" s="155"/>
      <c r="I4" s="155"/>
      <c r="J4" s="155"/>
      <c r="K4" s="155"/>
      <c r="L4" s="155"/>
      <c r="M4" s="155"/>
      <c r="N4" s="156"/>
      <c r="O4" s="157" t="s">
        <v>126</v>
      </c>
      <c r="P4" s="158"/>
      <c r="Q4" s="158"/>
      <c r="R4" s="158"/>
      <c r="S4" s="158"/>
      <c r="T4" s="158"/>
      <c r="U4" s="158"/>
      <c r="V4" s="158"/>
      <c r="W4" s="159"/>
      <c r="X4" s="160"/>
    </row>
    <row r="5" spans="1:24" s="1" customFormat="1" ht="12">
      <c r="A5" s="163" t="s">
        <v>125</v>
      </c>
      <c r="B5" s="164"/>
      <c r="C5" s="164"/>
      <c r="D5" s="164"/>
      <c r="E5" s="164"/>
      <c r="F5" s="164"/>
      <c r="G5" s="164"/>
      <c r="H5" s="164"/>
      <c r="I5" s="164"/>
      <c r="J5" s="164"/>
      <c r="K5" s="164"/>
      <c r="L5" s="164"/>
      <c r="M5" s="164"/>
      <c r="N5" s="165"/>
      <c r="O5" s="166" t="s">
        <v>108</v>
      </c>
      <c r="P5" s="167"/>
      <c r="Q5" s="167"/>
      <c r="R5" s="167"/>
      <c r="S5" s="167"/>
      <c r="T5" s="167"/>
      <c r="U5" s="167"/>
      <c r="V5" s="167"/>
      <c r="W5" s="161"/>
      <c r="X5" s="162"/>
    </row>
    <row r="6" spans="1:24" s="13" customFormat="1" ht="11">
      <c r="A6" s="168" t="s">
        <v>18</v>
      </c>
      <c r="B6" s="169"/>
      <c r="C6" s="169"/>
      <c r="D6" s="170"/>
      <c r="E6" s="115"/>
      <c r="F6" s="168" t="s">
        <v>19</v>
      </c>
      <c r="G6" s="169"/>
      <c r="H6" s="169"/>
      <c r="I6" s="169"/>
      <c r="J6" s="169"/>
      <c r="K6" s="169"/>
      <c r="L6" s="169"/>
      <c r="M6" s="169"/>
      <c r="N6" s="170"/>
      <c r="O6" s="102" t="s">
        <v>20</v>
      </c>
      <c r="P6" s="15"/>
      <c r="Q6" s="15"/>
      <c r="R6" s="15"/>
      <c r="S6" s="102" t="s">
        <v>91</v>
      </c>
      <c r="T6" s="15" t="s">
        <v>21</v>
      </c>
      <c r="U6" s="15"/>
      <c r="V6" s="15"/>
      <c r="X6" s="16"/>
    </row>
    <row r="7" spans="1:24" s="1" customFormat="1" ht="16.5" customHeight="1">
      <c r="A7" s="171">
        <v>17</v>
      </c>
      <c r="B7" s="172"/>
      <c r="C7" s="172"/>
      <c r="D7" s="173"/>
      <c r="E7" s="146"/>
      <c r="F7" s="174">
        <v>42498</v>
      </c>
      <c r="G7" s="175"/>
      <c r="H7" s="175"/>
      <c r="I7" s="175"/>
      <c r="J7" s="175"/>
      <c r="K7" s="175"/>
      <c r="L7" s="175"/>
      <c r="M7" s="175"/>
      <c r="N7" s="176"/>
      <c r="O7" s="166" t="s">
        <v>107</v>
      </c>
      <c r="P7" s="167"/>
      <c r="Q7" s="167"/>
      <c r="R7" s="167"/>
      <c r="S7" s="167"/>
      <c r="T7" s="167" t="s">
        <v>109</v>
      </c>
      <c r="U7" s="167"/>
      <c r="V7" s="167"/>
      <c r="W7" s="167"/>
      <c r="X7" s="177"/>
    </row>
    <row r="8" spans="1:24" s="2" customFormat="1" ht="11.25" customHeight="1">
      <c r="A8" s="178" t="s">
        <v>23</v>
      </c>
      <c r="B8" s="179"/>
      <c r="C8" s="7" t="s">
        <v>24</v>
      </c>
      <c r="D8" s="178" t="s">
        <v>25</v>
      </c>
      <c r="E8" s="180"/>
      <c r="F8" s="179"/>
      <c r="G8" s="181" t="s">
        <v>29</v>
      </c>
      <c r="H8" s="184" t="s">
        <v>54</v>
      </c>
      <c r="I8" s="185"/>
      <c r="J8" s="185"/>
      <c r="K8" s="185"/>
      <c r="L8" s="185"/>
      <c r="M8" s="185"/>
      <c r="N8" s="186"/>
      <c r="O8" s="7" t="s">
        <v>30</v>
      </c>
      <c r="P8" s="7" t="s">
        <v>31</v>
      </c>
      <c r="Q8" s="7" t="s">
        <v>32</v>
      </c>
      <c r="R8" s="187" t="s">
        <v>33</v>
      </c>
      <c r="S8" s="187"/>
      <c r="T8" s="187"/>
      <c r="U8" s="187"/>
      <c r="V8" s="187"/>
      <c r="W8" s="187"/>
      <c r="X8" s="187" t="s">
        <v>53</v>
      </c>
    </row>
    <row r="9" spans="1:24" ht="17.25" customHeight="1">
      <c r="A9" s="188" t="s">
        <v>26</v>
      </c>
      <c r="B9" s="189"/>
      <c r="C9" s="192" t="s">
        <v>27</v>
      </c>
      <c r="D9" s="194" t="s">
        <v>28</v>
      </c>
      <c r="E9" s="195"/>
      <c r="F9" s="196"/>
      <c r="G9" s="182"/>
      <c r="H9" s="132" t="s">
        <v>36</v>
      </c>
      <c r="I9" s="133" t="s">
        <v>37</v>
      </c>
      <c r="J9" s="133" t="s">
        <v>38</v>
      </c>
      <c r="K9" s="133" t="s">
        <v>111</v>
      </c>
      <c r="L9" s="133" t="s">
        <v>39</v>
      </c>
      <c r="M9" s="133" t="s">
        <v>41</v>
      </c>
      <c r="N9" s="133" t="s">
        <v>42</v>
      </c>
      <c r="O9" s="6"/>
      <c r="P9" s="8"/>
      <c r="Q9" s="8"/>
      <c r="R9" s="187"/>
      <c r="S9" s="187"/>
      <c r="T9" s="187"/>
      <c r="U9" s="187"/>
      <c r="V9" s="187"/>
      <c r="W9" s="187"/>
      <c r="X9" s="187"/>
    </row>
    <row r="10" spans="1:24" ht="19.5" customHeight="1">
      <c r="A10" s="188"/>
      <c r="B10" s="189"/>
      <c r="C10" s="192"/>
      <c r="D10" s="194"/>
      <c r="E10" s="195"/>
      <c r="F10" s="196"/>
      <c r="G10" s="182"/>
      <c r="H10" s="100">
        <f t="shared" ref="H10:L10" si="0">I10-1</f>
        <v>42492</v>
      </c>
      <c r="I10" s="100">
        <f t="shared" si="0"/>
        <v>42493</v>
      </c>
      <c r="J10" s="100">
        <f t="shared" si="0"/>
        <v>42494</v>
      </c>
      <c r="K10" s="100">
        <f t="shared" si="0"/>
        <v>42495</v>
      </c>
      <c r="L10" s="100">
        <f t="shared" si="0"/>
        <v>42496</v>
      </c>
      <c r="M10" s="100">
        <f>N10-1</f>
        <v>42497</v>
      </c>
      <c r="N10" s="100">
        <f>F7</f>
        <v>42498</v>
      </c>
      <c r="O10" s="200" t="s">
        <v>46</v>
      </c>
      <c r="P10" s="200" t="s">
        <v>47</v>
      </c>
      <c r="Q10" s="200" t="s">
        <v>48</v>
      </c>
      <c r="R10" s="206" t="s">
        <v>44</v>
      </c>
      <c r="S10" s="206" t="s">
        <v>45</v>
      </c>
      <c r="T10" s="207"/>
      <c r="U10" s="207"/>
      <c r="V10" s="202" t="s">
        <v>35</v>
      </c>
      <c r="W10" s="203" t="s">
        <v>34</v>
      </c>
      <c r="X10" s="187"/>
    </row>
    <row r="11" spans="1:24" ht="18.75" hidden="1" customHeight="1">
      <c r="A11" s="188"/>
      <c r="B11" s="189"/>
      <c r="C11" s="192"/>
      <c r="D11" s="194"/>
      <c r="E11" s="195"/>
      <c r="F11" s="196"/>
      <c r="G11" s="182"/>
      <c r="H11" s="5"/>
      <c r="I11" s="4"/>
      <c r="J11" s="4"/>
      <c r="K11" s="4"/>
      <c r="L11" s="4"/>
      <c r="M11" s="4"/>
      <c r="N11" s="4"/>
      <c r="O11" s="200"/>
      <c r="P11" s="200"/>
      <c r="Q11" s="200"/>
      <c r="R11" s="206"/>
      <c r="S11" s="206"/>
      <c r="T11" s="207"/>
      <c r="U11" s="207"/>
      <c r="V11" s="202"/>
      <c r="W11" s="203"/>
      <c r="X11" s="187"/>
    </row>
    <row r="12" spans="1:24">
      <c r="A12" s="190"/>
      <c r="B12" s="191"/>
      <c r="C12" s="193"/>
      <c r="D12" s="197"/>
      <c r="E12" s="198"/>
      <c r="F12" s="199"/>
      <c r="G12" s="183"/>
      <c r="H12" s="204" t="s">
        <v>43</v>
      </c>
      <c r="I12" s="204"/>
      <c r="J12" s="204"/>
      <c r="K12" s="204"/>
      <c r="L12" s="204"/>
      <c r="M12" s="204"/>
      <c r="N12" s="205"/>
      <c r="O12" s="201"/>
      <c r="P12" s="201"/>
      <c r="Q12" s="201"/>
      <c r="R12" s="206"/>
      <c r="S12" s="206"/>
      <c r="T12" s="207"/>
      <c r="U12" s="207"/>
      <c r="V12" s="202"/>
      <c r="W12" s="203"/>
      <c r="X12" s="187"/>
    </row>
    <row r="13" spans="1:24" ht="15" customHeight="1">
      <c r="A13" s="208" t="s">
        <v>98</v>
      </c>
      <c r="B13" s="209"/>
      <c r="C13" s="210">
        <v>2</v>
      </c>
      <c r="D13" s="249" t="s">
        <v>123</v>
      </c>
      <c r="E13" s="250"/>
      <c r="F13" s="251"/>
      <c r="G13" s="220" t="s">
        <v>49</v>
      </c>
      <c r="H13" s="220"/>
      <c r="I13" s="220"/>
      <c r="J13" s="220"/>
      <c r="K13" s="220"/>
      <c r="L13" s="220"/>
      <c r="M13" s="220"/>
      <c r="N13" s="220"/>
      <c r="O13" s="232">
        <f>SUM(H13:N14)</f>
        <v>0</v>
      </c>
      <c r="P13" s="105" t="s">
        <v>110</v>
      </c>
      <c r="Q13" s="238">
        <f>P14*O13</f>
        <v>0</v>
      </c>
      <c r="R13" s="226">
        <v>0</v>
      </c>
      <c r="S13" s="226">
        <f>7.44+1.74</f>
        <v>9.18</v>
      </c>
      <c r="T13" s="226"/>
      <c r="U13" s="226"/>
      <c r="V13" s="226"/>
      <c r="W13" s="226">
        <f>S13+R13</f>
        <v>9.18</v>
      </c>
      <c r="X13" s="229">
        <f>Q15-W13+Q13</f>
        <v>-9.18</v>
      </c>
    </row>
    <row r="14" spans="1:24">
      <c r="A14" s="221" t="s">
        <v>103</v>
      </c>
      <c r="B14" s="222"/>
      <c r="C14" s="210"/>
      <c r="D14" s="252"/>
      <c r="E14" s="253"/>
      <c r="F14" s="254"/>
      <c r="G14" s="220"/>
      <c r="H14" s="220"/>
      <c r="I14" s="220"/>
      <c r="J14" s="220"/>
      <c r="K14" s="220"/>
      <c r="L14" s="220"/>
      <c r="M14" s="220"/>
      <c r="N14" s="220"/>
      <c r="O14" s="233"/>
      <c r="P14" s="103">
        <f>P16/2+P16</f>
        <v>22.5</v>
      </c>
      <c r="Q14" s="239"/>
      <c r="R14" s="227"/>
      <c r="S14" s="227"/>
      <c r="T14" s="227"/>
      <c r="U14" s="227"/>
      <c r="V14" s="227"/>
      <c r="W14" s="227"/>
      <c r="X14" s="230"/>
    </row>
    <row r="15" spans="1:24">
      <c r="A15" s="261"/>
      <c r="B15" s="262"/>
      <c r="C15" s="210"/>
      <c r="D15" s="252"/>
      <c r="E15" s="253"/>
      <c r="F15" s="254"/>
      <c r="G15" s="223" t="s">
        <v>40</v>
      </c>
      <c r="H15" s="223">
        <v>0</v>
      </c>
      <c r="I15" s="223">
        <v>0</v>
      </c>
      <c r="J15" s="223">
        <v>0</v>
      </c>
      <c r="K15" s="223">
        <v>0</v>
      </c>
      <c r="L15" s="223">
        <v>0</v>
      </c>
      <c r="M15" s="223">
        <v>0</v>
      </c>
      <c r="N15" s="223">
        <v>0</v>
      </c>
      <c r="O15" s="234">
        <f>SUM(H15:N16)</f>
        <v>0</v>
      </c>
      <c r="P15" s="106" t="s">
        <v>110</v>
      </c>
      <c r="Q15" s="236">
        <f>P16*O15</f>
        <v>0</v>
      </c>
      <c r="R15" s="227"/>
      <c r="S15" s="227"/>
      <c r="T15" s="227"/>
      <c r="U15" s="227"/>
      <c r="V15" s="227"/>
      <c r="W15" s="227"/>
      <c r="X15" s="230"/>
    </row>
    <row r="16" spans="1:24">
      <c r="A16" s="224"/>
      <c r="B16" s="225"/>
      <c r="C16" s="210"/>
      <c r="D16" s="255"/>
      <c r="E16" s="256"/>
      <c r="F16" s="257"/>
      <c r="G16" s="223"/>
      <c r="H16" s="223"/>
      <c r="I16" s="223"/>
      <c r="J16" s="223"/>
      <c r="K16" s="223"/>
      <c r="L16" s="223"/>
      <c r="M16" s="223"/>
      <c r="N16" s="223"/>
      <c r="O16" s="235"/>
      <c r="P16" s="104">
        <v>15</v>
      </c>
      <c r="Q16" s="237"/>
      <c r="R16" s="228"/>
      <c r="S16" s="228"/>
      <c r="T16" s="228"/>
      <c r="U16" s="228"/>
      <c r="V16" s="228"/>
      <c r="W16" s="228"/>
      <c r="X16" s="231"/>
    </row>
    <row r="17" spans="1:24" ht="15" customHeight="1">
      <c r="A17" s="208"/>
      <c r="B17" s="209"/>
      <c r="C17" s="210">
        <v>2</v>
      </c>
      <c r="D17" s="249" t="s">
        <v>123</v>
      </c>
      <c r="E17" s="250"/>
      <c r="F17" s="251"/>
      <c r="G17" s="220" t="s">
        <v>49</v>
      </c>
      <c r="H17" s="220"/>
      <c r="I17" s="220"/>
      <c r="J17" s="220"/>
      <c r="K17" s="220"/>
      <c r="L17" s="220"/>
      <c r="M17" s="220"/>
      <c r="N17" s="220"/>
      <c r="O17" s="232">
        <f>SUM(H17:N18)</f>
        <v>0</v>
      </c>
      <c r="P17" s="105" t="s">
        <v>110</v>
      </c>
      <c r="Q17" s="238">
        <f>P18*O17</f>
        <v>0</v>
      </c>
      <c r="R17" s="226">
        <v>0</v>
      </c>
      <c r="S17" s="226">
        <v>0</v>
      </c>
      <c r="T17" s="226"/>
      <c r="U17" s="226"/>
      <c r="V17" s="226"/>
      <c r="W17" s="226">
        <f>S17+R17</f>
        <v>0</v>
      </c>
      <c r="X17" s="229">
        <f>Q19-W17</f>
        <v>0</v>
      </c>
    </row>
    <row r="18" spans="1:24">
      <c r="A18" s="221"/>
      <c r="B18" s="222"/>
      <c r="C18" s="210"/>
      <c r="D18" s="252"/>
      <c r="E18" s="253"/>
      <c r="F18" s="254"/>
      <c r="G18" s="220"/>
      <c r="H18" s="220"/>
      <c r="I18" s="220"/>
      <c r="J18" s="220"/>
      <c r="K18" s="220"/>
      <c r="L18" s="220"/>
      <c r="M18" s="220"/>
      <c r="N18" s="220"/>
      <c r="O18" s="233"/>
      <c r="P18" s="103">
        <f>P20/2+P20</f>
        <v>22.5</v>
      </c>
      <c r="Q18" s="239"/>
      <c r="R18" s="227"/>
      <c r="S18" s="227"/>
      <c r="T18" s="227"/>
      <c r="U18" s="227"/>
      <c r="V18" s="227"/>
      <c r="W18" s="227"/>
      <c r="X18" s="230"/>
    </row>
    <row r="19" spans="1:24">
      <c r="A19" s="261"/>
      <c r="B19" s="262"/>
      <c r="C19" s="210"/>
      <c r="D19" s="252"/>
      <c r="E19" s="253"/>
      <c r="F19" s="254"/>
      <c r="G19" s="223" t="s">
        <v>40</v>
      </c>
      <c r="H19" s="223">
        <v>0</v>
      </c>
      <c r="I19" s="223">
        <v>0</v>
      </c>
      <c r="J19" s="223">
        <v>0</v>
      </c>
      <c r="K19" s="223">
        <v>0</v>
      </c>
      <c r="L19" s="223">
        <v>0</v>
      </c>
      <c r="M19" s="223">
        <v>0</v>
      </c>
      <c r="N19" s="223">
        <v>0</v>
      </c>
      <c r="O19" s="223">
        <f>SUM(H19:N20)</f>
        <v>0</v>
      </c>
      <c r="P19" s="106" t="s">
        <v>110</v>
      </c>
      <c r="Q19" s="236">
        <f>P20*O19</f>
        <v>0</v>
      </c>
      <c r="R19" s="227"/>
      <c r="S19" s="227"/>
      <c r="T19" s="227"/>
      <c r="U19" s="227"/>
      <c r="V19" s="227"/>
      <c r="W19" s="227"/>
      <c r="X19" s="230"/>
    </row>
    <row r="20" spans="1:24">
      <c r="A20" s="224"/>
      <c r="B20" s="225"/>
      <c r="C20" s="210"/>
      <c r="D20" s="255"/>
      <c r="E20" s="256"/>
      <c r="F20" s="257"/>
      <c r="G20" s="223"/>
      <c r="H20" s="223"/>
      <c r="I20" s="223"/>
      <c r="J20" s="223"/>
      <c r="K20" s="223"/>
      <c r="L20" s="223"/>
      <c r="M20" s="223"/>
      <c r="N20" s="223"/>
      <c r="O20" s="223"/>
      <c r="P20" s="104">
        <v>15</v>
      </c>
      <c r="Q20" s="237"/>
      <c r="R20" s="228"/>
      <c r="S20" s="228"/>
      <c r="T20" s="228"/>
      <c r="U20" s="228"/>
      <c r="V20" s="228"/>
      <c r="W20" s="228"/>
      <c r="X20" s="231"/>
    </row>
    <row r="21" spans="1:24" ht="14" customHeight="1">
      <c r="A21" s="208"/>
      <c r="B21" s="209"/>
      <c r="C21" s="210"/>
      <c r="D21" s="211"/>
      <c r="E21" s="212"/>
      <c r="F21" s="213"/>
      <c r="G21" s="220"/>
      <c r="H21" s="220"/>
      <c r="I21" s="220"/>
      <c r="J21" s="220"/>
      <c r="K21" s="220"/>
      <c r="L21" s="220"/>
      <c r="M21" s="220"/>
      <c r="N21" s="220"/>
      <c r="O21" s="232"/>
      <c r="P21" s="105"/>
      <c r="Q21" s="238"/>
      <c r="R21" s="226"/>
      <c r="S21" s="226"/>
      <c r="T21" s="226"/>
      <c r="U21" s="226"/>
      <c r="V21" s="226"/>
      <c r="W21" s="226"/>
      <c r="X21" s="229"/>
    </row>
    <row r="22" spans="1:24">
      <c r="A22" s="221"/>
      <c r="B22" s="222"/>
      <c r="C22" s="210"/>
      <c r="D22" s="214"/>
      <c r="E22" s="215"/>
      <c r="F22" s="216"/>
      <c r="G22" s="220"/>
      <c r="H22" s="220"/>
      <c r="I22" s="220"/>
      <c r="J22" s="220"/>
      <c r="K22" s="220"/>
      <c r="L22" s="220"/>
      <c r="M22" s="220"/>
      <c r="N22" s="220"/>
      <c r="O22" s="233"/>
      <c r="P22" s="103"/>
      <c r="Q22" s="239"/>
      <c r="R22" s="227"/>
      <c r="S22" s="227"/>
      <c r="T22" s="227"/>
      <c r="U22" s="227"/>
      <c r="V22" s="227"/>
      <c r="W22" s="227"/>
      <c r="X22" s="230"/>
    </row>
    <row r="23" spans="1:24">
      <c r="A23" s="221"/>
      <c r="B23" s="222"/>
      <c r="C23" s="210"/>
      <c r="D23" s="214"/>
      <c r="E23" s="215"/>
      <c r="F23" s="216"/>
      <c r="G23" s="223"/>
      <c r="H23" s="223"/>
      <c r="I23" s="223"/>
      <c r="J23" s="223"/>
      <c r="K23" s="223"/>
      <c r="L23" s="223"/>
      <c r="M23" s="223"/>
      <c r="N23" s="223"/>
      <c r="O23" s="223"/>
      <c r="P23" s="106"/>
      <c r="Q23" s="236"/>
      <c r="R23" s="227"/>
      <c r="S23" s="227"/>
      <c r="T23" s="227"/>
      <c r="U23" s="227"/>
      <c r="V23" s="227"/>
      <c r="W23" s="227"/>
      <c r="X23" s="230"/>
    </row>
    <row r="24" spans="1:24">
      <c r="A24" s="224"/>
      <c r="B24" s="225"/>
      <c r="C24" s="210"/>
      <c r="D24" s="217"/>
      <c r="E24" s="218"/>
      <c r="F24" s="219"/>
      <c r="G24" s="223"/>
      <c r="H24" s="223"/>
      <c r="I24" s="223"/>
      <c r="J24" s="223"/>
      <c r="K24" s="223"/>
      <c r="L24" s="223"/>
      <c r="M24" s="223"/>
      <c r="N24" s="223"/>
      <c r="O24" s="223"/>
      <c r="P24" s="104"/>
      <c r="Q24" s="237"/>
      <c r="R24" s="228"/>
      <c r="S24" s="228"/>
      <c r="T24" s="228"/>
      <c r="U24" s="228"/>
      <c r="V24" s="228"/>
      <c r="W24" s="228"/>
      <c r="X24" s="231"/>
    </row>
    <row r="25" spans="1:24" ht="14" customHeight="1">
      <c r="A25" s="208"/>
      <c r="B25" s="209"/>
      <c r="C25" s="210"/>
      <c r="D25" s="211"/>
      <c r="E25" s="212"/>
      <c r="F25" s="213"/>
      <c r="G25" s="220"/>
      <c r="H25" s="220"/>
      <c r="I25" s="220"/>
      <c r="J25" s="220"/>
      <c r="K25" s="220"/>
      <c r="L25" s="220"/>
      <c r="M25" s="220"/>
      <c r="N25" s="220"/>
      <c r="O25" s="232"/>
      <c r="P25" s="105"/>
      <c r="Q25" s="248"/>
      <c r="R25" s="226"/>
      <c r="S25" s="226"/>
      <c r="T25" s="226"/>
      <c r="U25" s="226"/>
      <c r="V25" s="226"/>
      <c r="W25" s="226"/>
      <c r="X25" s="229"/>
    </row>
    <row r="26" spans="1:24">
      <c r="A26" s="221"/>
      <c r="B26" s="222"/>
      <c r="C26" s="210"/>
      <c r="D26" s="214"/>
      <c r="E26" s="215"/>
      <c r="F26" s="216"/>
      <c r="G26" s="220"/>
      <c r="H26" s="220"/>
      <c r="I26" s="220"/>
      <c r="J26" s="220"/>
      <c r="K26" s="220"/>
      <c r="L26" s="220"/>
      <c r="M26" s="220"/>
      <c r="N26" s="220"/>
      <c r="O26" s="233"/>
      <c r="P26" s="103"/>
      <c r="Q26" s="248"/>
      <c r="R26" s="227"/>
      <c r="S26" s="227"/>
      <c r="T26" s="227"/>
      <c r="U26" s="227"/>
      <c r="V26" s="227"/>
      <c r="W26" s="227"/>
      <c r="X26" s="230"/>
    </row>
    <row r="27" spans="1:24">
      <c r="A27" s="221"/>
      <c r="B27" s="222"/>
      <c r="C27" s="210"/>
      <c r="D27" s="214"/>
      <c r="E27" s="215"/>
      <c r="F27" s="216"/>
      <c r="G27" s="223"/>
      <c r="H27" s="223"/>
      <c r="I27" s="223"/>
      <c r="J27" s="223"/>
      <c r="K27" s="223"/>
      <c r="L27" s="223"/>
      <c r="M27" s="223"/>
      <c r="N27" s="223"/>
      <c r="O27" s="223"/>
      <c r="P27" s="106"/>
      <c r="Q27" s="236"/>
      <c r="R27" s="227"/>
      <c r="S27" s="227"/>
      <c r="T27" s="227"/>
      <c r="U27" s="227"/>
      <c r="V27" s="227"/>
      <c r="W27" s="227"/>
      <c r="X27" s="230"/>
    </row>
    <row r="28" spans="1:24">
      <c r="A28" s="224"/>
      <c r="B28" s="225"/>
      <c r="C28" s="210"/>
      <c r="D28" s="217"/>
      <c r="E28" s="218"/>
      <c r="F28" s="219"/>
      <c r="G28" s="223"/>
      <c r="H28" s="223"/>
      <c r="I28" s="223"/>
      <c r="J28" s="223"/>
      <c r="K28" s="223"/>
      <c r="L28" s="223"/>
      <c r="M28" s="223"/>
      <c r="N28" s="223"/>
      <c r="O28" s="223"/>
      <c r="P28" s="104"/>
      <c r="Q28" s="237"/>
      <c r="R28" s="228"/>
      <c r="S28" s="228"/>
      <c r="T28" s="228"/>
      <c r="U28" s="228"/>
      <c r="V28" s="228"/>
      <c r="W28" s="228"/>
      <c r="X28" s="231"/>
    </row>
    <row r="29" spans="1:24" ht="14" customHeight="1">
      <c r="A29" s="208"/>
      <c r="B29" s="209"/>
      <c r="C29" s="210"/>
      <c r="D29" s="211"/>
      <c r="E29" s="212"/>
      <c r="F29" s="213"/>
      <c r="G29" s="220"/>
      <c r="H29" s="220"/>
      <c r="I29" s="220"/>
      <c r="J29" s="220"/>
      <c r="K29" s="220"/>
      <c r="L29" s="220"/>
      <c r="M29" s="220"/>
      <c r="N29" s="220"/>
      <c r="O29" s="232"/>
      <c r="P29" s="105"/>
      <c r="Q29" s="248"/>
      <c r="R29" s="226"/>
      <c r="S29" s="226"/>
      <c r="T29" s="226"/>
      <c r="U29" s="226"/>
      <c r="V29" s="226"/>
      <c r="W29" s="226"/>
      <c r="X29" s="229"/>
    </row>
    <row r="30" spans="1:24">
      <c r="A30" s="221"/>
      <c r="B30" s="222"/>
      <c r="C30" s="210"/>
      <c r="D30" s="214"/>
      <c r="E30" s="215"/>
      <c r="F30" s="216"/>
      <c r="G30" s="220"/>
      <c r="H30" s="220"/>
      <c r="I30" s="220"/>
      <c r="J30" s="220"/>
      <c r="K30" s="220"/>
      <c r="L30" s="220"/>
      <c r="M30" s="220"/>
      <c r="N30" s="220"/>
      <c r="O30" s="233"/>
      <c r="P30" s="103"/>
      <c r="Q30" s="248"/>
      <c r="R30" s="227"/>
      <c r="S30" s="227"/>
      <c r="T30" s="227"/>
      <c r="U30" s="227"/>
      <c r="V30" s="227"/>
      <c r="W30" s="227"/>
      <c r="X30" s="230"/>
    </row>
    <row r="31" spans="1:24">
      <c r="A31" s="221"/>
      <c r="B31" s="222"/>
      <c r="C31" s="210"/>
      <c r="D31" s="214"/>
      <c r="E31" s="215"/>
      <c r="F31" s="216"/>
      <c r="G31" s="223"/>
      <c r="H31" s="223"/>
      <c r="I31" s="234"/>
      <c r="J31" s="234"/>
      <c r="K31" s="234"/>
      <c r="L31" s="234"/>
      <c r="M31" s="234"/>
      <c r="N31" s="234"/>
      <c r="O31" s="223"/>
      <c r="P31" s="106"/>
      <c r="Q31" s="236"/>
      <c r="R31" s="227"/>
      <c r="S31" s="227"/>
      <c r="T31" s="227"/>
      <c r="U31" s="227"/>
      <c r="V31" s="227"/>
      <c r="W31" s="227"/>
      <c r="X31" s="230"/>
    </row>
    <row r="32" spans="1:24">
      <c r="A32" s="224"/>
      <c r="B32" s="225"/>
      <c r="C32" s="210"/>
      <c r="D32" s="217"/>
      <c r="E32" s="218"/>
      <c r="F32" s="219"/>
      <c r="G32" s="223"/>
      <c r="H32" s="223"/>
      <c r="I32" s="235"/>
      <c r="J32" s="235"/>
      <c r="K32" s="235"/>
      <c r="L32" s="235"/>
      <c r="M32" s="235"/>
      <c r="N32" s="235"/>
      <c r="O32" s="223"/>
      <c r="P32" s="104"/>
      <c r="Q32" s="237"/>
      <c r="R32" s="228"/>
      <c r="S32" s="228"/>
      <c r="T32" s="228"/>
      <c r="U32" s="228"/>
      <c r="V32" s="228"/>
      <c r="W32" s="228"/>
      <c r="X32" s="231"/>
    </row>
    <row r="33" spans="1:24" ht="14" customHeight="1">
      <c r="A33" s="208"/>
      <c r="B33" s="209"/>
      <c r="C33" s="210"/>
      <c r="D33" s="211"/>
      <c r="E33" s="212"/>
      <c r="F33" s="213"/>
      <c r="G33" s="220"/>
      <c r="H33" s="220"/>
      <c r="I33" s="220"/>
      <c r="J33" s="220"/>
      <c r="K33" s="220"/>
      <c r="L33" s="220"/>
      <c r="M33" s="220"/>
      <c r="N33" s="220"/>
      <c r="O33" s="232"/>
      <c r="P33" s="105"/>
      <c r="Q33" s="248"/>
      <c r="R33" s="229"/>
      <c r="S33" s="226"/>
      <c r="T33" s="226"/>
      <c r="U33" s="226"/>
      <c r="V33" s="226"/>
      <c r="W33" s="226"/>
      <c r="X33" s="229"/>
    </row>
    <row r="34" spans="1:24">
      <c r="A34" s="221"/>
      <c r="B34" s="222"/>
      <c r="C34" s="210"/>
      <c r="D34" s="214"/>
      <c r="E34" s="215"/>
      <c r="F34" s="216"/>
      <c r="G34" s="220"/>
      <c r="H34" s="220"/>
      <c r="I34" s="220"/>
      <c r="J34" s="220"/>
      <c r="K34" s="220"/>
      <c r="L34" s="220"/>
      <c r="M34" s="220"/>
      <c r="N34" s="220"/>
      <c r="O34" s="233"/>
      <c r="P34" s="103"/>
      <c r="Q34" s="248"/>
      <c r="R34" s="230"/>
      <c r="S34" s="227"/>
      <c r="T34" s="227"/>
      <c r="U34" s="227"/>
      <c r="V34" s="227"/>
      <c r="W34" s="227"/>
      <c r="X34" s="230"/>
    </row>
    <row r="35" spans="1:24">
      <c r="A35" s="221"/>
      <c r="B35" s="222"/>
      <c r="C35" s="210"/>
      <c r="D35" s="214"/>
      <c r="E35" s="215"/>
      <c r="F35" s="216"/>
      <c r="G35" s="223"/>
      <c r="H35" s="223"/>
      <c r="I35" s="234"/>
      <c r="J35" s="234"/>
      <c r="K35" s="234"/>
      <c r="L35" s="234"/>
      <c r="M35" s="234"/>
      <c r="N35" s="234"/>
      <c r="O35" s="223"/>
      <c r="P35" s="106"/>
      <c r="Q35" s="236"/>
      <c r="R35" s="230"/>
      <c r="S35" s="227"/>
      <c r="T35" s="227"/>
      <c r="U35" s="227"/>
      <c r="V35" s="227"/>
      <c r="W35" s="227"/>
      <c r="X35" s="230"/>
    </row>
    <row r="36" spans="1:24">
      <c r="A36" s="224"/>
      <c r="B36" s="225"/>
      <c r="C36" s="210"/>
      <c r="D36" s="217"/>
      <c r="E36" s="218"/>
      <c r="F36" s="219"/>
      <c r="G36" s="223"/>
      <c r="H36" s="223"/>
      <c r="I36" s="235"/>
      <c r="J36" s="235"/>
      <c r="K36" s="235"/>
      <c r="L36" s="235"/>
      <c r="M36" s="235"/>
      <c r="N36" s="235"/>
      <c r="O36" s="223"/>
      <c r="P36" s="104"/>
      <c r="Q36" s="237"/>
      <c r="R36" s="231"/>
      <c r="S36" s="228"/>
      <c r="T36" s="228"/>
      <c r="U36" s="228"/>
      <c r="V36" s="228"/>
      <c r="W36" s="228"/>
      <c r="X36" s="231"/>
    </row>
    <row r="37" spans="1:24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</row>
    <row r="38" spans="1:24" ht="15.75" customHeight="1">
      <c r="A38" s="18" t="s">
        <v>58</v>
      </c>
      <c r="B38" s="101">
        <f>N10</f>
        <v>42498</v>
      </c>
      <c r="C38" s="20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 t="s">
        <v>82</v>
      </c>
      <c r="R38" s="18"/>
      <c r="S38" s="18"/>
      <c r="T38" s="18"/>
      <c r="U38" s="3"/>
      <c r="V38" s="3"/>
      <c r="W38" s="3"/>
    </row>
    <row r="39" spans="1:24" ht="18.75" customHeight="1">
      <c r="A39" s="29" t="s">
        <v>59</v>
      </c>
      <c r="B39" s="35" t="s">
        <v>83</v>
      </c>
      <c r="C39" s="31"/>
      <c r="D39" s="31"/>
      <c r="E39" s="31"/>
      <c r="F39" s="31"/>
      <c r="G39" s="31"/>
      <c r="H39" s="96" t="s">
        <v>75</v>
      </c>
      <c r="I39" s="96"/>
      <c r="J39" s="96"/>
      <c r="K39" s="27"/>
      <c r="L39" s="27"/>
      <c r="M39" s="25"/>
      <c r="N39" s="25"/>
      <c r="O39" s="25"/>
      <c r="P39" s="18"/>
      <c r="Q39" s="13" t="s">
        <v>90</v>
      </c>
      <c r="S39" s="18"/>
      <c r="T39" s="18"/>
      <c r="U39" s="3"/>
      <c r="V39" s="3"/>
      <c r="W39" s="3"/>
    </row>
    <row r="40" spans="1:24" ht="14.25" customHeight="1">
      <c r="A40" s="29"/>
      <c r="B40" s="21" t="s">
        <v>62</v>
      </c>
      <c r="C40" s="21"/>
      <c r="D40" s="21"/>
      <c r="E40" s="21"/>
      <c r="F40" s="31"/>
      <c r="G40" s="58"/>
      <c r="H40" s="21" t="s">
        <v>63</v>
      </c>
      <c r="I40" s="58"/>
      <c r="J40" s="21"/>
      <c r="K40" s="21"/>
      <c r="L40" s="24"/>
      <c r="M40" s="24"/>
      <c r="N40" s="24"/>
      <c r="O40" s="25"/>
      <c r="P40" s="17" t="s">
        <v>10</v>
      </c>
      <c r="R40" s="18"/>
      <c r="S40" s="18"/>
      <c r="T40" s="3"/>
      <c r="U40" s="3"/>
      <c r="V40" s="3"/>
    </row>
    <row r="41" spans="1:24" ht="12" customHeight="1">
      <c r="A41" s="17"/>
      <c r="F41" s="23"/>
      <c r="L41" s="95"/>
      <c r="M41" s="18"/>
      <c r="N41" s="18"/>
      <c r="O41" s="18"/>
      <c r="P41" s="18" t="s">
        <v>11</v>
      </c>
      <c r="R41" s="18"/>
      <c r="S41" s="18"/>
      <c r="T41" s="3"/>
      <c r="U41" s="3"/>
      <c r="V41" s="3"/>
    </row>
    <row r="42" spans="1:24" ht="12" customHeight="1">
      <c r="A42" s="17" t="s">
        <v>60</v>
      </c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 t="s">
        <v>12</v>
      </c>
      <c r="R42" s="18"/>
      <c r="S42" s="18"/>
      <c r="T42" s="3"/>
      <c r="U42" s="3"/>
      <c r="V42" s="3"/>
    </row>
    <row r="43" spans="1:24" ht="12" customHeight="1">
      <c r="A43" s="18"/>
      <c r="B43" s="18" t="s">
        <v>61</v>
      </c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25" t="s">
        <v>13</v>
      </c>
      <c r="R43" s="25"/>
      <c r="S43" s="25"/>
      <c r="T43" s="34"/>
      <c r="U43" s="34"/>
      <c r="V43" s="34"/>
    </row>
    <row r="44" spans="1:24" s="19" customFormat="1" ht="16.5" customHeight="1">
      <c r="A44" s="29"/>
      <c r="B44" s="25"/>
      <c r="C44" s="31" t="str">
        <f>C50</f>
        <v>Evankoff LLC</v>
      </c>
      <c r="D44" s="36"/>
      <c r="E44" s="36"/>
      <c r="F44" s="25"/>
      <c r="G44" s="25"/>
      <c r="H44" s="25"/>
      <c r="I44" s="25"/>
      <c r="J44" s="25"/>
      <c r="K44" s="25"/>
      <c r="L44" s="25"/>
      <c r="M44" s="25"/>
      <c r="N44" s="25"/>
      <c r="O44" s="25" t="s">
        <v>64</v>
      </c>
      <c r="P44" s="25"/>
    </row>
    <row r="45" spans="1:24">
      <c r="A45" s="24"/>
      <c r="B45" s="24"/>
      <c r="C45" s="24" t="s">
        <v>65</v>
      </c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5"/>
      <c r="P45" s="25"/>
      <c r="Q45" s="36" t="s">
        <v>16</v>
      </c>
      <c r="S45" s="19"/>
      <c r="T45" s="19"/>
      <c r="U45" s="19"/>
    </row>
    <row r="46" spans="1:24" s="19" customFormat="1" ht="15" thickBot="1">
      <c r="A46" s="31" t="s">
        <v>105</v>
      </c>
      <c r="B46" s="31"/>
      <c r="C46" s="31"/>
      <c r="D46" s="31"/>
      <c r="E46" s="31"/>
      <c r="F46" s="31"/>
      <c r="G46" s="25" t="s">
        <v>67</v>
      </c>
      <c r="H46" s="25"/>
      <c r="I46" s="25"/>
      <c r="J46" s="25"/>
      <c r="K46" s="25"/>
      <c r="L46" s="25"/>
      <c r="M46" s="25"/>
      <c r="N46" s="25"/>
      <c r="O46" s="25"/>
      <c r="P46" s="25"/>
      <c r="Q46" s="25"/>
    </row>
    <row r="47" spans="1:24">
      <c r="A47" s="24"/>
      <c r="B47" s="24" t="s">
        <v>66</v>
      </c>
      <c r="C47" s="24"/>
      <c r="D47" s="24"/>
      <c r="E47" s="24"/>
      <c r="F47" s="24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94"/>
      <c r="R47" s="70" t="s">
        <v>14</v>
      </c>
      <c r="S47" s="71"/>
      <c r="T47" s="72"/>
      <c r="U47" s="37"/>
      <c r="V47" s="73" t="s">
        <v>15</v>
      </c>
      <c r="W47" s="74" t="s">
        <v>93</v>
      </c>
      <c r="X47" s="75"/>
    </row>
    <row r="48" spans="1:24">
      <c r="A48" s="99">
        <f>H10</f>
        <v>42492</v>
      </c>
      <c r="B48" s="26" t="s">
        <v>68</v>
      </c>
      <c r="C48" s="244">
        <f>F7</f>
        <v>42498</v>
      </c>
      <c r="D48" s="244"/>
      <c r="E48" s="98"/>
      <c r="F48" s="33" t="s">
        <v>73</v>
      </c>
      <c r="J48" s="32"/>
      <c r="L48" s="25"/>
      <c r="M48" s="25"/>
      <c r="N48" s="25"/>
      <c r="O48" s="25"/>
      <c r="P48" s="25"/>
      <c r="Q48" s="76"/>
      <c r="R48" s="77"/>
      <c r="S48" s="77"/>
      <c r="T48" s="78"/>
      <c r="U48" s="79"/>
      <c r="V48" s="80"/>
      <c r="W48" s="80"/>
      <c r="X48" s="81"/>
    </row>
    <row r="49" spans="1:24" ht="14.25" customHeight="1" thickBot="1">
      <c r="A49" s="24" t="s">
        <v>74</v>
      </c>
      <c r="B49" s="25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5"/>
      <c r="Q49" s="82"/>
      <c r="R49" s="83"/>
      <c r="S49" s="83"/>
      <c r="T49" s="84"/>
      <c r="U49" s="85"/>
      <c r="V49" s="86"/>
      <c r="W49" s="86"/>
      <c r="X49" s="87"/>
    </row>
    <row r="50" spans="1:24" ht="18.75" customHeight="1">
      <c r="A50" s="25"/>
      <c r="B50" s="25"/>
      <c r="C50" s="31" t="str">
        <f>A5</f>
        <v>Evankoff LLC</v>
      </c>
      <c r="D50" s="25"/>
      <c r="E50" s="25"/>
      <c r="F50" s="25"/>
      <c r="G50" s="25"/>
      <c r="H50" s="25"/>
      <c r="I50" s="25"/>
      <c r="J50" s="25"/>
      <c r="K50" s="25"/>
      <c r="L50" s="25"/>
      <c r="M50" s="25" t="s">
        <v>69</v>
      </c>
      <c r="N50" s="25"/>
      <c r="O50" s="25"/>
      <c r="P50" s="25"/>
      <c r="Q50" s="107" t="s">
        <v>128</v>
      </c>
      <c r="R50" s="108"/>
      <c r="S50" s="240" t="s">
        <v>97</v>
      </c>
      <c r="T50" s="240"/>
      <c r="U50" s="240"/>
      <c r="V50" s="240"/>
      <c r="W50" s="240"/>
      <c r="X50" s="241"/>
    </row>
    <row r="51" spans="1:24">
      <c r="A51" s="24"/>
      <c r="B51" s="24"/>
      <c r="C51" s="24" t="s">
        <v>65</v>
      </c>
      <c r="D51" s="24"/>
      <c r="E51" s="24"/>
      <c r="F51" s="24"/>
      <c r="G51" s="24"/>
      <c r="H51" s="24"/>
      <c r="I51" s="24"/>
      <c r="J51" s="24"/>
      <c r="K51" s="24"/>
      <c r="L51" s="24"/>
      <c r="M51" s="25"/>
      <c r="N51" s="25"/>
      <c r="O51" s="25"/>
      <c r="P51" s="25"/>
      <c r="Q51" s="109" t="s">
        <v>127</v>
      </c>
      <c r="R51" s="110"/>
      <c r="S51" s="242"/>
      <c r="T51" s="242"/>
      <c r="U51" s="242"/>
      <c r="V51" s="242"/>
      <c r="W51" s="242"/>
      <c r="X51" s="243"/>
    </row>
    <row r="52" spans="1:24" ht="12.75" customHeight="1" thickBot="1">
      <c r="A52" s="25" t="s">
        <v>70</v>
      </c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39"/>
      <c r="R52" s="88"/>
      <c r="S52" s="88"/>
      <c r="T52" s="89"/>
      <c r="U52" s="41"/>
      <c r="V52" s="40"/>
      <c r="W52" s="40"/>
      <c r="X52" s="42"/>
    </row>
    <row r="53" spans="1:24" ht="12.75" customHeight="1">
      <c r="A53" s="25" t="s">
        <v>71</v>
      </c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107" t="s">
        <v>128</v>
      </c>
      <c r="R53" s="108"/>
      <c r="S53" s="240" t="s">
        <v>95</v>
      </c>
      <c r="T53" s="240"/>
      <c r="U53" s="240"/>
      <c r="V53" s="240"/>
      <c r="W53" s="240"/>
      <c r="X53" s="241"/>
    </row>
    <row r="54" spans="1:24" ht="12.75" customHeight="1">
      <c r="A54" s="25" t="s">
        <v>72</v>
      </c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109" t="s">
        <v>127</v>
      </c>
      <c r="R54" s="110"/>
      <c r="S54" s="242"/>
      <c r="T54" s="242"/>
      <c r="U54" s="242"/>
      <c r="V54" s="242"/>
      <c r="W54" s="242"/>
      <c r="X54" s="243"/>
    </row>
    <row r="55" spans="1:24" ht="12.75" customHeight="1" thickBot="1">
      <c r="A55" s="25" t="s">
        <v>0</v>
      </c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53"/>
      <c r="R55" s="54"/>
      <c r="S55" s="54"/>
      <c r="T55" s="54"/>
      <c r="U55" s="55"/>
      <c r="V55" s="10"/>
      <c r="W55" s="10"/>
      <c r="X55" s="56"/>
    </row>
    <row r="56" spans="1:24" ht="18" customHeight="1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48"/>
      <c r="R56" s="49"/>
      <c r="S56" s="49"/>
      <c r="T56" s="49"/>
      <c r="U56" s="50"/>
      <c r="V56" s="51"/>
      <c r="W56" s="51"/>
      <c r="X56" s="52"/>
    </row>
    <row r="57" spans="1:24" ht="18" customHeight="1" thickBot="1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5"/>
      <c r="Q57" s="53"/>
      <c r="R57" s="54"/>
      <c r="S57" s="54"/>
      <c r="T57" s="54"/>
      <c r="U57" s="55"/>
      <c r="V57" s="10"/>
      <c r="W57" s="10"/>
      <c r="X57" s="56"/>
    </row>
    <row r="58" spans="1:24" ht="18" customHeight="1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5"/>
      <c r="Q58" s="48"/>
      <c r="R58" s="49"/>
      <c r="S58" s="49"/>
      <c r="T58" s="49"/>
      <c r="U58" s="50"/>
      <c r="V58" s="51"/>
      <c r="W58" s="51"/>
      <c r="X58" s="52"/>
    </row>
    <row r="59" spans="1:24" ht="21" customHeight="1" thickBot="1">
      <c r="A59" s="24"/>
      <c r="B59" s="28" t="s">
        <v>2</v>
      </c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5"/>
      <c r="Q59" s="53"/>
      <c r="R59" s="54"/>
      <c r="S59" s="54"/>
      <c r="T59" s="54"/>
      <c r="U59" s="55"/>
      <c r="V59" s="10"/>
      <c r="W59" s="10"/>
      <c r="X59" s="56"/>
    </row>
    <row r="60" spans="1:24" ht="12" customHeight="1">
      <c r="A60" s="30" t="s">
        <v>3</v>
      </c>
      <c r="B60" s="30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5"/>
      <c r="Q60" s="48" t="s">
        <v>17</v>
      </c>
      <c r="R60" s="49"/>
      <c r="S60" s="49"/>
      <c r="T60" s="49"/>
      <c r="U60" s="49"/>
      <c r="V60" s="51"/>
      <c r="W60" s="51"/>
      <c r="X60" s="52"/>
    </row>
    <row r="61" spans="1:24" ht="12" customHeight="1">
      <c r="A61" s="27" t="s">
        <v>4</v>
      </c>
      <c r="B61" s="30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5"/>
      <c r="Q61" s="111" t="s">
        <v>96</v>
      </c>
      <c r="R61" s="44"/>
      <c r="S61" s="44"/>
      <c r="T61" s="44"/>
      <c r="U61" s="44"/>
      <c r="V61" s="46"/>
      <c r="W61" s="46"/>
      <c r="X61" s="47"/>
    </row>
    <row r="62" spans="1:24" ht="12" customHeight="1">
      <c r="A62" s="27" t="s">
        <v>5</v>
      </c>
      <c r="B62" s="30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5"/>
      <c r="Q62" s="121"/>
      <c r="R62" s="122"/>
      <c r="S62" s="44"/>
      <c r="T62" s="44"/>
      <c r="U62" s="44"/>
      <c r="V62" s="46"/>
      <c r="W62" s="46"/>
      <c r="X62" s="47"/>
    </row>
    <row r="63" spans="1:24" ht="12" customHeight="1">
      <c r="A63" s="27"/>
      <c r="B63" s="30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5"/>
      <c r="Q63" s="121"/>
      <c r="R63" s="122"/>
      <c r="S63" s="44"/>
      <c r="T63" s="44"/>
      <c r="U63" s="44"/>
      <c r="V63" s="46"/>
      <c r="W63" s="46"/>
      <c r="X63" s="47"/>
    </row>
    <row r="64" spans="1:24" ht="12" customHeight="1">
      <c r="A64" s="29" t="s">
        <v>7</v>
      </c>
      <c r="B64" s="29" t="s">
        <v>6</v>
      </c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121"/>
      <c r="R64" s="122"/>
      <c r="S64" s="44"/>
      <c r="T64" s="44"/>
      <c r="U64" s="44"/>
      <c r="V64" s="46"/>
      <c r="W64" s="46"/>
      <c r="X64" s="47"/>
    </row>
    <row r="65" spans="1:24" ht="12" customHeight="1">
      <c r="A65" s="25" t="s">
        <v>8</v>
      </c>
      <c r="B65" s="29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43"/>
      <c r="R65" s="44"/>
      <c r="S65" s="44"/>
      <c r="T65" s="44"/>
      <c r="U65" s="44"/>
      <c r="V65" s="46"/>
      <c r="W65" s="46"/>
      <c r="X65" s="47"/>
    </row>
    <row r="66" spans="1:24" ht="12" customHeight="1">
      <c r="A66" s="25" t="s">
        <v>9</v>
      </c>
      <c r="B66" s="29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43"/>
      <c r="R66" s="44"/>
      <c r="S66" s="44"/>
      <c r="T66" s="44"/>
      <c r="U66" s="44"/>
      <c r="V66" s="46"/>
      <c r="W66" s="46"/>
      <c r="X66" s="47"/>
    </row>
    <row r="67" spans="1:24" ht="12" customHeight="1" thickBot="1">
      <c r="A67" s="25"/>
      <c r="B67" s="29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53"/>
      <c r="R67" s="54"/>
      <c r="S67" s="54"/>
      <c r="T67" s="54"/>
      <c r="U67" s="54"/>
      <c r="V67" s="10"/>
      <c r="W67" s="10"/>
      <c r="X67" s="56"/>
    </row>
    <row r="68" spans="1:24" ht="12" customHeight="1">
      <c r="A68" s="25"/>
      <c r="B68" s="25" t="s">
        <v>57</v>
      </c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</row>
    <row r="69" spans="1:24" ht="12" customHeight="1">
      <c r="A69" s="25"/>
      <c r="B69" s="25" t="s">
        <v>1</v>
      </c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12" t="s">
        <v>50</v>
      </c>
      <c r="R69" s="22"/>
      <c r="S69" s="22"/>
      <c r="T69" s="67"/>
      <c r="U69" s="57" t="s">
        <v>51</v>
      </c>
      <c r="V69" s="58"/>
      <c r="W69" s="58"/>
      <c r="X69" s="59"/>
    </row>
    <row r="70" spans="1:24" ht="11.25" customHeight="1">
      <c r="A70" s="25"/>
      <c r="B70" s="25" t="s">
        <v>81</v>
      </c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63"/>
      <c r="T70" s="68"/>
      <c r="U70" s="61"/>
      <c r="V70" s="38"/>
      <c r="W70" s="38"/>
      <c r="X70" s="60"/>
    </row>
    <row r="71" spans="1:24" ht="13.5" customHeight="1">
      <c r="A71" s="25"/>
      <c r="B71" s="97" t="s">
        <v>80</v>
      </c>
      <c r="C71" s="29" t="s">
        <v>76</v>
      </c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93" t="str">
        <f>B39</f>
        <v>Eric Coffie</v>
      </c>
      <c r="R71" s="90"/>
      <c r="S71" s="90" t="str">
        <f>H39</f>
        <v>President</v>
      </c>
      <c r="T71" s="68"/>
      <c r="U71" s="61"/>
      <c r="V71" s="38"/>
      <c r="W71" s="38"/>
      <c r="X71" s="60"/>
    </row>
    <row r="72" spans="1:24" ht="10.5" customHeight="1">
      <c r="A72" s="19"/>
      <c r="B72" s="25"/>
      <c r="C72" s="25" t="s">
        <v>77</v>
      </c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19"/>
      <c r="Q72" s="91"/>
      <c r="R72" s="92"/>
      <c r="S72" s="92"/>
      <c r="T72" s="69"/>
      <c r="U72" s="62"/>
      <c r="V72" s="116"/>
      <c r="W72" s="116"/>
      <c r="X72" s="117"/>
    </row>
    <row r="73" spans="1:24" ht="10.5" customHeight="1">
      <c r="A73" s="19"/>
      <c r="B73" s="19"/>
      <c r="C73" s="25" t="s">
        <v>78</v>
      </c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</row>
    <row r="74" spans="1:24" ht="10.5" customHeight="1">
      <c r="B74" s="19"/>
      <c r="C74" s="25" t="s">
        <v>79</v>
      </c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Q74" s="64" t="s">
        <v>86</v>
      </c>
      <c r="R74" s="58"/>
      <c r="S74" s="58"/>
      <c r="T74" s="58"/>
      <c r="U74" s="58"/>
      <c r="V74" s="58"/>
      <c r="W74" s="58"/>
      <c r="X74" s="59"/>
    </row>
    <row r="75" spans="1:24" ht="10.5" customHeight="1">
      <c r="Q75" s="66" t="s">
        <v>87</v>
      </c>
      <c r="R75" s="38"/>
      <c r="S75" s="38"/>
      <c r="T75" s="38"/>
      <c r="U75" s="38"/>
      <c r="V75" s="38"/>
      <c r="W75" s="38"/>
      <c r="X75" s="60"/>
    </row>
    <row r="76" spans="1:24" ht="10.5" customHeight="1">
      <c r="Q76" s="66" t="s">
        <v>88</v>
      </c>
      <c r="R76" s="38"/>
      <c r="S76" s="38"/>
      <c r="T76" s="38"/>
      <c r="U76" s="38"/>
      <c r="V76" s="38"/>
      <c r="W76" s="38"/>
      <c r="X76" s="60"/>
    </row>
    <row r="77" spans="1:24" ht="10.5" customHeight="1">
      <c r="Q77" s="65" t="s">
        <v>89</v>
      </c>
      <c r="R77" s="116"/>
      <c r="S77" s="116"/>
      <c r="T77" s="116"/>
      <c r="U77" s="116"/>
      <c r="V77" s="116"/>
      <c r="W77" s="116"/>
      <c r="X77" s="117"/>
    </row>
  </sheetData>
  <mergeCells count="235">
    <mergeCell ref="S50:X51"/>
    <mergeCell ref="S53:X54"/>
    <mergeCell ref="M35:M36"/>
    <mergeCell ref="N35:N36"/>
    <mergeCell ref="O35:O36"/>
    <mergeCell ref="Q35:Q36"/>
    <mergeCell ref="A36:B36"/>
    <mergeCell ref="C48:D48"/>
    <mergeCell ref="W33:W36"/>
    <mergeCell ref="X33:X36"/>
    <mergeCell ref="A34:B34"/>
    <mergeCell ref="A35:B35"/>
    <mergeCell ref="G35:G36"/>
    <mergeCell ref="H35:H36"/>
    <mergeCell ref="I35:I36"/>
    <mergeCell ref="J35:J36"/>
    <mergeCell ref="K35:K36"/>
    <mergeCell ref="L35:L36"/>
    <mergeCell ref="Q33:Q34"/>
    <mergeCell ref="R33:R36"/>
    <mergeCell ref="S33:S36"/>
    <mergeCell ref="T33:T36"/>
    <mergeCell ref="U33:U36"/>
    <mergeCell ref="V33:V36"/>
    <mergeCell ref="J33:J34"/>
    <mergeCell ref="K33:K34"/>
    <mergeCell ref="L33:L34"/>
    <mergeCell ref="M33:M34"/>
    <mergeCell ref="N33:N34"/>
    <mergeCell ref="O33:O34"/>
    <mergeCell ref="A33:B33"/>
    <mergeCell ref="C33:C36"/>
    <mergeCell ref="D33:F36"/>
    <mergeCell ref="G33:G34"/>
    <mergeCell ref="H33:H34"/>
    <mergeCell ref="I33:I34"/>
    <mergeCell ref="L31:L32"/>
    <mergeCell ref="M31:M32"/>
    <mergeCell ref="N31:N32"/>
    <mergeCell ref="O31:O32"/>
    <mergeCell ref="Q31:Q32"/>
    <mergeCell ref="A32:B32"/>
    <mergeCell ref="V29:V32"/>
    <mergeCell ref="W29:W32"/>
    <mergeCell ref="X29:X32"/>
    <mergeCell ref="A30:B30"/>
    <mergeCell ref="A31:B31"/>
    <mergeCell ref="G31:G32"/>
    <mergeCell ref="H31:H32"/>
    <mergeCell ref="I31:I32"/>
    <mergeCell ref="J31:J32"/>
    <mergeCell ref="K31:K32"/>
    <mergeCell ref="O29:O30"/>
    <mergeCell ref="Q29:Q30"/>
    <mergeCell ref="R29:R32"/>
    <mergeCell ref="S29:S32"/>
    <mergeCell ref="T29:T32"/>
    <mergeCell ref="U29:U32"/>
    <mergeCell ref="I29:I30"/>
    <mergeCell ref="J29:J30"/>
    <mergeCell ref="K29:K30"/>
    <mergeCell ref="L29:L30"/>
    <mergeCell ref="M29:M30"/>
    <mergeCell ref="N29:N30"/>
    <mergeCell ref="M27:M28"/>
    <mergeCell ref="N27:N28"/>
    <mergeCell ref="O27:O28"/>
    <mergeCell ref="Q27:Q28"/>
    <mergeCell ref="A28:B28"/>
    <mergeCell ref="A29:B29"/>
    <mergeCell ref="C29:C32"/>
    <mergeCell ref="D29:F32"/>
    <mergeCell ref="G29:G30"/>
    <mergeCell ref="H29:H30"/>
    <mergeCell ref="W25:W28"/>
    <mergeCell ref="X25:X28"/>
    <mergeCell ref="A26:B26"/>
    <mergeCell ref="A27:B27"/>
    <mergeCell ref="G27:G28"/>
    <mergeCell ref="H27:H28"/>
    <mergeCell ref="I27:I28"/>
    <mergeCell ref="J27:J28"/>
    <mergeCell ref="K27:K28"/>
    <mergeCell ref="L27:L28"/>
    <mergeCell ref="Q25:Q26"/>
    <mergeCell ref="R25:R28"/>
    <mergeCell ref="S25:S28"/>
    <mergeCell ref="T25:T28"/>
    <mergeCell ref="U25:U28"/>
    <mergeCell ref="V25:V28"/>
    <mergeCell ref="J25:J26"/>
    <mergeCell ref="K25:K26"/>
    <mergeCell ref="L25:L26"/>
    <mergeCell ref="M25:M26"/>
    <mergeCell ref="N25:N26"/>
    <mergeCell ref="O25:O26"/>
    <mergeCell ref="A25:B25"/>
    <mergeCell ref="C25:C28"/>
    <mergeCell ref="D25:F28"/>
    <mergeCell ref="G25:G26"/>
    <mergeCell ref="H25:H26"/>
    <mergeCell ref="I25:I26"/>
    <mergeCell ref="L23:L24"/>
    <mergeCell ref="M23:M24"/>
    <mergeCell ref="N23:N24"/>
    <mergeCell ref="O23:O24"/>
    <mergeCell ref="Q23:Q24"/>
    <mergeCell ref="A24:B24"/>
    <mergeCell ref="V21:V24"/>
    <mergeCell ref="W21:W24"/>
    <mergeCell ref="X21:X24"/>
    <mergeCell ref="A22:B22"/>
    <mergeCell ref="A23:B23"/>
    <mergeCell ref="G23:G24"/>
    <mergeCell ref="H23:H24"/>
    <mergeCell ref="I23:I24"/>
    <mergeCell ref="J23:J24"/>
    <mergeCell ref="K23:K24"/>
    <mergeCell ref="O21:O22"/>
    <mergeCell ref="Q21:Q22"/>
    <mergeCell ref="R21:R24"/>
    <mergeCell ref="S21:S24"/>
    <mergeCell ref="T21:T24"/>
    <mergeCell ref="U21:U24"/>
    <mergeCell ref="I21:I22"/>
    <mergeCell ref="J21:J22"/>
    <mergeCell ref="K21:K22"/>
    <mergeCell ref="L21:L22"/>
    <mergeCell ref="M21:M22"/>
    <mergeCell ref="N21:N22"/>
    <mergeCell ref="M19:M20"/>
    <mergeCell ref="N19:N20"/>
    <mergeCell ref="O19:O20"/>
    <mergeCell ref="Q19:Q20"/>
    <mergeCell ref="A20:B20"/>
    <mergeCell ref="A21:B21"/>
    <mergeCell ref="C21:C24"/>
    <mergeCell ref="D21:F24"/>
    <mergeCell ref="G21:G22"/>
    <mergeCell ref="H21:H22"/>
    <mergeCell ref="W17:W20"/>
    <mergeCell ref="X17:X20"/>
    <mergeCell ref="A18:B18"/>
    <mergeCell ref="A19:B19"/>
    <mergeCell ref="G19:G20"/>
    <mergeCell ref="H19:H20"/>
    <mergeCell ref="I19:I20"/>
    <mergeCell ref="J19:J20"/>
    <mergeCell ref="K19:K20"/>
    <mergeCell ref="L19:L20"/>
    <mergeCell ref="Q17:Q18"/>
    <mergeCell ref="R17:R20"/>
    <mergeCell ref="S17:S20"/>
    <mergeCell ref="T17:T20"/>
    <mergeCell ref="U17:U20"/>
    <mergeCell ref="V17:V20"/>
    <mergeCell ref="J17:J18"/>
    <mergeCell ref="K17:K18"/>
    <mergeCell ref="L17:L18"/>
    <mergeCell ref="M17:M18"/>
    <mergeCell ref="N17:N18"/>
    <mergeCell ref="O17:O18"/>
    <mergeCell ref="N15:N16"/>
    <mergeCell ref="O15:O16"/>
    <mergeCell ref="Q15:Q16"/>
    <mergeCell ref="A16:B16"/>
    <mergeCell ref="A17:B17"/>
    <mergeCell ref="C17:C20"/>
    <mergeCell ref="D17:F20"/>
    <mergeCell ref="G17:G18"/>
    <mergeCell ref="H17:H18"/>
    <mergeCell ref="I17:I18"/>
    <mergeCell ref="X13:X16"/>
    <mergeCell ref="A14:B14"/>
    <mergeCell ref="A15:B15"/>
    <mergeCell ref="G15:G16"/>
    <mergeCell ref="H15:H16"/>
    <mergeCell ref="I15:I16"/>
    <mergeCell ref="J15:J16"/>
    <mergeCell ref="K15:K16"/>
    <mergeCell ref="L15:L16"/>
    <mergeCell ref="M15:M16"/>
    <mergeCell ref="R13:R16"/>
    <mergeCell ref="S13:S16"/>
    <mergeCell ref="T13:T16"/>
    <mergeCell ref="U13:U16"/>
    <mergeCell ref="V13:V16"/>
    <mergeCell ref="W13:W16"/>
    <mergeCell ref="K13:K14"/>
    <mergeCell ref="L13:L14"/>
    <mergeCell ref="M13:M14"/>
    <mergeCell ref="N13:N14"/>
    <mergeCell ref="O13:O14"/>
    <mergeCell ref="Q13:Q14"/>
    <mergeCell ref="V10:V12"/>
    <mergeCell ref="W10:W12"/>
    <mergeCell ref="H12:N12"/>
    <mergeCell ref="A13:B13"/>
    <mergeCell ref="C13:C16"/>
    <mergeCell ref="D13:F16"/>
    <mergeCell ref="G13:G14"/>
    <mergeCell ref="H13:H14"/>
    <mergeCell ref="I13:I14"/>
    <mergeCell ref="J13:J14"/>
    <mergeCell ref="P10:P12"/>
    <mergeCell ref="Q10:Q12"/>
    <mergeCell ref="R10:R12"/>
    <mergeCell ref="S10:S12"/>
    <mergeCell ref="T10:T12"/>
    <mergeCell ref="U10:U12"/>
    <mergeCell ref="A8:B8"/>
    <mergeCell ref="D8:F8"/>
    <mergeCell ref="G8:G12"/>
    <mergeCell ref="H8:N8"/>
    <mergeCell ref="R8:W9"/>
    <mergeCell ref="X8:X12"/>
    <mergeCell ref="A9:B12"/>
    <mergeCell ref="C9:C12"/>
    <mergeCell ref="D9:F12"/>
    <mergeCell ref="O10:O12"/>
    <mergeCell ref="W4:X5"/>
    <mergeCell ref="A5:N5"/>
    <mergeCell ref="O5:V5"/>
    <mergeCell ref="A6:D6"/>
    <mergeCell ref="F6:N6"/>
    <mergeCell ref="A7:D7"/>
    <mergeCell ref="F7:N7"/>
    <mergeCell ref="O7:S7"/>
    <mergeCell ref="T7:X7"/>
    <mergeCell ref="A1:D3"/>
    <mergeCell ref="F1:U3"/>
    <mergeCell ref="A4:C4"/>
    <mergeCell ref="D4:G4"/>
    <mergeCell ref="H4:N4"/>
    <mergeCell ref="O4:V4"/>
  </mergeCells>
  <phoneticPr fontId="11" type="noConversion"/>
  <pageMargins left="0.7" right="0.7" top="0.75" bottom="0.75" header="0.3" footer="0.3"/>
  <pageSetup scale="77" orientation="landscape" horizontalDpi="4294967292" verticalDpi="4294967292"/>
  <rowBreaks count="1" manualBreakCount="1">
    <brk id="36" max="16383" man="1"/>
  </rowBreaks>
  <colBreaks count="1" manualBreakCount="1">
    <brk id="24" max="1048575" man="1"/>
  </colBreaks>
  <drawing r:id="rId1"/>
  <extLst>
    <ext xmlns:mx="http://schemas.microsoft.com/office/mac/excel/2008/main" uri="{64002731-A6B0-56B0-2670-7721B7C09600}">
      <mx:PLV Mode="1" OnePage="0" WScale="77"/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77"/>
  <sheetViews>
    <sheetView view="pageLayout" zoomScaleNormal="125" zoomScalePageLayoutView="125" workbookViewId="0">
      <selection activeCell="D8" sqref="D8:F8"/>
    </sheetView>
  </sheetViews>
  <sheetFormatPr baseColWidth="10" defaultColWidth="8.83203125" defaultRowHeight="14" x14ac:dyDescent="0"/>
  <cols>
    <col min="1" max="1" width="10.33203125" customWidth="1"/>
    <col min="2" max="2" width="11.1640625" customWidth="1"/>
    <col min="3" max="3" width="5" customWidth="1"/>
    <col min="4" max="4" width="5.1640625" customWidth="1"/>
    <col min="5" max="5" width="4.6640625" customWidth="1"/>
    <col min="6" max="6" width="4.83203125" customWidth="1"/>
    <col min="7" max="7" width="3.6640625" customWidth="1"/>
    <col min="8" max="8" width="5" customWidth="1"/>
    <col min="9" max="9" width="4.6640625" customWidth="1"/>
    <col min="10" max="11" width="5.33203125" customWidth="1"/>
    <col min="12" max="12" width="4.83203125" customWidth="1"/>
    <col min="13" max="13" width="5.5" customWidth="1"/>
    <col min="14" max="14" width="5.1640625" customWidth="1"/>
    <col min="16" max="17" width="9.83203125" bestFit="1" customWidth="1"/>
    <col min="18" max="18" width="7.6640625" customWidth="1"/>
    <col min="19" max="19" width="9.5" customWidth="1"/>
    <col min="20" max="20" width="6" hidden="1" customWidth="1"/>
    <col min="21" max="21" width="4.33203125" hidden="1" customWidth="1"/>
    <col min="22" max="22" width="7.6640625" hidden="1" customWidth="1"/>
    <col min="23" max="23" width="9.33203125" customWidth="1"/>
    <col min="24" max="24" width="12.6640625" customWidth="1"/>
  </cols>
  <sheetData>
    <row r="1" spans="1:24" ht="15" customHeight="1">
      <c r="A1" s="149" t="s">
        <v>22</v>
      </c>
      <c r="B1" s="149"/>
      <c r="C1" s="149"/>
      <c r="D1" s="149"/>
      <c r="E1" s="147"/>
      <c r="F1" s="151" t="s">
        <v>55</v>
      </c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9"/>
      <c r="W1" s="9"/>
      <c r="X1" s="9"/>
    </row>
    <row r="2" spans="1:24">
      <c r="A2" s="149"/>
      <c r="B2" s="149"/>
      <c r="C2" s="149"/>
      <c r="D2" s="149"/>
      <c r="E2" s="147"/>
      <c r="F2" s="151"/>
      <c r="G2" s="151"/>
      <c r="H2" s="151"/>
      <c r="I2" s="151"/>
      <c r="J2" s="151"/>
      <c r="K2" s="151"/>
      <c r="L2" s="151"/>
      <c r="M2" s="151"/>
      <c r="N2" s="151"/>
      <c r="O2" s="151"/>
      <c r="P2" s="151"/>
      <c r="Q2" s="151"/>
      <c r="R2" s="151"/>
      <c r="S2" s="151"/>
      <c r="T2" s="151"/>
      <c r="U2" s="151"/>
      <c r="V2" s="9"/>
      <c r="W2" s="9"/>
      <c r="X2" s="9"/>
    </row>
    <row r="3" spans="1:24" ht="15" customHeight="1" thickBot="1">
      <c r="A3" s="150"/>
      <c r="B3" s="150"/>
      <c r="C3" s="150"/>
      <c r="D3" s="150"/>
      <c r="E3" s="148"/>
      <c r="F3" s="152"/>
      <c r="G3" s="152"/>
      <c r="H3" s="152"/>
      <c r="I3" s="152"/>
      <c r="J3" s="152"/>
      <c r="K3" s="152"/>
      <c r="L3" s="152"/>
      <c r="M3" s="152"/>
      <c r="N3" s="152"/>
      <c r="O3" s="152"/>
      <c r="P3" s="152"/>
      <c r="Q3" s="152"/>
      <c r="R3" s="152"/>
      <c r="S3" s="152"/>
      <c r="T3" s="152"/>
      <c r="U3" s="152"/>
      <c r="V3" s="10"/>
      <c r="W3" s="10"/>
      <c r="X3" s="10"/>
    </row>
    <row r="4" spans="1:24" s="11" customFormat="1">
      <c r="A4" s="153" t="s">
        <v>56</v>
      </c>
      <c r="B4" s="154"/>
      <c r="C4" s="154"/>
      <c r="D4" s="154" t="s">
        <v>52</v>
      </c>
      <c r="E4" s="154"/>
      <c r="F4" s="154"/>
      <c r="G4" s="154"/>
      <c r="H4" s="155"/>
      <c r="I4" s="155"/>
      <c r="J4" s="155"/>
      <c r="K4" s="155"/>
      <c r="L4" s="155"/>
      <c r="M4" s="155"/>
      <c r="N4" s="156"/>
      <c r="O4" s="157" t="s">
        <v>126</v>
      </c>
      <c r="P4" s="158"/>
      <c r="Q4" s="158"/>
      <c r="R4" s="158"/>
      <c r="S4" s="158"/>
      <c r="T4" s="158"/>
      <c r="U4" s="158"/>
      <c r="V4" s="158"/>
      <c r="W4" s="159"/>
      <c r="X4" s="160"/>
    </row>
    <row r="5" spans="1:24" s="1" customFormat="1" ht="12">
      <c r="A5" s="163" t="s">
        <v>125</v>
      </c>
      <c r="B5" s="164"/>
      <c r="C5" s="164"/>
      <c r="D5" s="164"/>
      <c r="E5" s="164"/>
      <c r="F5" s="164"/>
      <c r="G5" s="164"/>
      <c r="H5" s="164"/>
      <c r="I5" s="164"/>
      <c r="J5" s="164"/>
      <c r="K5" s="164"/>
      <c r="L5" s="164"/>
      <c r="M5" s="164"/>
      <c r="N5" s="165"/>
      <c r="O5" s="166" t="s">
        <v>108</v>
      </c>
      <c r="P5" s="167"/>
      <c r="Q5" s="167"/>
      <c r="R5" s="167"/>
      <c r="S5" s="167"/>
      <c r="T5" s="167"/>
      <c r="U5" s="167"/>
      <c r="V5" s="167"/>
      <c r="W5" s="161"/>
      <c r="X5" s="162"/>
    </row>
    <row r="6" spans="1:24" s="13" customFormat="1" ht="11">
      <c r="A6" s="168" t="s">
        <v>18</v>
      </c>
      <c r="B6" s="169"/>
      <c r="C6" s="169"/>
      <c r="D6" s="170"/>
      <c r="E6" s="115"/>
      <c r="F6" s="168" t="s">
        <v>19</v>
      </c>
      <c r="G6" s="169"/>
      <c r="H6" s="169"/>
      <c r="I6" s="169"/>
      <c r="J6" s="169"/>
      <c r="K6" s="169"/>
      <c r="L6" s="169"/>
      <c r="M6" s="169"/>
      <c r="N6" s="170"/>
      <c r="O6" s="102" t="s">
        <v>20</v>
      </c>
      <c r="P6" s="15"/>
      <c r="Q6" s="15"/>
      <c r="R6" s="15"/>
      <c r="S6" s="102" t="s">
        <v>91</v>
      </c>
      <c r="T6" s="15" t="s">
        <v>21</v>
      </c>
      <c r="U6" s="15"/>
      <c r="V6" s="15"/>
      <c r="X6" s="16"/>
    </row>
    <row r="7" spans="1:24" s="1" customFormat="1" ht="16.5" customHeight="1">
      <c r="A7" s="171">
        <v>18</v>
      </c>
      <c r="B7" s="172"/>
      <c r="C7" s="172"/>
      <c r="D7" s="173"/>
      <c r="E7" s="146"/>
      <c r="F7" s="174">
        <v>42505</v>
      </c>
      <c r="G7" s="175"/>
      <c r="H7" s="175"/>
      <c r="I7" s="175"/>
      <c r="J7" s="175"/>
      <c r="K7" s="175"/>
      <c r="L7" s="175"/>
      <c r="M7" s="175"/>
      <c r="N7" s="176"/>
      <c r="O7" s="166" t="s">
        <v>107</v>
      </c>
      <c r="P7" s="167"/>
      <c r="Q7" s="167"/>
      <c r="R7" s="167"/>
      <c r="S7" s="167"/>
      <c r="T7" s="167" t="s">
        <v>109</v>
      </c>
      <c r="U7" s="167"/>
      <c r="V7" s="167"/>
      <c r="W7" s="167"/>
      <c r="X7" s="177"/>
    </row>
    <row r="8" spans="1:24" s="2" customFormat="1" ht="11.25" customHeight="1">
      <c r="A8" s="178" t="s">
        <v>23</v>
      </c>
      <c r="B8" s="179"/>
      <c r="C8" s="7" t="s">
        <v>24</v>
      </c>
      <c r="D8" s="178" t="s">
        <v>25</v>
      </c>
      <c r="E8" s="180"/>
      <c r="F8" s="179"/>
      <c r="G8" s="181" t="s">
        <v>29</v>
      </c>
      <c r="H8" s="184" t="s">
        <v>54</v>
      </c>
      <c r="I8" s="185"/>
      <c r="J8" s="185"/>
      <c r="K8" s="185"/>
      <c r="L8" s="185"/>
      <c r="M8" s="185"/>
      <c r="N8" s="186"/>
      <c r="O8" s="7" t="s">
        <v>30</v>
      </c>
      <c r="P8" s="7" t="s">
        <v>31</v>
      </c>
      <c r="Q8" s="7" t="s">
        <v>32</v>
      </c>
      <c r="R8" s="187" t="s">
        <v>33</v>
      </c>
      <c r="S8" s="187"/>
      <c r="T8" s="187"/>
      <c r="U8" s="187"/>
      <c r="V8" s="187"/>
      <c r="W8" s="187"/>
      <c r="X8" s="187" t="s">
        <v>53</v>
      </c>
    </row>
    <row r="9" spans="1:24" ht="17.25" customHeight="1">
      <c r="A9" s="188" t="s">
        <v>26</v>
      </c>
      <c r="B9" s="189"/>
      <c r="C9" s="192" t="s">
        <v>27</v>
      </c>
      <c r="D9" s="194" t="s">
        <v>28</v>
      </c>
      <c r="E9" s="195"/>
      <c r="F9" s="196"/>
      <c r="G9" s="182"/>
      <c r="H9" s="132" t="s">
        <v>36</v>
      </c>
      <c r="I9" s="133" t="s">
        <v>37</v>
      </c>
      <c r="J9" s="133" t="s">
        <v>38</v>
      </c>
      <c r="K9" s="133" t="s">
        <v>111</v>
      </c>
      <c r="L9" s="133" t="s">
        <v>39</v>
      </c>
      <c r="M9" s="133" t="s">
        <v>41</v>
      </c>
      <c r="N9" s="133" t="s">
        <v>42</v>
      </c>
      <c r="O9" s="6"/>
      <c r="P9" s="8"/>
      <c r="Q9" s="8"/>
      <c r="R9" s="187"/>
      <c r="S9" s="187"/>
      <c r="T9" s="187"/>
      <c r="U9" s="187"/>
      <c r="V9" s="187"/>
      <c r="W9" s="187"/>
      <c r="X9" s="187"/>
    </row>
    <row r="10" spans="1:24" ht="19.5" customHeight="1">
      <c r="A10" s="188"/>
      <c r="B10" s="189"/>
      <c r="C10" s="192"/>
      <c r="D10" s="194"/>
      <c r="E10" s="195"/>
      <c r="F10" s="196"/>
      <c r="G10" s="182"/>
      <c r="H10" s="100">
        <f t="shared" ref="H10:L10" si="0">I10-1</f>
        <v>42499</v>
      </c>
      <c r="I10" s="100">
        <f t="shared" si="0"/>
        <v>42500</v>
      </c>
      <c r="J10" s="100">
        <f t="shared" si="0"/>
        <v>42501</v>
      </c>
      <c r="K10" s="100">
        <f t="shared" si="0"/>
        <v>42502</v>
      </c>
      <c r="L10" s="100">
        <f t="shared" si="0"/>
        <v>42503</v>
      </c>
      <c r="M10" s="100">
        <f>N10-1</f>
        <v>42504</v>
      </c>
      <c r="N10" s="100">
        <f>F7</f>
        <v>42505</v>
      </c>
      <c r="O10" s="200" t="s">
        <v>46</v>
      </c>
      <c r="P10" s="200" t="s">
        <v>47</v>
      </c>
      <c r="Q10" s="200" t="s">
        <v>48</v>
      </c>
      <c r="R10" s="206" t="s">
        <v>44</v>
      </c>
      <c r="S10" s="206" t="s">
        <v>45</v>
      </c>
      <c r="T10" s="207"/>
      <c r="U10" s="207"/>
      <c r="V10" s="202" t="s">
        <v>35</v>
      </c>
      <c r="W10" s="203" t="s">
        <v>34</v>
      </c>
      <c r="X10" s="187"/>
    </row>
    <row r="11" spans="1:24" ht="18.75" hidden="1" customHeight="1">
      <c r="A11" s="188"/>
      <c r="B11" s="189"/>
      <c r="C11" s="192"/>
      <c r="D11" s="194"/>
      <c r="E11" s="195"/>
      <c r="F11" s="196"/>
      <c r="G11" s="182"/>
      <c r="H11" s="5"/>
      <c r="I11" s="4"/>
      <c r="J11" s="4"/>
      <c r="K11" s="4"/>
      <c r="L11" s="4"/>
      <c r="M11" s="4"/>
      <c r="N11" s="4"/>
      <c r="O11" s="200"/>
      <c r="P11" s="200"/>
      <c r="Q11" s="200"/>
      <c r="R11" s="206"/>
      <c r="S11" s="206"/>
      <c r="T11" s="207"/>
      <c r="U11" s="207"/>
      <c r="V11" s="202"/>
      <c r="W11" s="203"/>
      <c r="X11" s="187"/>
    </row>
    <row r="12" spans="1:24">
      <c r="A12" s="190"/>
      <c r="B12" s="191"/>
      <c r="C12" s="193"/>
      <c r="D12" s="197"/>
      <c r="E12" s="198"/>
      <c r="F12" s="199"/>
      <c r="G12" s="183"/>
      <c r="H12" s="204" t="s">
        <v>43</v>
      </c>
      <c r="I12" s="204"/>
      <c r="J12" s="204"/>
      <c r="K12" s="204"/>
      <c r="L12" s="204"/>
      <c r="M12" s="204"/>
      <c r="N12" s="205"/>
      <c r="O12" s="201"/>
      <c r="P12" s="201"/>
      <c r="Q12" s="201"/>
      <c r="R12" s="206"/>
      <c r="S12" s="206"/>
      <c r="T12" s="207"/>
      <c r="U12" s="207"/>
      <c r="V12" s="202"/>
      <c r="W12" s="203"/>
      <c r="X12" s="187"/>
    </row>
    <row r="13" spans="1:24" ht="15" customHeight="1">
      <c r="A13" s="208" t="s">
        <v>98</v>
      </c>
      <c r="B13" s="209"/>
      <c r="C13" s="210">
        <v>2</v>
      </c>
      <c r="D13" s="249" t="s">
        <v>123</v>
      </c>
      <c r="E13" s="250"/>
      <c r="F13" s="251"/>
      <c r="G13" s="220" t="s">
        <v>49</v>
      </c>
      <c r="H13" s="220"/>
      <c r="I13" s="220"/>
      <c r="J13" s="220"/>
      <c r="K13" s="220"/>
      <c r="L13" s="220"/>
      <c r="M13" s="220"/>
      <c r="N13" s="220"/>
      <c r="O13" s="232">
        <f>SUM(H13:N14)</f>
        <v>0</v>
      </c>
      <c r="P13" s="105" t="s">
        <v>110</v>
      </c>
      <c r="Q13" s="238">
        <f>P14*O13</f>
        <v>0</v>
      </c>
      <c r="R13" s="226">
        <v>0</v>
      </c>
      <c r="S13" s="226">
        <f>7.44+1.74</f>
        <v>9.18</v>
      </c>
      <c r="T13" s="226"/>
      <c r="U13" s="226"/>
      <c r="V13" s="226"/>
      <c r="W13" s="226">
        <f>S13+R13</f>
        <v>9.18</v>
      </c>
      <c r="X13" s="229">
        <f>Q15-W13+Q13</f>
        <v>-9.18</v>
      </c>
    </row>
    <row r="14" spans="1:24">
      <c r="A14" s="221" t="s">
        <v>103</v>
      </c>
      <c r="B14" s="222"/>
      <c r="C14" s="210"/>
      <c r="D14" s="252"/>
      <c r="E14" s="253"/>
      <c r="F14" s="254"/>
      <c r="G14" s="220"/>
      <c r="H14" s="220"/>
      <c r="I14" s="220"/>
      <c r="J14" s="220"/>
      <c r="K14" s="220"/>
      <c r="L14" s="220"/>
      <c r="M14" s="220"/>
      <c r="N14" s="220"/>
      <c r="O14" s="233"/>
      <c r="P14" s="103">
        <f>P16/2+P16</f>
        <v>22.5</v>
      </c>
      <c r="Q14" s="239"/>
      <c r="R14" s="227"/>
      <c r="S14" s="227"/>
      <c r="T14" s="227"/>
      <c r="U14" s="227"/>
      <c r="V14" s="227"/>
      <c r="W14" s="227"/>
      <c r="X14" s="230"/>
    </row>
    <row r="15" spans="1:24">
      <c r="A15" s="261"/>
      <c r="B15" s="262"/>
      <c r="C15" s="210"/>
      <c r="D15" s="252"/>
      <c r="E15" s="253"/>
      <c r="F15" s="254"/>
      <c r="G15" s="223" t="s">
        <v>40</v>
      </c>
      <c r="H15" s="223">
        <v>0</v>
      </c>
      <c r="I15" s="223">
        <v>0</v>
      </c>
      <c r="J15" s="223">
        <v>0</v>
      </c>
      <c r="K15" s="223">
        <v>0</v>
      </c>
      <c r="L15" s="223">
        <v>0</v>
      </c>
      <c r="M15" s="223">
        <v>0</v>
      </c>
      <c r="N15" s="223">
        <v>0</v>
      </c>
      <c r="O15" s="234">
        <f>SUM(H15:N16)</f>
        <v>0</v>
      </c>
      <c r="P15" s="106" t="s">
        <v>110</v>
      </c>
      <c r="Q15" s="236">
        <f>P16*O15</f>
        <v>0</v>
      </c>
      <c r="R15" s="227"/>
      <c r="S15" s="227"/>
      <c r="T15" s="227"/>
      <c r="U15" s="227"/>
      <c r="V15" s="227"/>
      <c r="W15" s="227"/>
      <c r="X15" s="230"/>
    </row>
    <row r="16" spans="1:24">
      <c r="A16" s="224"/>
      <c r="B16" s="225"/>
      <c r="C16" s="210"/>
      <c r="D16" s="255"/>
      <c r="E16" s="256"/>
      <c r="F16" s="257"/>
      <c r="G16" s="223"/>
      <c r="H16" s="223"/>
      <c r="I16" s="223"/>
      <c r="J16" s="223"/>
      <c r="K16" s="223"/>
      <c r="L16" s="223"/>
      <c r="M16" s="223"/>
      <c r="N16" s="223"/>
      <c r="O16" s="235"/>
      <c r="P16" s="104">
        <v>15</v>
      </c>
      <c r="Q16" s="237"/>
      <c r="R16" s="228"/>
      <c r="S16" s="228"/>
      <c r="T16" s="228"/>
      <c r="U16" s="228"/>
      <c r="V16" s="228"/>
      <c r="W16" s="228"/>
      <c r="X16" s="231"/>
    </row>
    <row r="17" spans="1:24" ht="15" customHeight="1">
      <c r="A17" s="208"/>
      <c r="B17" s="209"/>
      <c r="C17" s="210">
        <v>2</v>
      </c>
      <c r="D17" s="249" t="s">
        <v>123</v>
      </c>
      <c r="E17" s="250"/>
      <c r="F17" s="251"/>
      <c r="G17" s="220" t="s">
        <v>49</v>
      </c>
      <c r="H17" s="220"/>
      <c r="I17" s="220"/>
      <c r="J17" s="220"/>
      <c r="K17" s="220"/>
      <c r="L17" s="220"/>
      <c r="M17" s="220"/>
      <c r="N17" s="220"/>
      <c r="O17" s="232">
        <f>SUM(H17:N18)</f>
        <v>0</v>
      </c>
      <c r="P17" s="105" t="s">
        <v>110</v>
      </c>
      <c r="Q17" s="238">
        <f>P18*O17</f>
        <v>0</v>
      </c>
      <c r="R17" s="226">
        <v>0</v>
      </c>
      <c r="S17" s="226">
        <v>0</v>
      </c>
      <c r="T17" s="226"/>
      <c r="U17" s="226"/>
      <c r="V17" s="226"/>
      <c r="W17" s="226">
        <f>S17+R17</f>
        <v>0</v>
      </c>
      <c r="X17" s="229">
        <f>Q19-W17</f>
        <v>0</v>
      </c>
    </row>
    <row r="18" spans="1:24">
      <c r="A18" s="221"/>
      <c r="B18" s="222"/>
      <c r="C18" s="210"/>
      <c r="D18" s="252"/>
      <c r="E18" s="253"/>
      <c r="F18" s="254"/>
      <c r="G18" s="220"/>
      <c r="H18" s="220"/>
      <c r="I18" s="220"/>
      <c r="J18" s="220"/>
      <c r="K18" s="220"/>
      <c r="L18" s="220"/>
      <c r="M18" s="220"/>
      <c r="N18" s="220"/>
      <c r="O18" s="233"/>
      <c r="P18" s="103">
        <f>P20/2+P20</f>
        <v>22.5</v>
      </c>
      <c r="Q18" s="239"/>
      <c r="R18" s="227"/>
      <c r="S18" s="227"/>
      <c r="T18" s="227"/>
      <c r="U18" s="227"/>
      <c r="V18" s="227"/>
      <c r="W18" s="227"/>
      <c r="X18" s="230"/>
    </row>
    <row r="19" spans="1:24">
      <c r="A19" s="261"/>
      <c r="B19" s="262"/>
      <c r="C19" s="210"/>
      <c r="D19" s="252"/>
      <c r="E19" s="253"/>
      <c r="F19" s="254"/>
      <c r="G19" s="223" t="s">
        <v>40</v>
      </c>
      <c r="H19" s="223">
        <v>0</v>
      </c>
      <c r="I19" s="223">
        <v>0</v>
      </c>
      <c r="J19" s="223">
        <v>0</v>
      </c>
      <c r="K19" s="223">
        <v>0</v>
      </c>
      <c r="L19" s="223">
        <v>0</v>
      </c>
      <c r="M19" s="223">
        <v>0</v>
      </c>
      <c r="N19" s="223">
        <v>0</v>
      </c>
      <c r="O19" s="223">
        <f>SUM(H19:N20)</f>
        <v>0</v>
      </c>
      <c r="P19" s="106" t="s">
        <v>110</v>
      </c>
      <c r="Q19" s="236">
        <f>P20*O19</f>
        <v>0</v>
      </c>
      <c r="R19" s="227"/>
      <c r="S19" s="227"/>
      <c r="T19" s="227"/>
      <c r="U19" s="227"/>
      <c r="V19" s="227"/>
      <c r="W19" s="227"/>
      <c r="X19" s="230"/>
    </row>
    <row r="20" spans="1:24">
      <c r="A20" s="224"/>
      <c r="B20" s="225"/>
      <c r="C20" s="210"/>
      <c r="D20" s="255"/>
      <c r="E20" s="256"/>
      <c r="F20" s="257"/>
      <c r="G20" s="223"/>
      <c r="H20" s="223"/>
      <c r="I20" s="223"/>
      <c r="J20" s="223"/>
      <c r="K20" s="223"/>
      <c r="L20" s="223"/>
      <c r="M20" s="223"/>
      <c r="N20" s="223"/>
      <c r="O20" s="223"/>
      <c r="P20" s="104">
        <v>15</v>
      </c>
      <c r="Q20" s="237"/>
      <c r="R20" s="228"/>
      <c r="S20" s="228"/>
      <c r="T20" s="228"/>
      <c r="U20" s="228"/>
      <c r="V20" s="228"/>
      <c r="W20" s="228"/>
      <c r="X20" s="231"/>
    </row>
    <row r="21" spans="1:24" ht="14" customHeight="1">
      <c r="A21" s="208"/>
      <c r="B21" s="209"/>
      <c r="C21" s="210"/>
      <c r="D21" s="211"/>
      <c r="E21" s="212"/>
      <c r="F21" s="213"/>
      <c r="G21" s="220"/>
      <c r="H21" s="220"/>
      <c r="I21" s="220"/>
      <c r="J21" s="220"/>
      <c r="K21" s="220"/>
      <c r="L21" s="220"/>
      <c r="M21" s="220"/>
      <c r="N21" s="220"/>
      <c r="O21" s="232"/>
      <c r="P21" s="105"/>
      <c r="Q21" s="238"/>
      <c r="R21" s="226"/>
      <c r="S21" s="226"/>
      <c r="T21" s="226"/>
      <c r="U21" s="226"/>
      <c r="V21" s="226"/>
      <c r="W21" s="226"/>
      <c r="X21" s="229"/>
    </row>
    <row r="22" spans="1:24">
      <c r="A22" s="221"/>
      <c r="B22" s="222"/>
      <c r="C22" s="210"/>
      <c r="D22" s="214"/>
      <c r="E22" s="215"/>
      <c r="F22" s="216"/>
      <c r="G22" s="220"/>
      <c r="H22" s="220"/>
      <c r="I22" s="220"/>
      <c r="J22" s="220"/>
      <c r="K22" s="220"/>
      <c r="L22" s="220"/>
      <c r="M22" s="220"/>
      <c r="N22" s="220"/>
      <c r="O22" s="233"/>
      <c r="P22" s="103"/>
      <c r="Q22" s="239"/>
      <c r="R22" s="227"/>
      <c r="S22" s="227"/>
      <c r="T22" s="227"/>
      <c r="U22" s="227"/>
      <c r="V22" s="227"/>
      <c r="W22" s="227"/>
      <c r="X22" s="230"/>
    </row>
    <row r="23" spans="1:24">
      <c r="A23" s="221"/>
      <c r="B23" s="222"/>
      <c r="C23" s="210"/>
      <c r="D23" s="214"/>
      <c r="E23" s="215"/>
      <c r="F23" s="216"/>
      <c r="G23" s="223"/>
      <c r="H23" s="223"/>
      <c r="I23" s="223"/>
      <c r="J23" s="223"/>
      <c r="K23" s="223"/>
      <c r="L23" s="223"/>
      <c r="M23" s="223"/>
      <c r="N23" s="223"/>
      <c r="O23" s="223"/>
      <c r="P23" s="106"/>
      <c r="Q23" s="236"/>
      <c r="R23" s="227"/>
      <c r="S23" s="227"/>
      <c r="T23" s="227"/>
      <c r="U23" s="227"/>
      <c r="V23" s="227"/>
      <c r="W23" s="227"/>
      <c r="X23" s="230"/>
    </row>
    <row r="24" spans="1:24">
      <c r="A24" s="224"/>
      <c r="B24" s="225"/>
      <c r="C24" s="210"/>
      <c r="D24" s="217"/>
      <c r="E24" s="218"/>
      <c r="F24" s="219"/>
      <c r="G24" s="223"/>
      <c r="H24" s="223"/>
      <c r="I24" s="223"/>
      <c r="J24" s="223"/>
      <c r="K24" s="223"/>
      <c r="L24" s="223"/>
      <c r="M24" s="223"/>
      <c r="N24" s="223"/>
      <c r="O24" s="223"/>
      <c r="P24" s="104"/>
      <c r="Q24" s="237"/>
      <c r="R24" s="228"/>
      <c r="S24" s="228"/>
      <c r="T24" s="228"/>
      <c r="U24" s="228"/>
      <c r="V24" s="228"/>
      <c r="W24" s="228"/>
      <c r="X24" s="231"/>
    </row>
    <row r="25" spans="1:24" ht="14" customHeight="1">
      <c r="A25" s="208"/>
      <c r="B25" s="209"/>
      <c r="C25" s="210"/>
      <c r="D25" s="211"/>
      <c r="E25" s="212"/>
      <c r="F25" s="213"/>
      <c r="G25" s="220"/>
      <c r="H25" s="220"/>
      <c r="I25" s="220"/>
      <c r="J25" s="220"/>
      <c r="K25" s="220"/>
      <c r="L25" s="220"/>
      <c r="M25" s="220"/>
      <c r="N25" s="220"/>
      <c r="O25" s="232"/>
      <c r="P25" s="105"/>
      <c r="Q25" s="248"/>
      <c r="R25" s="226"/>
      <c r="S25" s="226"/>
      <c r="T25" s="226"/>
      <c r="U25" s="226"/>
      <c r="V25" s="226"/>
      <c r="W25" s="226"/>
      <c r="X25" s="229"/>
    </row>
    <row r="26" spans="1:24">
      <c r="A26" s="221"/>
      <c r="B26" s="222"/>
      <c r="C26" s="210"/>
      <c r="D26" s="214"/>
      <c r="E26" s="215"/>
      <c r="F26" s="216"/>
      <c r="G26" s="220"/>
      <c r="H26" s="220"/>
      <c r="I26" s="220"/>
      <c r="J26" s="220"/>
      <c r="K26" s="220"/>
      <c r="L26" s="220"/>
      <c r="M26" s="220"/>
      <c r="N26" s="220"/>
      <c r="O26" s="233"/>
      <c r="P26" s="103"/>
      <c r="Q26" s="248"/>
      <c r="R26" s="227"/>
      <c r="S26" s="227"/>
      <c r="T26" s="227"/>
      <c r="U26" s="227"/>
      <c r="V26" s="227"/>
      <c r="W26" s="227"/>
      <c r="X26" s="230"/>
    </row>
    <row r="27" spans="1:24">
      <c r="A27" s="221"/>
      <c r="B27" s="222"/>
      <c r="C27" s="210"/>
      <c r="D27" s="214"/>
      <c r="E27" s="215"/>
      <c r="F27" s="216"/>
      <c r="G27" s="223"/>
      <c r="H27" s="223"/>
      <c r="I27" s="223"/>
      <c r="J27" s="223"/>
      <c r="K27" s="223"/>
      <c r="L27" s="223"/>
      <c r="M27" s="223"/>
      <c r="N27" s="223"/>
      <c r="O27" s="223"/>
      <c r="P27" s="106"/>
      <c r="Q27" s="236"/>
      <c r="R27" s="227"/>
      <c r="S27" s="227"/>
      <c r="T27" s="227"/>
      <c r="U27" s="227"/>
      <c r="V27" s="227"/>
      <c r="W27" s="227"/>
      <c r="X27" s="230"/>
    </row>
    <row r="28" spans="1:24">
      <c r="A28" s="224"/>
      <c r="B28" s="225"/>
      <c r="C28" s="210"/>
      <c r="D28" s="217"/>
      <c r="E28" s="218"/>
      <c r="F28" s="219"/>
      <c r="G28" s="223"/>
      <c r="H28" s="223"/>
      <c r="I28" s="223"/>
      <c r="J28" s="223"/>
      <c r="K28" s="223"/>
      <c r="L28" s="223"/>
      <c r="M28" s="223"/>
      <c r="N28" s="223"/>
      <c r="O28" s="223"/>
      <c r="P28" s="104"/>
      <c r="Q28" s="237"/>
      <c r="R28" s="228"/>
      <c r="S28" s="228"/>
      <c r="T28" s="228"/>
      <c r="U28" s="228"/>
      <c r="V28" s="228"/>
      <c r="W28" s="228"/>
      <c r="X28" s="231"/>
    </row>
    <row r="29" spans="1:24" ht="14" customHeight="1">
      <c r="A29" s="208"/>
      <c r="B29" s="209"/>
      <c r="C29" s="210"/>
      <c r="D29" s="211"/>
      <c r="E29" s="212"/>
      <c r="F29" s="213"/>
      <c r="G29" s="220"/>
      <c r="H29" s="220"/>
      <c r="I29" s="220"/>
      <c r="J29" s="220"/>
      <c r="K29" s="220"/>
      <c r="L29" s="220"/>
      <c r="M29" s="220"/>
      <c r="N29" s="220"/>
      <c r="O29" s="232"/>
      <c r="P29" s="105"/>
      <c r="Q29" s="248"/>
      <c r="R29" s="226"/>
      <c r="S29" s="226"/>
      <c r="T29" s="226"/>
      <c r="U29" s="226"/>
      <c r="V29" s="226"/>
      <c r="W29" s="226"/>
      <c r="X29" s="229"/>
    </row>
    <row r="30" spans="1:24">
      <c r="A30" s="221"/>
      <c r="B30" s="222"/>
      <c r="C30" s="210"/>
      <c r="D30" s="214"/>
      <c r="E30" s="215"/>
      <c r="F30" s="216"/>
      <c r="G30" s="220"/>
      <c r="H30" s="220"/>
      <c r="I30" s="220"/>
      <c r="J30" s="220"/>
      <c r="K30" s="220"/>
      <c r="L30" s="220"/>
      <c r="M30" s="220"/>
      <c r="N30" s="220"/>
      <c r="O30" s="233"/>
      <c r="P30" s="103"/>
      <c r="Q30" s="248"/>
      <c r="R30" s="227"/>
      <c r="S30" s="227"/>
      <c r="T30" s="227"/>
      <c r="U30" s="227"/>
      <c r="V30" s="227"/>
      <c r="W30" s="227"/>
      <c r="X30" s="230"/>
    </row>
    <row r="31" spans="1:24">
      <c r="A31" s="221"/>
      <c r="B31" s="222"/>
      <c r="C31" s="210"/>
      <c r="D31" s="214"/>
      <c r="E31" s="215"/>
      <c r="F31" s="216"/>
      <c r="G31" s="223"/>
      <c r="H31" s="223"/>
      <c r="I31" s="234"/>
      <c r="J31" s="234"/>
      <c r="K31" s="234"/>
      <c r="L31" s="234"/>
      <c r="M31" s="234"/>
      <c r="N31" s="234"/>
      <c r="O31" s="223"/>
      <c r="P31" s="106"/>
      <c r="Q31" s="236"/>
      <c r="R31" s="227"/>
      <c r="S31" s="227"/>
      <c r="T31" s="227"/>
      <c r="U31" s="227"/>
      <c r="V31" s="227"/>
      <c r="W31" s="227"/>
      <c r="X31" s="230"/>
    </row>
    <row r="32" spans="1:24">
      <c r="A32" s="224"/>
      <c r="B32" s="225"/>
      <c r="C32" s="210"/>
      <c r="D32" s="217"/>
      <c r="E32" s="218"/>
      <c r="F32" s="219"/>
      <c r="G32" s="223"/>
      <c r="H32" s="223"/>
      <c r="I32" s="235"/>
      <c r="J32" s="235"/>
      <c r="K32" s="235"/>
      <c r="L32" s="235"/>
      <c r="M32" s="235"/>
      <c r="N32" s="235"/>
      <c r="O32" s="223"/>
      <c r="P32" s="104"/>
      <c r="Q32" s="237"/>
      <c r="R32" s="228"/>
      <c r="S32" s="228"/>
      <c r="T32" s="228"/>
      <c r="U32" s="228"/>
      <c r="V32" s="228"/>
      <c r="W32" s="228"/>
      <c r="X32" s="231"/>
    </row>
    <row r="33" spans="1:24" ht="14" customHeight="1">
      <c r="A33" s="208"/>
      <c r="B33" s="209"/>
      <c r="C33" s="210"/>
      <c r="D33" s="211"/>
      <c r="E33" s="212"/>
      <c r="F33" s="213"/>
      <c r="G33" s="220"/>
      <c r="H33" s="220"/>
      <c r="I33" s="220"/>
      <c r="J33" s="220"/>
      <c r="K33" s="220"/>
      <c r="L33" s="220"/>
      <c r="M33" s="220"/>
      <c r="N33" s="220"/>
      <c r="O33" s="232"/>
      <c r="P33" s="105"/>
      <c r="Q33" s="248"/>
      <c r="R33" s="229"/>
      <c r="S33" s="226"/>
      <c r="T33" s="226"/>
      <c r="U33" s="226"/>
      <c r="V33" s="226"/>
      <c r="W33" s="226"/>
      <c r="X33" s="229"/>
    </row>
    <row r="34" spans="1:24">
      <c r="A34" s="221"/>
      <c r="B34" s="222"/>
      <c r="C34" s="210"/>
      <c r="D34" s="214"/>
      <c r="E34" s="215"/>
      <c r="F34" s="216"/>
      <c r="G34" s="220"/>
      <c r="H34" s="220"/>
      <c r="I34" s="220"/>
      <c r="J34" s="220"/>
      <c r="K34" s="220"/>
      <c r="L34" s="220"/>
      <c r="M34" s="220"/>
      <c r="N34" s="220"/>
      <c r="O34" s="233"/>
      <c r="P34" s="103"/>
      <c r="Q34" s="248"/>
      <c r="R34" s="230"/>
      <c r="S34" s="227"/>
      <c r="T34" s="227"/>
      <c r="U34" s="227"/>
      <c r="V34" s="227"/>
      <c r="W34" s="227"/>
      <c r="X34" s="230"/>
    </row>
    <row r="35" spans="1:24">
      <c r="A35" s="221"/>
      <c r="B35" s="222"/>
      <c r="C35" s="210"/>
      <c r="D35" s="214"/>
      <c r="E35" s="215"/>
      <c r="F35" s="216"/>
      <c r="G35" s="223"/>
      <c r="H35" s="223"/>
      <c r="I35" s="234"/>
      <c r="J35" s="234"/>
      <c r="K35" s="234"/>
      <c r="L35" s="234"/>
      <c r="M35" s="234"/>
      <c r="N35" s="234"/>
      <c r="O35" s="223"/>
      <c r="P35" s="106"/>
      <c r="Q35" s="236"/>
      <c r="R35" s="230"/>
      <c r="S35" s="227"/>
      <c r="T35" s="227"/>
      <c r="U35" s="227"/>
      <c r="V35" s="227"/>
      <c r="W35" s="227"/>
      <c r="X35" s="230"/>
    </row>
    <row r="36" spans="1:24">
      <c r="A36" s="224"/>
      <c r="B36" s="225"/>
      <c r="C36" s="210"/>
      <c r="D36" s="217"/>
      <c r="E36" s="218"/>
      <c r="F36" s="219"/>
      <c r="G36" s="223"/>
      <c r="H36" s="223"/>
      <c r="I36" s="235"/>
      <c r="J36" s="235"/>
      <c r="K36" s="235"/>
      <c r="L36" s="235"/>
      <c r="M36" s="235"/>
      <c r="N36" s="235"/>
      <c r="O36" s="223"/>
      <c r="P36" s="104"/>
      <c r="Q36" s="237"/>
      <c r="R36" s="231"/>
      <c r="S36" s="228"/>
      <c r="T36" s="228"/>
      <c r="U36" s="228"/>
      <c r="V36" s="228"/>
      <c r="W36" s="228"/>
      <c r="X36" s="231"/>
    </row>
    <row r="37" spans="1:24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</row>
    <row r="38" spans="1:24" ht="15.75" customHeight="1">
      <c r="A38" s="18" t="s">
        <v>58</v>
      </c>
      <c r="B38" s="101">
        <f>N10</f>
        <v>42505</v>
      </c>
      <c r="C38" s="20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 t="s">
        <v>82</v>
      </c>
      <c r="R38" s="18"/>
      <c r="S38" s="18"/>
      <c r="T38" s="18"/>
      <c r="U38" s="3"/>
      <c r="V38" s="3"/>
      <c r="W38" s="3"/>
    </row>
    <row r="39" spans="1:24" ht="18.75" customHeight="1">
      <c r="A39" s="29" t="s">
        <v>59</v>
      </c>
      <c r="B39" s="35" t="s">
        <v>83</v>
      </c>
      <c r="C39" s="31"/>
      <c r="D39" s="31"/>
      <c r="E39" s="31"/>
      <c r="F39" s="31"/>
      <c r="G39" s="31"/>
      <c r="H39" s="96" t="s">
        <v>75</v>
      </c>
      <c r="I39" s="96"/>
      <c r="J39" s="96"/>
      <c r="K39" s="27"/>
      <c r="L39" s="27"/>
      <c r="M39" s="25"/>
      <c r="N39" s="25"/>
      <c r="O39" s="25"/>
      <c r="P39" s="18"/>
      <c r="Q39" s="13" t="s">
        <v>90</v>
      </c>
      <c r="S39" s="18"/>
      <c r="T39" s="18"/>
      <c r="U39" s="3"/>
      <c r="V39" s="3"/>
      <c r="W39" s="3"/>
    </row>
    <row r="40" spans="1:24" ht="14.25" customHeight="1">
      <c r="A40" s="29"/>
      <c r="B40" s="21" t="s">
        <v>62</v>
      </c>
      <c r="C40" s="21"/>
      <c r="D40" s="21"/>
      <c r="E40" s="21"/>
      <c r="F40" s="31"/>
      <c r="G40" s="58"/>
      <c r="H40" s="21" t="s">
        <v>63</v>
      </c>
      <c r="I40" s="58"/>
      <c r="J40" s="21"/>
      <c r="K40" s="21"/>
      <c r="L40" s="24"/>
      <c r="M40" s="24"/>
      <c r="N40" s="24"/>
      <c r="O40" s="25"/>
      <c r="P40" s="17" t="s">
        <v>10</v>
      </c>
      <c r="R40" s="18"/>
      <c r="S40" s="18"/>
      <c r="T40" s="3"/>
      <c r="U40" s="3"/>
      <c r="V40" s="3"/>
    </row>
    <row r="41" spans="1:24" ht="12" customHeight="1">
      <c r="A41" s="17"/>
      <c r="F41" s="23"/>
      <c r="L41" s="95"/>
      <c r="M41" s="18"/>
      <c r="N41" s="18"/>
      <c r="O41" s="18"/>
      <c r="P41" s="18" t="s">
        <v>11</v>
      </c>
      <c r="R41" s="18"/>
      <c r="S41" s="18"/>
      <c r="T41" s="3"/>
      <c r="U41" s="3"/>
      <c r="V41" s="3"/>
    </row>
    <row r="42" spans="1:24" ht="12" customHeight="1">
      <c r="A42" s="17" t="s">
        <v>60</v>
      </c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 t="s">
        <v>12</v>
      </c>
      <c r="R42" s="18"/>
      <c r="S42" s="18"/>
      <c r="T42" s="3"/>
      <c r="U42" s="3"/>
      <c r="V42" s="3"/>
    </row>
    <row r="43" spans="1:24" ht="12" customHeight="1">
      <c r="A43" s="18"/>
      <c r="B43" s="18" t="s">
        <v>61</v>
      </c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25" t="s">
        <v>13</v>
      </c>
      <c r="R43" s="25"/>
      <c r="S43" s="25"/>
      <c r="T43" s="34"/>
      <c r="U43" s="34"/>
      <c r="V43" s="34"/>
    </row>
    <row r="44" spans="1:24" s="19" customFormat="1" ht="16.5" customHeight="1">
      <c r="A44" s="29"/>
      <c r="B44" s="25"/>
      <c r="C44" s="31" t="str">
        <f>C50</f>
        <v>Evankoff LLC</v>
      </c>
      <c r="D44" s="36"/>
      <c r="E44" s="36"/>
      <c r="F44" s="25"/>
      <c r="G44" s="25"/>
      <c r="H44" s="25"/>
      <c r="I44" s="25"/>
      <c r="J44" s="25"/>
      <c r="K44" s="25"/>
      <c r="L44" s="25"/>
      <c r="M44" s="25"/>
      <c r="N44" s="25"/>
      <c r="O44" s="25" t="s">
        <v>64</v>
      </c>
      <c r="P44" s="25"/>
    </row>
    <row r="45" spans="1:24">
      <c r="A45" s="24"/>
      <c r="B45" s="24"/>
      <c r="C45" s="24" t="s">
        <v>65</v>
      </c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5"/>
      <c r="P45" s="25"/>
      <c r="Q45" s="36" t="s">
        <v>16</v>
      </c>
      <c r="S45" s="19"/>
      <c r="T45" s="19"/>
      <c r="U45" s="19"/>
    </row>
    <row r="46" spans="1:24" s="19" customFormat="1" ht="15" thickBot="1">
      <c r="A46" s="31" t="s">
        <v>105</v>
      </c>
      <c r="B46" s="31"/>
      <c r="C46" s="31"/>
      <c r="D46" s="31"/>
      <c r="E46" s="31"/>
      <c r="F46" s="31"/>
      <c r="G46" s="25" t="s">
        <v>67</v>
      </c>
      <c r="H46" s="25"/>
      <c r="I46" s="25"/>
      <c r="J46" s="25"/>
      <c r="K46" s="25"/>
      <c r="L46" s="25"/>
      <c r="M46" s="25"/>
      <c r="N46" s="25"/>
      <c r="O46" s="25"/>
      <c r="P46" s="25"/>
      <c r="Q46" s="25"/>
    </row>
    <row r="47" spans="1:24">
      <c r="A47" s="24"/>
      <c r="B47" s="24" t="s">
        <v>66</v>
      </c>
      <c r="C47" s="24"/>
      <c r="D47" s="24"/>
      <c r="E47" s="24"/>
      <c r="F47" s="24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94"/>
      <c r="R47" s="70" t="s">
        <v>14</v>
      </c>
      <c r="S47" s="71"/>
      <c r="T47" s="72"/>
      <c r="U47" s="37"/>
      <c r="V47" s="73" t="s">
        <v>15</v>
      </c>
      <c r="W47" s="74" t="s">
        <v>93</v>
      </c>
      <c r="X47" s="75"/>
    </row>
    <row r="48" spans="1:24">
      <c r="A48" s="99">
        <f>H10</f>
        <v>42499</v>
      </c>
      <c r="B48" s="26" t="s">
        <v>68</v>
      </c>
      <c r="C48" s="244">
        <f>F7</f>
        <v>42505</v>
      </c>
      <c r="D48" s="244"/>
      <c r="E48" s="98"/>
      <c r="F48" s="33" t="s">
        <v>73</v>
      </c>
      <c r="J48" s="32"/>
      <c r="L48" s="25"/>
      <c r="M48" s="25"/>
      <c r="N48" s="25"/>
      <c r="O48" s="25"/>
      <c r="P48" s="25"/>
      <c r="Q48" s="76"/>
      <c r="R48" s="77"/>
      <c r="S48" s="77"/>
      <c r="T48" s="78"/>
      <c r="U48" s="79"/>
      <c r="V48" s="80"/>
      <c r="W48" s="80"/>
      <c r="X48" s="81"/>
    </row>
    <row r="49" spans="1:24" ht="14.25" customHeight="1" thickBot="1">
      <c r="A49" s="24" t="s">
        <v>74</v>
      </c>
      <c r="B49" s="25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5"/>
      <c r="Q49" s="82"/>
      <c r="R49" s="83"/>
      <c r="S49" s="83"/>
      <c r="T49" s="84"/>
      <c r="U49" s="85"/>
      <c r="V49" s="86"/>
      <c r="W49" s="86"/>
      <c r="X49" s="87"/>
    </row>
    <row r="50" spans="1:24" ht="18.75" customHeight="1">
      <c r="A50" s="25"/>
      <c r="B50" s="25"/>
      <c r="C50" s="31" t="str">
        <f>A5</f>
        <v>Evankoff LLC</v>
      </c>
      <c r="D50" s="25"/>
      <c r="E50" s="25"/>
      <c r="F50" s="25"/>
      <c r="G50" s="25"/>
      <c r="H50" s="25"/>
      <c r="I50" s="25"/>
      <c r="J50" s="25"/>
      <c r="K50" s="25"/>
      <c r="L50" s="25"/>
      <c r="M50" s="25" t="s">
        <v>69</v>
      </c>
      <c r="N50" s="25"/>
      <c r="O50" s="25"/>
      <c r="P50" s="25"/>
      <c r="Q50" s="107" t="s">
        <v>128</v>
      </c>
      <c r="R50" s="108"/>
      <c r="S50" s="240" t="s">
        <v>97</v>
      </c>
      <c r="T50" s="240"/>
      <c r="U50" s="240"/>
      <c r="V50" s="240"/>
      <c r="W50" s="240"/>
      <c r="X50" s="241"/>
    </row>
    <row r="51" spans="1:24">
      <c r="A51" s="24"/>
      <c r="B51" s="24"/>
      <c r="C51" s="24" t="s">
        <v>65</v>
      </c>
      <c r="D51" s="24"/>
      <c r="E51" s="24"/>
      <c r="F51" s="24"/>
      <c r="G51" s="24"/>
      <c r="H51" s="24"/>
      <c r="I51" s="24"/>
      <c r="J51" s="24"/>
      <c r="K51" s="24"/>
      <c r="L51" s="24"/>
      <c r="M51" s="25"/>
      <c r="N51" s="25"/>
      <c r="O51" s="25"/>
      <c r="P51" s="25"/>
      <c r="Q51" s="109" t="s">
        <v>127</v>
      </c>
      <c r="R51" s="110"/>
      <c r="S51" s="242"/>
      <c r="T51" s="242"/>
      <c r="U51" s="242"/>
      <c r="V51" s="242"/>
      <c r="W51" s="242"/>
      <c r="X51" s="243"/>
    </row>
    <row r="52" spans="1:24" ht="12.75" customHeight="1" thickBot="1">
      <c r="A52" s="25" t="s">
        <v>70</v>
      </c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39"/>
      <c r="R52" s="88"/>
      <c r="S52" s="88"/>
      <c r="T52" s="89"/>
      <c r="U52" s="41"/>
      <c r="V52" s="40"/>
      <c r="W52" s="40"/>
      <c r="X52" s="42"/>
    </row>
    <row r="53" spans="1:24" ht="12.75" customHeight="1">
      <c r="A53" s="25" t="s">
        <v>71</v>
      </c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107" t="s">
        <v>128</v>
      </c>
      <c r="R53" s="108"/>
      <c r="S53" s="240" t="s">
        <v>95</v>
      </c>
      <c r="T53" s="240"/>
      <c r="U53" s="240"/>
      <c r="V53" s="240"/>
      <c r="W53" s="240"/>
      <c r="X53" s="241"/>
    </row>
    <row r="54" spans="1:24" ht="12.75" customHeight="1">
      <c r="A54" s="25" t="s">
        <v>72</v>
      </c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109" t="s">
        <v>127</v>
      </c>
      <c r="R54" s="110"/>
      <c r="S54" s="242"/>
      <c r="T54" s="242"/>
      <c r="U54" s="242"/>
      <c r="V54" s="242"/>
      <c r="W54" s="242"/>
      <c r="X54" s="243"/>
    </row>
    <row r="55" spans="1:24" ht="12.75" customHeight="1" thickBot="1">
      <c r="A55" s="25" t="s">
        <v>0</v>
      </c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53"/>
      <c r="R55" s="54"/>
      <c r="S55" s="54"/>
      <c r="T55" s="54"/>
      <c r="U55" s="55"/>
      <c r="V55" s="10"/>
      <c r="W55" s="10"/>
      <c r="X55" s="56"/>
    </row>
    <row r="56" spans="1:24" ht="18" customHeight="1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48"/>
      <c r="R56" s="49"/>
      <c r="S56" s="49"/>
      <c r="T56" s="49"/>
      <c r="U56" s="50"/>
      <c r="V56" s="51"/>
      <c r="W56" s="51"/>
      <c r="X56" s="52"/>
    </row>
    <row r="57" spans="1:24" ht="18" customHeight="1" thickBot="1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5"/>
      <c r="Q57" s="53"/>
      <c r="R57" s="54"/>
      <c r="S57" s="54"/>
      <c r="T57" s="54"/>
      <c r="U57" s="55"/>
      <c r="V57" s="10"/>
      <c r="W57" s="10"/>
      <c r="X57" s="56"/>
    </row>
    <row r="58" spans="1:24" ht="18" customHeight="1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5"/>
      <c r="Q58" s="48"/>
      <c r="R58" s="49"/>
      <c r="S58" s="49"/>
      <c r="T58" s="49"/>
      <c r="U58" s="50"/>
      <c r="V58" s="51"/>
      <c r="W58" s="51"/>
      <c r="X58" s="52"/>
    </row>
    <row r="59" spans="1:24" ht="21" customHeight="1" thickBot="1">
      <c r="A59" s="24"/>
      <c r="B59" s="28" t="s">
        <v>2</v>
      </c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5"/>
      <c r="Q59" s="53"/>
      <c r="R59" s="54"/>
      <c r="S59" s="54"/>
      <c r="T59" s="54"/>
      <c r="U59" s="55"/>
      <c r="V59" s="10"/>
      <c r="W59" s="10"/>
      <c r="X59" s="56"/>
    </row>
    <row r="60" spans="1:24" ht="12" customHeight="1">
      <c r="A60" s="30" t="s">
        <v>3</v>
      </c>
      <c r="B60" s="30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5"/>
      <c r="Q60" s="48" t="s">
        <v>17</v>
      </c>
      <c r="R60" s="49"/>
      <c r="S60" s="49"/>
      <c r="T60" s="49"/>
      <c r="U60" s="49"/>
      <c r="V60" s="51"/>
      <c r="W60" s="51"/>
      <c r="X60" s="52"/>
    </row>
    <row r="61" spans="1:24" ht="12" customHeight="1">
      <c r="A61" s="27" t="s">
        <v>4</v>
      </c>
      <c r="B61" s="30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5"/>
      <c r="Q61" s="111" t="s">
        <v>96</v>
      </c>
      <c r="R61" s="44"/>
      <c r="S61" s="44"/>
      <c r="T61" s="44"/>
      <c r="U61" s="44"/>
      <c r="V61" s="46"/>
      <c r="W61" s="46"/>
      <c r="X61" s="47"/>
    </row>
    <row r="62" spans="1:24" ht="12" customHeight="1">
      <c r="A62" s="27" t="s">
        <v>5</v>
      </c>
      <c r="B62" s="30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5"/>
      <c r="Q62" s="121"/>
      <c r="R62" s="122"/>
      <c r="S62" s="44"/>
      <c r="T62" s="44"/>
      <c r="U62" s="44"/>
      <c r="V62" s="46"/>
      <c r="W62" s="46"/>
      <c r="X62" s="47"/>
    </row>
    <row r="63" spans="1:24" ht="12" customHeight="1">
      <c r="A63" s="27"/>
      <c r="B63" s="30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5"/>
      <c r="Q63" s="121"/>
      <c r="R63" s="122"/>
      <c r="S63" s="44"/>
      <c r="T63" s="44"/>
      <c r="U63" s="44"/>
      <c r="V63" s="46"/>
      <c r="W63" s="46"/>
      <c r="X63" s="47"/>
    </row>
    <row r="64" spans="1:24" ht="12" customHeight="1">
      <c r="A64" s="29" t="s">
        <v>7</v>
      </c>
      <c r="B64" s="29" t="s">
        <v>6</v>
      </c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121"/>
      <c r="R64" s="122"/>
      <c r="S64" s="44"/>
      <c r="T64" s="44"/>
      <c r="U64" s="44"/>
      <c r="V64" s="46"/>
      <c r="W64" s="46"/>
      <c r="X64" s="47"/>
    </row>
    <row r="65" spans="1:24" ht="12" customHeight="1">
      <c r="A65" s="25" t="s">
        <v>8</v>
      </c>
      <c r="B65" s="29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43"/>
      <c r="R65" s="44"/>
      <c r="S65" s="44"/>
      <c r="T65" s="44"/>
      <c r="U65" s="44"/>
      <c r="V65" s="46"/>
      <c r="W65" s="46"/>
      <c r="X65" s="47"/>
    </row>
    <row r="66" spans="1:24" ht="12" customHeight="1">
      <c r="A66" s="25" t="s">
        <v>9</v>
      </c>
      <c r="B66" s="29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43"/>
      <c r="R66" s="44"/>
      <c r="S66" s="44"/>
      <c r="T66" s="44"/>
      <c r="U66" s="44"/>
      <c r="V66" s="46"/>
      <c r="W66" s="46"/>
      <c r="X66" s="47"/>
    </row>
    <row r="67" spans="1:24" ht="12" customHeight="1" thickBot="1">
      <c r="A67" s="25"/>
      <c r="B67" s="29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53"/>
      <c r="R67" s="54"/>
      <c r="S67" s="54"/>
      <c r="T67" s="54"/>
      <c r="U67" s="54"/>
      <c r="V67" s="10"/>
      <c r="W67" s="10"/>
      <c r="X67" s="56"/>
    </row>
    <row r="68" spans="1:24" ht="12" customHeight="1">
      <c r="A68" s="25"/>
      <c r="B68" s="25" t="s">
        <v>57</v>
      </c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</row>
    <row r="69" spans="1:24" ht="12" customHeight="1">
      <c r="A69" s="25"/>
      <c r="B69" s="25" t="s">
        <v>1</v>
      </c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12" t="s">
        <v>50</v>
      </c>
      <c r="R69" s="22"/>
      <c r="S69" s="22"/>
      <c r="T69" s="67"/>
      <c r="U69" s="57" t="s">
        <v>51</v>
      </c>
      <c r="V69" s="58"/>
      <c r="W69" s="58"/>
      <c r="X69" s="59"/>
    </row>
    <row r="70" spans="1:24" ht="11.25" customHeight="1">
      <c r="A70" s="25"/>
      <c r="B70" s="25" t="s">
        <v>81</v>
      </c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63"/>
      <c r="T70" s="68"/>
      <c r="U70" s="61"/>
      <c r="V70" s="38"/>
      <c r="W70" s="38"/>
      <c r="X70" s="60"/>
    </row>
    <row r="71" spans="1:24" ht="13.5" customHeight="1">
      <c r="A71" s="25"/>
      <c r="B71" s="97" t="s">
        <v>80</v>
      </c>
      <c r="C71" s="29" t="s">
        <v>76</v>
      </c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93" t="str">
        <f>B39</f>
        <v>Eric Coffie</v>
      </c>
      <c r="R71" s="90"/>
      <c r="S71" s="90" t="str">
        <f>H39</f>
        <v>President</v>
      </c>
      <c r="T71" s="68"/>
      <c r="U71" s="61"/>
      <c r="V71" s="38"/>
      <c r="W71" s="38"/>
      <c r="X71" s="60"/>
    </row>
    <row r="72" spans="1:24" ht="10.5" customHeight="1">
      <c r="A72" s="19"/>
      <c r="B72" s="25"/>
      <c r="C72" s="25" t="s">
        <v>77</v>
      </c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19"/>
      <c r="Q72" s="91"/>
      <c r="R72" s="92"/>
      <c r="S72" s="92"/>
      <c r="T72" s="69"/>
      <c r="U72" s="62"/>
      <c r="V72" s="116"/>
      <c r="W72" s="116"/>
      <c r="X72" s="117"/>
    </row>
    <row r="73" spans="1:24" ht="10.5" customHeight="1">
      <c r="A73" s="19"/>
      <c r="B73" s="19"/>
      <c r="C73" s="25" t="s">
        <v>78</v>
      </c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</row>
    <row r="74" spans="1:24" ht="10.5" customHeight="1">
      <c r="B74" s="19"/>
      <c r="C74" s="25" t="s">
        <v>79</v>
      </c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Q74" s="64" t="s">
        <v>86</v>
      </c>
      <c r="R74" s="58"/>
      <c r="S74" s="58"/>
      <c r="T74" s="58"/>
      <c r="U74" s="58"/>
      <c r="V74" s="58"/>
      <c r="W74" s="58"/>
      <c r="X74" s="59"/>
    </row>
    <row r="75" spans="1:24" ht="10.5" customHeight="1">
      <c r="Q75" s="66" t="s">
        <v>87</v>
      </c>
      <c r="R75" s="38"/>
      <c r="S75" s="38"/>
      <c r="T75" s="38"/>
      <c r="U75" s="38"/>
      <c r="V75" s="38"/>
      <c r="W75" s="38"/>
      <c r="X75" s="60"/>
    </row>
    <row r="76" spans="1:24" ht="10.5" customHeight="1">
      <c r="Q76" s="66" t="s">
        <v>88</v>
      </c>
      <c r="R76" s="38"/>
      <c r="S76" s="38"/>
      <c r="T76" s="38"/>
      <c r="U76" s="38"/>
      <c r="V76" s="38"/>
      <c r="W76" s="38"/>
      <c r="X76" s="60"/>
    </row>
    <row r="77" spans="1:24" ht="10.5" customHeight="1">
      <c r="Q77" s="65" t="s">
        <v>89</v>
      </c>
      <c r="R77" s="116"/>
      <c r="S77" s="116"/>
      <c r="T77" s="116"/>
      <c r="U77" s="116"/>
      <c r="V77" s="116"/>
      <c r="W77" s="116"/>
      <c r="X77" s="117"/>
    </row>
  </sheetData>
  <mergeCells count="235">
    <mergeCell ref="S50:X51"/>
    <mergeCell ref="S53:X54"/>
    <mergeCell ref="M35:M36"/>
    <mergeCell ref="N35:N36"/>
    <mergeCell ref="O35:O36"/>
    <mergeCell ref="Q35:Q36"/>
    <mergeCell ref="A36:B36"/>
    <mergeCell ref="C48:D48"/>
    <mergeCell ref="W33:W36"/>
    <mergeCell ref="X33:X36"/>
    <mergeCell ref="A34:B34"/>
    <mergeCell ref="A35:B35"/>
    <mergeCell ref="G35:G36"/>
    <mergeCell ref="H35:H36"/>
    <mergeCell ref="I35:I36"/>
    <mergeCell ref="J35:J36"/>
    <mergeCell ref="K35:K36"/>
    <mergeCell ref="L35:L36"/>
    <mergeCell ref="Q33:Q34"/>
    <mergeCell ref="R33:R36"/>
    <mergeCell ref="S33:S36"/>
    <mergeCell ref="T33:T36"/>
    <mergeCell ref="U33:U36"/>
    <mergeCell ref="V33:V36"/>
    <mergeCell ref="J33:J34"/>
    <mergeCell ref="K33:K34"/>
    <mergeCell ref="L33:L34"/>
    <mergeCell ref="M33:M34"/>
    <mergeCell ref="N33:N34"/>
    <mergeCell ref="O33:O34"/>
    <mergeCell ref="A33:B33"/>
    <mergeCell ref="C33:C36"/>
    <mergeCell ref="D33:F36"/>
    <mergeCell ref="G33:G34"/>
    <mergeCell ref="H33:H34"/>
    <mergeCell ref="I33:I34"/>
    <mergeCell ref="L31:L32"/>
    <mergeCell ref="M31:M32"/>
    <mergeCell ref="N31:N32"/>
    <mergeCell ref="O31:O32"/>
    <mergeCell ref="Q31:Q32"/>
    <mergeCell ref="A32:B32"/>
    <mergeCell ref="V29:V32"/>
    <mergeCell ref="W29:W32"/>
    <mergeCell ref="X29:X32"/>
    <mergeCell ref="A30:B30"/>
    <mergeCell ref="A31:B31"/>
    <mergeCell ref="G31:G32"/>
    <mergeCell ref="H31:H32"/>
    <mergeCell ref="I31:I32"/>
    <mergeCell ref="J31:J32"/>
    <mergeCell ref="K31:K32"/>
    <mergeCell ref="O29:O30"/>
    <mergeCell ref="Q29:Q30"/>
    <mergeCell ref="R29:R32"/>
    <mergeCell ref="S29:S32"/>
    <mergeCell ref="T29:T32"/>
    <mergeCell ref="U29:U32"/>
    <mergeCell ref="I29:I30"/>
    <mergeCell ref="J29:J30"/>
    <mergeCell ref="K29:K30"/>
    <mergeCell ref="L29:L30"/>
    <mergeCell ref="M29:M30"/>
    <mergeCell ref="N29:N30"/>
    <mergeCell ref="M27:M28"/>
    <mergeCell ref="N27:N28"/>
    <mergeCell ref="O27:O28"/>
    <mergeCell ref="Q27:Q28"/>
    <mergeCell ref="A28:B28"/>
    <mergeCell ref="A29:B29"/>
    <mergeCell ref="C29:C32"/>
    <mergeCell ref="D29:F32"/>
    <mergeCell ref="G29:G30"/>
    <mergeCell ref="H29:H30"/>
    <mergeCell ref="W25:W28"/>
    <mergeCell ref="X25:X28"/>
    <mergeCell ref="A26:B26"/>
    <mergeCell ref="A27:B27"/>
    <mergeCell ref="G27:G28"/>
    <mergeCell ref="H27:H28"/>
    <mergeCell ref="I27:I28"/>
    <mergeCell ref="J27:J28"/>
    <mergeCell ref="K27:K28"/>
    <mergeCell ref="L27:L28"/>
    <mergeCell ref="Q25:Q26"/>
    <mergeCell ref="R25:R28"/>
    <mergeCell ref="S25:S28"/>
    <mergeCell ref="T25:T28"/>
    <mergeCell ref="U25:U28"/>
    <mergeCell ref="V25:V28"/>
    <mergeCell ref="J25:J26"/>
    <mergeCell ref="K25:K26"/>
    <mergeCell ref="L25:L26"/>
    <mergeCell ref="M25:M26"/>
    <mergeCell ref="N25:N26"/>
    <mergeCell ref="O25:O26"/>
    <mergeCell ref="A25:B25"/>
    <mergeCell ref="C25:C28"/>
    <mergeCell ref="D25:F28"/>
    <mergeCell ref="G25:G26"/>
    <mergeCell ref="H25:H26"/>
    <mergeCell ref="I25:I26"/>
    <mergeCell ref="L23:L24"/>
    <mergeCell ref="M23:M24"/>
    <mergeCell ref="N23:N24"/>
    <mergeCell ref="O23:O24"/>
    <mergeCell ref="Q23:Q24"/>
    <mergeCell ref="A24:B24"/>
    <mergeCell ref="V21:V24"/>
    <mergeCell ref="W21:W24"/>
    <mergeCell ref="X21:X24"/>
    <mergeCell ref="A22:B22"/>
    <mergeCell ref="A23:B23"/>
    <mergeCell ref="G23:G24"/>
    <mergeCell ref="H23:H24"/>
    <mergeCell ref="I23:I24"/>
    <mergeCell ref="J23:J24"/>
    <mergeCell ref="K23:K24"/>
    <mergeCell ref="O21:O22"/>
    <mergeCell ref="Q21:Q22"/>
    <mergeCell ref="R21:R24"/>
    <mergeCell ref="S21:S24"/>
    <mergeCell ref="T21:T24"/>
    <mergeCell ref="U21:U24"/>
    <mergeCell ref="I21:I22"/>
    <mergeCell ref="J21:J22"/>
    <mergeCell ref="K21:K22"/>
    <mergeCell ref="L21:L22"/>
    <mergeCell ref="M21:M22"/>
    <mergeCell ref="N21:N22"/>
    <mergeCell ref="M19:M20"/>
    <mergeCell ref="N19:N20"/>
    <mergeCell ref="O19:O20"/>
    <mergeCell ref="Q19:Q20"/>
    <mergeCell ref="A20:B20"/>
    <mergeCell ref="A21:B21"/>
    <mergeCell ref="C21:C24"/>
    <mergeCell ref="D21:F24"/>
    <mergeCell ref="G21:G22"/>
    <mergeCell ref="H21:H22"/>
    <mergeCell ref="W17:W20"/>
    <mergeCell ref="X17:X20"/>
    <mergeCell ref="A18:B18"/>
    <mergeCell ref="A19:B19"/>
    <mergeCell ref="G19:G20"/>
    <mergeCell ref="H19:H20"/>
    <mergeCell ref="I19:I20"/>
    <mergeCell ref="J19:J20"/>
    <mergeCell ref="K19:K20"/>
    <mergeCell ref="L19:L20"/>
    <mergeCell ref="Q17:Q18"/>
    <mergeCell ref="R17:R20"/>
    <mergeCell ref="S17:S20"/>
    <mergeCell ref="T17:T20"/>
    <mergeCell ref="U17:U20"/>
    <mergeCell ref="V17:V20"/>
    <mergeCell ref="J17:J18"/>
    <mergeCell ref="K17:K18"/>
    <mergeCell ref="L17:L18"/>
    <mergeCell ref="M17:M18"/>
    <mergeCell ref="N17:N18"/>
    <mergeCell ref="O17:O18"/>
    <mergeCell ref="N15:N16"/>
    <mergeCell ref="O15:O16"/>
    <mergeCell ref="Q15:Q16"/>
    <mergeCell ref="A16:B16"/>
    <mergeCell ref="A17:B17"/>
    <mergeCell ref="C17:C20"/>
    <mergeCell ref="D17:F20"/>
    <mergeCell ref="G17:G18"/>
    <mergeCell ref="H17:H18"/>
    <mergeCell ref="I17:I18"/>
    <mergeCell ref="X13:X16"/>
    <mergeCell ref="A14:B14"/>
    <mergeCell ref="A15:B15"/>
    <mergeCell ref="G15:G16"/>
    <mergeCell ref="H15:H16"/>
    <mergeCell ref="I15:I16"/>
    <mergeCell ref="J15:J16"/>
    <mergeCell ref="K15:K16"/>
    <mergeCell ref="L15:L16"/>
    <mergeCell ref="M15:M16"/>
    <mergeCell ref="R13:R16"/>
    <mergeCell ref="S13:S16"/>
    <mergeCell ref="T13:T16"/>
    <mergeCell ref="U13:U16"/>
    <mergeCell ref="V13:V16"/>
    <mergeCell ref="W13:W16"/>
    <mergeCell ref="K13:K14"/>
    <mergeCell ref="L13:L14"/>
    <mergeCell ref="M13:M14"/>
    <mergeCell ref="N13:N14"/>
    <mergeCell ref="O13:O14"/>
    <mergeCell ref="Q13:Q14"/>
    <mergeCell ref="V10:V12"/>
    <mergeCell ref="W10:W12"/>
    <mergeCell ref="H12:N12"/>
    <mergeCell ref="A13:B13"/>
    <mergeCell ref="C13:C16"/>
    <mergeCell ref="D13:F16"/>
    <mergeCell ref="G13:G14"/>
    <mergeCell ref="H13:H14"/>
    <mergeCell ref="I13:I14"/>
    <mergeCell ref="J13:J14"/>
    <mergeCell ref="P10:P12"/>
    <mergeCell ref="Q10:Q12"/>
    <mergeCell ref="R10:R12"/>
    <mergeCell ref="S10:S12"/>
    <mergeCell ref="T10:T12"/>
    <mergeCell ref="U10:U12"/>
    <mergeCell ref="A8:B8"/>
    <mergeCell ref="D8:F8"/>
    <mergeCell ref="G8:G12"/>
    <mergeCell ref="H8:N8"/>
    <mergeCell ref="R8:W9"/>
    <mergeCell ref="X8:X12"/>
    <mergeCell ref="A9:B12"/>
    <mergeCell ref="C9:C12"/>
    <mergeCell ref="D9:F12"/>
    <mergeCell ref="O10:O12"/>
    <mergeCell ref="W4:X5"/>
    <mergeCell ref="A5:N5"/>
    <mergeCell ref="O5:V5"/>
    <mergeCell ref="A6:D6"/>
    <mergeCell ref="F6:N6"/>
    <mergeCell ref="A7:D7"/>
    <mergeCell ref="F7:N7"/>
    <mergeCell ref="O7:S7"/>
    <mergeCell ref="T7:X7"/>
    <mergeCell ref="A1:D3"/>
    <mergeCell ref="F1:U3"/>
    <mergeCell ref="A4:C4"/>
    <mergeCell ref="D4:G4"/>
    <mergeCell ref="H4:N4"/>
    <mergeCell ref="O4:V4"/>
  </mergeCells>
  <phoneticPr fontId="11" type="noConversion"/>
  <pageMargins left="0.7" right="0.7" top="0.75" bottom="0.75" header="0.3" footer="0.3"/>
  <pageSetup scale="77" orientation="landscape" horizontalDpi="4294967292" verticalDpi="4294967292"/>
  <rowBreaks count="1" manualBreakCount="1">
    <brk id="36" max="16383" man="1"/>
  </rowBreaks>
  <colBreaks count="1" manualBreakCount="1">
    <brk id="24" max="1048575" man="1"/>
  </colBreaks>
  <drawing r:id="rId1"/>
  <extLst>
    <ext xmlns:mx="http://schemas.microsoft.com/office/mac/excel/2008/main" uri="{64002731-A6B0-56B0-2670-7721B7C09600}">
      <mx:PLV Mode="1" OnePage="0" WScale="77"/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77"/>
  <sheetViews>
    <sheetView view="pageLayout" zoomScaleNormal="125" zoomScalePageLayoutView="125" workbookViewId="0">
      <selection activeCell="D8" sqref="D8:F8"/>
    </sheetView>
  </sheetViews>
  <sheetFormatPr baseColWidth="10" defaultColWidth="8.83203125" defaultRowHeight="14" x14ac:dyDescent="0"/>
  <cols>
    <col min="1" max="1" width="10.33203125" customWidth="1"/>
    <col min="2" max="2" width="11.1640625" customWidth="1"/>
    <col min="3" max="3" width="5" customWidth="1"/>
    <col min="4" max="4" width="5.1640625" customWidth="1"/>
    <col min="5" max="5" width="4.6640625" customWidth="1"/>
    <col min="6" max="6" width="4.83203125" customWidth="1"/>
    <col min="7" max="7" width="3.6640625" customWidth="1"/>
    <col min="8" max="8" width="5" customWidth="1"/>
    <col min="9" max="9" width="4.6640625" customWidth="1"/>
    <col min="10" max="11" width="5.33203125" customWidth="1"/>
    <col min="12" max="12" width="4.83203125" customWidth="1"/>
    <col min="13" max="13" width="5.5" customWidth="1"/>
    <col min="14" max="14" width="5.1640625" customWidth="1"/>
    <col min="16" max="17" width="9.83203125" bestFit="1" customWidth="1"/>
    <col min="18" max="18" width="7.6640625" customWidth="1"/>
    <col min="19" max="19" width="9.5" customWidth="1"/>
    <col min="20" max="20" width="6" hidden="1" customWidth="1"/>
    <col min="21" max="21" width="4.33203125" hidden="1" customWidth="1"/>
    <col min="22" max="22" width="7.6640625" hidden="1" customWidth="1"/>
    <col min="23" max="23" width="9.33203125" customWidth="1"/>
    <col min="24" max="24" width="12.6640625" customWidth="1"/>
  </cols>
  <sheetData>
    <row r="1" spans="1:24" ht="15" customHeight="1">
      <c r="A1" s="149" t="s">
        <v>22</v>
      </c>
      <c r="B1" s="149"/>
      <c r="C1" s="149"/>
      <c r="D1" s="149"/>
      <c r="E1" s="147"/>
      <c r="F1" s="151" t="s">
        <v>55</v>
      </c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9"/>
      <c r="W1" s="9"/>
      <c r="X1" s="9"/>
    </row>
    <row r="2" spans="1:24">
      <c r="A2" s="149"/>
      <c r="B2" s="149"/>
      <c r="C2" s="149"/>
      <c r="D2" s="149"/>
      <c r="E2" s="147"/>
      <c r="F2" s="151"/>
      <c r="G2" s="151"/>
      <c r="H2" s="151"/>
      <c r="I2" s="151"/>
      <c r="J2" s="151"/>
      <c r="K2" s="151"/>
      <c r="L2" s="151"/>
      <c r="M2" s="151"/>
      <c r="N2" s="151"/>
      <c r="O2" s="151"/>
      <c r="P2" s="151"/>
      <c r="Q2" s="151"/>
      <c r="R2" s="151"/>
      <c r="S2" s="151"/>
      <c r="T2" s="151"/>
      <c r="U2" s="151"/>
      <c r="V2" s="9"/>
      <c r="W2" s="9"/>
      <c r="X2" s="9"/>
    </row>
    <row r="3" spans="1:24" ht="15" customHeight="1" thickBot="1">
      <c r="A3" s="150"/>
      <c r="B3" s="150"/>
      <c r="C3" s="150"/>
      <c r="D3" s="150"/>
      <c r="E3" s="148"/>
      <c r="F3" s="152"/>
      <c r="G3" s="152"/>
      <c r="H3" s="152"/>
      <c r="I3" s="152"/>
      <c r="J3" s="152"/>
      <c r="K3" s="152"/>
      <c r="L3" s="152"/>
      <c r="M3" s="152"/>
      <c r="N3" s="152"/>
      <c r="O3" s="152"/>
      <c r="P3" s="152"/>
      <c r="Q3" s="152"/>
      <c r="R3" s="152"/>
      <c r="S3" s="152"/>
      <c r="T3" s="152"/>
      <c r="U3" s="152"/>
      <c r="V3" s="10"/>
      <c r="W3" s="10"/>
      <c r="X3" s="10"/>
    </row>
    <row r="4" spans="1:24" s="11" customFormat="1">
      <c r="A4" s="153" t="s">
        <v>56</v>
      </c>
      <c r="B4" s="154"/>
      <c r="C4" s="154"/>
      <c r="D4" s="154" t="s">
        <v>52</v>
      </c>
      <c r="E4" s="154"/>
      <c r="F4" s="154"/>
      <c r="G4" s="154"/>
      <c r="H4" s="155"/>
      <c r="I4" s="155"/>
      <c r="J4" s="155"/>
      <c r="K4" s="155"/>
      <c r="L4" s="155"/>
      <c r="M4" s="155"/>
      <c r="N4" s="156"/>
      <c r="O4" s="157" t="s">
        <v>126</v>
      </c>
      <c r="P4" s="158"/>
      <c r="Q4" s="158"/>
      <c r="R4" s="158"/>
      <c r="S4" s="158"/>
      <c r="T4" s="158"/>
      <c r="U4" s="158"/>
      <c r="V4" s="158"/>
      <c r="W4" s="159"/>
      <c r="X4" s="160"/>
    </row>
    <row r="5" spans="1:24" s="1" customFormat="1" ht="12">
      <c r="A5" s="163" t="s">
        <v>125</v>
      </c>
      <c r="B5" s="164"/>
      <c r="C5" s="164"/>
      <c r="D5" s="164"/>
      <c r="E5" s="164"/>
      <c r="F5" s="164"/>
      <c r="G5" s="164"/>
      <c r="H5" s="164"/>
      <c r="I5" s="164"/>
      <c r="J5" s="164"/>
      <c r="K5" s="164"/>
      <c r="L5" s="164"/>
      <c r="M5" s="164"/>
      <c r="N5" s="165"/>
      <c r="O5" s="166" t="s">
        <v>108</v>
      </c>
      <c r="P5" s="167"/>
      <c r="Q5" s="167"/>
      <c r="R5" s="167"/>
      <c r="S5" s="167"/>
      <c r="T5" s="167"/>
      <c r="U5" s="167"/>
      <c r="V5" s="167"/>
      <c r="W5" s="161"/>
      <c r="X5" s="162"/>
    </row>
    <row r="6" spans="1:24" s="13" customFormat="1" ht="11">
      <c r="A6" s="168" t="s">
        <v>18</v>
      </c>
      <c r="B6" s="169"/>
      <c r="C6" s="169"/>
      <c r="D6" s="170"/>
      <c r="E6" s="115"/>
      <c r="F6" s="168" t="s">
        <v>19</v>
      </c>
      <c r="G6" s="169"/>
      <c r="H6" s="169"/>
      <c r="I6" s="169"/>
      <c r="J6" s="169"/>
      <c r="K6" s="169"/>
      <c r="L6" s="169"/>
      <c r="M6" s="169"/>
      <c r="N6" s="170"/>
      <c r="O6" s="102" t="s">
        <v>20</v>
      </c>
      <c r="P6" s="15"/>
      <c r="Q6" s="15"/>
      <c r="R6" s="15"/>
      <c r="S6" s="102" t="s">
        <v>91</v>
      </c>
      <c r="T6" s="15" t="s">
        <v>21</v>
      </c>
      <c r="U6" s="15"/>
      <c r="V6" s="15"/>
      <c r="X6" s="16"/>
    </row>
    <row r="7" spans="1:24" s="1" customFormat="1" ht="16.5" customHeight="1">
      <c r="A7" s="171">
        <v>19</v>
      </c>
      <c r="B7" s="172"/>
      <c r="C7" s="172"/>
      <c r="D7" s="173"/>
      <c r="E7" s="146"/>
      <c r="F7" s="174">
        <v>42512</v>
      </c>
      <c r="G7" s="175"/>
      <c r="H7" s="175"/>
      <c r="I7" s="175"/>
      <c r="J7" s="175"/>
      <c r="K7" s="175"/>
      <c r="L7" s="175"/>
      <c r="M7" s="175"/>
      <c r="N7" s="176"/>
      <c r="O7" s="166" t="s">
        <v>107</v>
      </c>
      <c r="P7" s="167"/>
      <c r="Q7" s="167"/>
      <c r="R7" s="167"/>
      <c r="S7" s="167"/>
      <c r="T7" s="167" t="s">
        <v>109</v>
      </c>
      <c r="U7" s="167"/>
      <c r="V7" s="167"/>
      <c r="W7" s="167"/>
      <c r="X7" s="177"/>
    </row>
    <row r="8" spans="1:24" s="2" customFormat="1" ht="11.25" customHeight="1">
      <c r="A8" s="178" t="s">
        <v>23</v>
      </c>
      <c r="B8" s="179"/>
      <c r="C8" s="7" t="s">
        <v>24</v>
      </c>
      <c r="D8" s="178" t="s">
        <v>25</v>
      </c>
      <c r="E8" s="180"/>
      <c r="F8" s="179"/>
      <c r="G8" s="181" t="s">
        <v>29</v>
      </c>
      <c r="H8" s="184" t="s">
        <v>54</v>
      </c>
      <c r="I8" s="185"/>
      <c r="J8" s="185"/>
      <c r="K8" s="185"/>
      <c r="L8" s="185"/>
      <c r="M8" s="185"/>
      <c r="N8" s="186"/>
      <c r="O8" s="7" t="s">
        <v>30</v>
      </c>
      <c r="P8" s="7" t="s">
        <v>31</v>
      </c>
      <c r="Q8" s="7" t="s">
        <v>32</v>
      </c>
      <c r="R8" s="187" t="s">
        <v>33</v>
      </c>
      <c r="S8" s="187"/>
      <c r="T8" s="187"/>
      <c r="U8" s="187"/>
      <c r="V8" s="187"/>
      <c r="W8" s="187"/>
      <c r="X8" s="187" t="s">
        <v>53</v>
      </c>
    </row>
    <row r="9" spans="1:24" ht="17.25" customHeight="1">
      <c r="A9" s="188" t="s">
        <v>26</v>
      </c>
      <c r="B9" s="189"/>
      <c r="C9" s="192" t="s">
        <v>27</v>
      </c>
      <c r="D9" s="194" t="s">
        <v>28</v>
      </c>
      <c r="E9" s="195"/>
      <c r="F9" s="196"/>
      <c r="G9" s="182"/>
      <c r="H9" s="132" t="s">
        <v>36</v>
      </c>
      <c r="I9" s="133" t="s">
        <v>37</v>
      </c>
      <c r="J9" s="133" t="s">
        <v>38</v>
      </c>
      <c r="K9" s="133" t="s">
        <v>111</v>
      </c>
      <c r="L9" s="133" t="s">
        <v>39</v>
      </c>
      <c r="M9" s="133" t="s">
        <v>41</v>
      </c>
      <c r="N9" s="133" t="s">
        <v>42</v>
      </c>
      <c r="O9" s="6"/>
      <c r="P9" s="8"/>
      <c r="Q9" s="8"/>
      <c r="R9" s="187"/>
      <c r="S9" s="187"/>
      <c r="T9" s="187"/>
      <c r="U9" s="187"/>
      <c r="V9" s="187"/>
      <c r="W9" s="187"/>
      <c r="X9" s="187"/>
    </row>
    <row r="10" spans="1:24" ht="19.5" customHeight="1">
      <c r="A10" s="188"/>
      <c r="B10" s="189"/>
      <c r="C10" s="192"/>
      <c r="D10" s="194"/>
      <c r="E10" s="195"/>
      <c r="F10" s="196"/>
      <c r="G10" s="182"/>
      <c r="H10" s="100">
        <f t="shared" ref="H10:L10" si="0">I10-1</f>
        <v>42506</v>
      </c>
      <c r="I10" s="100">
        <f t="shared" si="0"/>
        <v>42507</v>
      </c>
      <c r="J10" s="100">
        <f t="shared" si="0"/>
        <v>42508</v>
      </c>
      <c r="K10" s="100">
        <f t="shared" si="0"/>
        <v>42509</v>
      </c>
      <c r="L10" s="100">
        <f t="shared" si="0"/>
        <v>42510</v>
      </c>
      <c r="M10" s="100">
        <f>N10-1</f>
        <v>42511</v>
      </c>
      <c r="N10" s="100">
        <f>F7</f>
        <v>42512</v>
      </c>
      <c r="O10" s="200" t="s">
        <v>46</v>
      </c>
      <c r="P10" s="200" t="s">
        <v>47</v>
      </c>
      <c r="Q10" s="200" t="s">
        <v>48</v>
      </c>
      <c r="R10" s="206" t="s">
        <v>44</v>
      </c>
      <c r="S10" s="206" t="s">
        <v>45</v>
      </c>
      <c r="T10" s="207"/>
      <c r="U10" s="207"/>
      <c r="V10" s="202" t="s">
        <v>35</v>
      </c>
      <c r="W10" s="203" t="s">
        <v>34</v>
      </c>
      <c r="X10" s="187"/>
    </row>
    <row r="11" spans="1:24" ht="18.75" hidden="1" customHeight="1">
      <c r="A11" s="188"/>
      <c r="B11" s="189"/>
      <c r="C11" s="192"/>
      <c r="D11" s="194"/>
      <c r="E11" s="195"/>
      <c r="F11" s="196"/>
      <c r="G11" s="182"/>
      <c r="H11" s="5"/>
      <c r="I11" s="4"/>
      <c r="J11" s="4"/>
      <c r="K11" s="4"/>
      <c r="L11" s="4"/>
      <c r="M11" s="4"/>
      <c r="N11" s="4"/>
      <c r="O11" s="200"/>
      <c r="P11" s="200"/>
      <c r="Q11" s="200"/>
      <c r="R11" s="206"/>
      <c r="S11" s="206"/>
      <c r="T11" s="207"/>
      <c r="U11" s="207"/>
      <c r="V11" s="202"/>
      <c r="W11" s="203"/>
      <c r="X11" s="187"/>
    </row>
    <row r="12" spans="1:24">
      <c r="A12" s="190"/>
      <c r="B12" s="191"/>
      <c r="C12" s="193"/>
      <c r="D12" s="197"/>
      <c r="E12" s="198"/>
      <c r="F12" s="199"/>
      <c r="G12" s="183"/>
      <c r="H12" s="204" t="s">
        <v>43</v>
      </c>
      <c r="I12" s="204"/>
      <c r="J12" s="204"/>
      <c r="K12" s="204"/>
      <c r="L12" s="204"/>
      <c r="M12" s="204"/>
      <c r="N12" s="205"/>
      <c r="O12" s="201"/>
      <c r="P12" s="201"/>
      <c r="Q12" s="201"/>
      <c r="R12" s="206"/>
      <c r="S12" s="206"/>
      <c r="T12" s="207"/>
      <c r="U12" s="207"/>
      <c r="V12" s="202"/>
      <c r="W12" s="203"/>
      <c r="X12" s="187"/>
    </row>
    <row r="13" spans="1:24" ht="15" customHeight="1">
      <c r="A13" s="208" t="s">
        <v>98</v>
      </c>
      <c r="B13" s="209"/>
      <c r="C13" s="210">
        <v>2</v>
      </c>
      <c r="D13" s="249" t="s">
        <v>123</v>
      </c>
      <c r="E13" s="250"/>
      <c r="F13" s="251"/>
      <c r="G13" s="220" t="s">
        <v>49</v>
      </c>
      <c r="H13" s="220"/>
      <c r="I13" s="220"/>
      <c r="J13" s="220"/>
      <c r="K13" s="220"/>
      <c r="L13" s="220"/>
      <c r="M13" s="220"/>
      <c r="N13" s="220"/>
      <c r="O13" s="232">
        <f>SUM(H13:N14)</f>
        <v>0</v>
      </c>
      <c r="P13" s="105" t="s">
        <v>110</v>
      </c>
      <c r="Q13" s="238">
        <f>P14*O13</f>
        <v>0</v>
      </c>
      <c r="R13" s="226">
        <v>0</v>
      </c>
      <c r="S13" s="226">
        <f>7.44+1.74</f>
        <v>9.18</v>
      </c>
      <c r="T13" s="226"/>
      <c r="U13" s="226"/>
      <c r="V13" s="226"/>
      <c r="W13" s="226">
        <f>S13+R13</f>
        <v>9.18</v>
      </c>
      <c r="X13" s="229">
        <f>Q15-W13+Q13</f>
        <v>-9.18</v>
      </c>
    </row>
    <row r="14" spans="1:24">
      <c r="A14" s="221" t="s">
        <v>103</v>
      </c>
      <c r="B14" s="222"/>
      <c r="C14" s="210"/>
      <c r="D14" s="252"/>
      <c r="E14" s="253"/>
      <c r="F14" s="254"/>
      <c r="G14" s="220"/>
      <c r="H14" s="220"/>
      <c r="I14" s="220"/>
      <c r="J14" s="220"/>
      <c r="K14" s="220"/>
      <c r="L14" s="220"/>
      <c r="M14" s="220"/>
      <c r="N14" s="220"/>
      <c r="O14" s="233"/>
      <c r="P14" s="103">
        <f>P16/2+P16</f>
        <v>22.5</v>
      </c>
      <c r="Q14" s="239"/>
      <c r="R14" s="227"/>
      <c r="S14" s="227"/>
      <c r="T14" s="227"/>
      <c r="U14" s="227"/>
      <c r="V14" s="227"/>
      <c r="W14" s="227"/>
      <c r="X14" s="230"/>
    </row>
    <row r="15" spans="1:24">
      <c r="A15" s="261"/>
      <c r="B15" s="262"/>
      <c r="C15" s="210"/>
      <c r="D15" s="252"/>
      <c r="E15" s="253"/>
      <c r="F15" s="254"/>
      <c r="G15" s="223" t="s">
        <v>40</v>
      </c>
      <c r="H15" s="223">
        <v>0</v>
      </c>
      <c r="I15" s="223">
        <v>0</v>
      </c>
      <c r="J15" s="223">
        <v>0</v>
      </c>
      <c r="K15" s="223">
        <v>0</v>
      </c>
      <c r="L15" s="223">
        <v>0</v>
      </c>
      <c r="M15" s="223">
        <v>0</v>
      </c>
      <c r="N15" s="223">
        <v>0</v>
      </c>
      <c r="O15" s="234">
        <f>SUM(H15:N16)</f>
        <v>0</v>
      </c>
      <c r="P15" s="106" t="s">
        <v>110</v>
      </c>
      <c r="Q15" s="236">
        <f>P16*O15</f>
        <v>0</v>
      </c>
      <c r="R15" s="227"/>
      <c r="S15" s="227"/>
      <c r="T15" s="227"/>
      <c r="U15" s="227"/>
      <c r="V15" s="227"/>
      <c r="W15" s="227"/>
      <c r="X15" s="230"/>
    </row>
    <row r="16" spans="1:24">
      <c r="A16" s="224"/>
      <c r="B16" s="225"/>
      <c r="C16" s="210"/>
      <c r="D16" s="255"/>
      <c r="E16" s="256"/>
      <c r="F16" s="257"/>
      <c r="G16" s="223"/>
      <c r="H16" s="223"/>
      <c r="I16" s="223"/>
      <c r="J16" s="223"/>
      <c r="K16" s="223"/>
      <c r="L16" s="223"/>
      <c r="M16" s="223"/>
      <c r="N16" s="223"/>
      <c r="O16" s="235"/>
      <c r="P16" s="104">
        <v>15</v>
      </c>
      <c r="Q16" s="237"/>
      <c r="R16" s="228"/>
      <c r="S16" s="228"/>
      <c r="T16" s="228"/>
      <c r="U16" s="228"/>
      <c r="V16" s="228"/>
      <c r="W16" s="228"/>
      <c r="X16" s="231"/>
    </row>
    <row r="17" spans="1:24" ht="15" customHeight="1">
      <c r="A17" s="208"/>
      <c r="B17" s="209"/>
      <c r="C17" s="210">
        <v>2</v>
      </c>
      <c r="D17" s="249" t="s">
        <v>123</v>
      </c>
      <c r="E17" s="250"/>
      <c r="F17" s="251"/>
      <c r="G17" s="220" t="s">
        <v>49</v>
      </c>
      <c r="H17" s="220"/>
      <c r="I17" s="220"/>
      <c r="J17" s="220"/>
      <c r="K17" s="220"/>
      <c r="L17" s="220"/>
      <c r="M17" s="220"/>
      <c r="N17" s="220"/>
      <c r="O17" s="232">
        <f>SUM(H17:N18)</f>
        <v>0</v>
      </c>
      <c r="P17" s="105" t="s">
        <v>110</v>
      </c>
      <c r="Q17" s="238">
        <f>P18*O17</f>
        <v>0</v>
      </c>
      <c r="R17" s="226">
        <v>0</v>
      </c>
      <c r="S17" s="226">
        <v>0</v>
      </c>
      <c r="T17" s="226"/>
      <c r="U17" s="226"/>
      <c r="V17" s="226"/>
      <c r="W17" s="226">
        <f>S17+R17</f>
        <v>0</v>
      </c>
      <c r="X17" s="229">
        <f>Q19-W17</f>
        <v>0</v>
      </c>
    </row>
    <row r="18" spans="1:24">
      <c r="A18" s="221"/>
      <c r="B18" s="222"/>
      <c r="C18" s="210"/>
      <c r="D18" s="252"/>
      <c r="E18" s="253"/>
      <c r="F18" s="254"/>
      <c r="G18" s="220"/>
      <c r="H18" s="220"/>
      <c r="I18" s="220"/>
      <c r="J18" s="220"/>
      <c r="K18" s="220"/>
      <c r="L18" s="220"/>
      <c r="M18" s="220"/>
      <c r="N18" s="220"/>
      <c r="O18" s="233"/>
      <c r="P18" s="103">
        <f>P20/2+P20</f>
        <v>22.5</v>
      </c>
      <c r="Q18" s="239"/>
      <c r="R18" s="227"/>
      <c r="S18" s="227"/>
      <c r="T18" s="227"/>
      <c r="U18" s="227"/>
      <c r="V18" s="227"/>
      <c r="W18" s="227"/>
      <c r="X18" s="230"/>
    </row>
    <row r="19" spans="1:24">
      <c r="A19" s="261"/>
      <c r="B19" s="262"/>
      <c r="C19" s="210"/>
      <c r="D19" s="252"/>
      <c r="E19" s="253"/>
      <c r="F19" s="254"/>
      <c r="G19" s="223" t="s">
        <v>40</v>
      </c>
      <c r="H19" s="223">
        <v>0</v>
      </c>
      <c r="I19" s="223">
        <v>0</v>
      </c>
      <c r="J19" s="223">
        <v>0</v>
      </c>
      <c r="K19" s="223">
        <v>0</v>
      </c>
      <c r="L19" s="223">
        <v>0</v>
      </c>
      <c r="M19" s="223">
        <v>0</v>
      </c>
      <c r="N19" s="223">
        <v>0</v>
      </c>
      <c r="O19" s="223">
        <f>SUM(H19:N20)</f>
        <v>0</v>
      </c>
      <c r="P19" s="106" t="s">
        <v>110</v>
      </c>
      <c r="Q19" s="236">
        <f>P20*O19</f>
        <v>0</v>
      </c>
      <c r="R19" s="227"/>
      <c r="S19" s="227"/>
      <c r="T19" s="227"/>
      <c r="U19" s="227"/>
      <c r="V19" s="227"/>
      <c r="W19" s="227"/>
      <c r="X19" s="230"/>
    </row>
    <row r="20" spans="1:24">
      <c r="A20" s="224"/>
      <c r="B20" s="225"/>
      <c r="C20" s="210"/>
      <c r="D20" s="255"/>
      <c r="E20" s="256"/>
      <c r="F20" s="257"/>
      <c r="G20" s="223"/>
      <c r="H20" s="223"/>
      <c r="I20" s="223"/>
      <c r="J20" s="223"/>
      <c r="K20" s="223"/>
      <c r="L20" s="223"/>
      <c r="M20" s="223"/>
      <c r="N20" s="223"/>
      <c r="O20" s="223"/>
      <c r="P20" s="104">
        <v>15</v>
      </c>
      <c r="Q20" s="237"/>
      <c r="R20" s="228"/>
      <c r="S20" s="228"/>
      <c r="T20" s="228"/>
      <c r="U20" s="228"/>
      <c r="V20" s="228"/>
      <c r="W20" s="228"/>
      <c r="X20" s="231"/>
    </row>
    <row r="21" spans="1:24" ht="14" customHeight="1">
      <c r="A21" s="208"/>
      <c r="B21" s="209"/>
      <c r="C21" s="210"/>
      <c r="D21" s="211"/>
      <c r="E21" s="212"/>
      <c r="F21" s="213"/>
      <c r="G21" s="220"/>
      <c r="H21" s="220"/>
      <c r="I21" s="220"/>
      <c r="J21" s="220"/>
      <c r="K21" s="220"/>
      <c r="L21" s="220"/>
      <c r="M21" s="220"/>
      <c r="N21" s="220"/>
      <c r="O21" s="232"/>
      <c r="P21" s="105"/>
      <c r="Q21" s="238"/>
      <c r="R21" s="226"/>
      <c r="S21" s="226"/>
      <c r="T21" s="226"/>
      <c r="U21" s="226"/>
      <c r="V21" s="226"/>
      <c r="W21" s="226"/>
      <c r="X21" s="229"/>
    </row>
    <row r="22" spans="1:24">
      <c r="A22" s="221"/>
      <c r="B22" s="222"/>
      <c r="C22" s="210"/>
      <c r="D22" s="214"/>
      <c r="E22" s="215"/>
      <c r="F22" s="216"/>
      <c r="G22" s="220"/>
      <c r="H22" s="220"/>
      <c r="I22" s="220"/>
      <c r="J22" s="220"/>
      <c r="K22" s="220"/>
      <c r="L22" s="220"/>
      <c r="M22" s="220"/>
      <c r="N22" s="220"/>
      <c r="O22" s="233"/>
      <c r="P22" s="103"/>
      <c r="Q22" s="239"/>
      <c r="R22" s="227"/>
      <c r="S22" s="227"/>
      <c r="T22" s="227"/>
      <c r="U22" s="227"/>
      <c r="V22" s="227"/>
      <c r="W22" s="227"/>
      <c r="X22" s="230"/>
    </row>
    <row r="23" spans="1:24">
      <c r="A23" s="221"/>
      <c r="B23" s="222"/>
      <c r="C23" s="210"/>
      <c r="D23" s="214"/>
      <c r="E23" s="215"/>
      <c r="F23" s="216"/>
      <c r="G23" s="223"/>
      <c r="H23" s="223"/>
      <c r="I23" s="223"/>
      <c r="J23" s="223"/>
      <c r="K23" s="223"/>
      <c r="L23" s="223"/>
      <c r="M23" s="223"/>
      <c r="N23" s="223"/>
      <c r="O23" s="223"/>
      <c r="P23" s="106"/>
      <c r="Q23" s="236"/>
      <c r="R23" s="227"/>
      <c r="S23" s="227"/>
      <c r="T23" s="227"/>
      <c r="U23" s="227"/>
      <c r="V23" s="227"/>
      <c r="W23" s="227"/>
      <c r="X23" s="230"/>
    </row>
    <row r="24" spans="1:24">
      <c r="A24" s="224"/>
      <c r="B24" s="225"/>
      <c r="C24" s="210"/>
      <c r="D24" s="217"/>
      <c r="E24" s="218"/>
      <c r="F24" s="219"/>
      <c r="G24" s="223"/>
      <c r="H24" s="223"/>
      <c r="I24" s="223"/>
      <c r="J24" s="223"/>
      <c r="K24" s="223"/>
      <c r="L24" s="223"/>
      <c r="M24" s="223"/>
      <c r="N24" s="223"/>
      <c r="O24" s="223"/>
      <c r="P24" s="104"/>
      <c r="Q24" s="237"/>
      <c r="R24" s="228"/>
      <c r="S24" s="228"/>
      <c r="T24" s="228"/>
      <c r="U24" s="228"/>
      <c r="V24" s="228"/>
      <c r="W24" s="228"/>
      <c r="X24" s="231"/>
    </row>
    <row r="25" spans="1:24" ht="14" customHeight="1">
      <c r="A25" s="208"/>
      <c r="B25" s="209"/>
      <c r="C25" s="210"/>
      <c r="D25" s="211"/>
      <c r="E25" s="212"/>
      <c r="F25" s="213"/>
      <c r="G25" s="220"/>
      <c r="H25" s="220"/>
      <c r="I25" s="220"/>
      <c r="J25" s="220"/>
      <c r="K25" s="220"/>
      <c r="L25" s="220"/>
      <c r="M25" s="220"/>
      <c r="N25" s="220"/>
      <c r="O25" s="232"/>
      <c r="P25" s="105"/>
      <c r="Q25" s="248"/>
      <c r="R25" s="226"/>
      <c r="S25" s="226"/>
      <c r="T25" s="226"/>
      <c r="U25" s="226"/>
      <c r="V25" s="226"/>
      <c r="W25" s="226"/>
      <c r="X25" s="229"/>
    </row>
    <row r="26" spans="1:24">
      <c r="A26" s="221"/>
      <c r="B26" s="222"/>
      <c r="C26" s="210"/>
      <c r="D26" s="214"/>
      <c r="E26" s="215"/>
      <c r="F26" s="216"/>
      <c r="G26" s="220"/>
      <c r="H26" s="220"/>
      <c r="I26" s="220"/>
      <c r="J26" s="220"/>
      <c r="K26" s="220"/>
      <c r="L26" s="220"/>
      <c r="M26" s="220"/>
      <c r="N26" s="220"/>
      <c r="O26" s="233"/>
      <c r="P26" s="103"/>
      <c r="Q26" s="248"/>
      <c r="R26" s="227"/>
      <c r="S26" s="227"/>
      <c r="T26" s="227"/>
      <c r="U26" s="227"/>
      <c r="V26" s="227"/>
      <c r="W26" s="227"/>
      <c r="X26" s="230"/>
    </row>
    <row r="27" spans="1:24">
      <c r="A27" s="221"/>
      <c r="B27" s="222"/>
      <c r="C27" s="210"/>
      <c r="D27" s="214"/>
      <c r="E27" s="215"/>
      <c r="F27" s="216"/>
      <c r="G27" s="223"/>
      <c r="H27" s="223"/>
      <c r="I27" s="223"/>
      <c r="J27" s="223"/>
      <c r="K27" s="223"/>
      <c r="L27" s="223"/>
      <c r="M27" s="223"/>
      <c r="N27" s="223"/>
      <c r="O27" s="223"/>
      <c r="P27" s="106"/>
      <c r="Q27" s="236"/>
      <c r="R27" s="227"/>
      <c r="S27" s="227"/>
      <c r="T27" s="227"/>
      <c r="U27" s="227"/>
      <c r="V27" s="227"/>
      <c r="W27" s="227"/>
      <c r="X27" s="230"/>
    </row>
    <row r="28" spans="1:24">
      <c r="A28" s="224"/>
      <c r="B28" s="225"/>
      <c r="C28" s="210"/>
      <c r="D28" s="217"/>
      <c r="E28" s="218"/>
      <c r="F28" s="219"/>
      <c r="G28" s="223"/>
      <c r="H28" s="223"/>
      <c r="I28" s="223"/>
      <c r="J28" s="223"/>
      <c r="K28" s="223"/>
      <c r="L28" s="223"/>
      <c r="M28" s="223"/>
      <c r="N28" s="223"/>
      <c r="O28" s="223"/>
      <c r="P28" s="104"/>
      <c r="Q28" s="237"/>
      <c r="R28" s="228"/>
      <c r="S28" s="228"/>
      <c r="T28" s="228"/>
      <c r="U28" s="228"/>
      <c r="V28" s="228"/>
      <c r="W28" s="228"/>
      <c r="X28" s="231"/>
    </row>
    <row r="29" spans="1:24" ht="14" customHeight="1">
      <c r="A29" s="208"/>
      <c r="B29" s="209"/>
      <c r="C29" s="210"/>
      <c r="D29" s="211"/>
      <c r="E29" s="212"/>
      <c r="F29" s="213"/>
      <c r="G29" s="220"/>
      <c r="H29" s="220"/>
      <c r="I29" s="220"/>
      <c r="J29" s="220"/>
      <c r="K29" s="220"/>
      <c r="L29" s="220"/>
      <c r="M29" s="220"/>
      <c r="N29" s="220"/>
      <c r="O29" s="232"/>
      <c r="P29" s="105"/>
      <c r="Q29" s="248"/>
      <c r="R29" s="226"/>
      <c r="S29" s="226"/>
      <c r="T29" s="226"/>
      <c r="U29" s="226"/>
      <c r="V29" s="226"/>
      <c r="W29" s="226"/>
      <c r="X29" s="229"/>
    </row>
    <row r="30" spans="1:24">
      <c r="A30" s="221"/>
      <c r="B30" s="222"/>
      <c r="C30" s="210"/>
      <c r="D30" s="214"/>
      <c r="E30" s="215"/>
      <c r="F30" s="216"/>
      <c r="G30" s="220"/>
      <c r="H30" s="220"/>
      <c r="I30" s="220"/>
      <c r="J30" s="220"/>
      <c r="K30" s="220"/>
      <c r="L30" s="220"/>
      <c r="M30" s="220"/>
      <c r="N30" s="220"/>
      <c r="O30" s="233"/>
      <c r="P30" s="103"/>
      <c r="Q30" s="248"/>
      <c r="R30" s="227"/>
      <c r="S30" s="227"/>
      <c r="T30" s="227"/>
      <c r="U30" s="227"/>
      <c r="V30" s="227"/>
      <c r="W30" s="227"/>
      <c r="X30" s="230"/>
    </row>
    <row r="31" spans="1:24">
      <c r="A31" s="221"/>
      <c r="B31" s="222"/>
      <c r="C31" s="210"/>
      <c r="D31" s="214"/>
      <c r="E31" s="215"/>
      <c r="F31" s="216"/>
      <c r="G31" s="223"/>
      <c r="H31" s="223"/>
      <c r="I31" s="234"/>
      <c r="J31" s="234"/>
      <c r="K31" s="234"/>
      <c r="L31" s="234"/>
      <c r="M31" s="234"/>
      <c r="N31" s="234"/>
      <c r="O31" s="223"/>
      <c r="P31" s="106"/>
      <c r="Q31" s="236"/>
      <c r="R31" s="227"/>
      <c r="S31" s="227"/>
      <c r="T31" s="227"/>
      <c r="U31" s="227"/>
      <c r="V31" s="227"/>
      <c r="W31" s="227"/>
      <c r="X31" s="230"/>
    </row>
    <row r="32" spans="1:24">
      <c r="A32" s="224"/>
      <c r="B32" s="225"/>
      <c r="C32" s="210"/>
      <c r="D32" s="217"/>
      <c r="E32" s="218"/>
      <c r="F32" s="219"/>
      <c r="G32" s="223"/>
      <c r="H32" s="223"/>
      <c r="I32" s="235"/>
      <c r="J32" s="235"/>
      <c r="K32" s="235"/>
      <c r="L32" s="235"/>
      <c r="M32" s="235"/>
      <c r="N32" s="235"/>
      <c r="O32" s="223"/>
      <c r="P32" s="104"/>
      <c r="Q32" s="237"/>
      <c r="R32" s="228"/>
      <c r="S32" s="228"/>
      <c r="T32" s="228"/>
      <c r="U32" s="228"/>
      <c r="V32" s="228"/>
      <c r="W32" s="228"/>
      <c r="X32" s="231"/>
    </row>
    <row r="33" spans="1:24" ht="14" customHeight="1">
      <c r="A33" s="208"/>
      <c r="B33" s="209"/>
      <c r="C33" s="210"/>
      <c r="D33" s="211"/>
      <c r="E33" s="212"/>
      <c r="F33" s="213"/>
      <c r="G33" s="220"/>
      <c r="H33" s="220"/>
      <c r="I33" s="220"/>
      <c r="J33" s="220"/>
      <c r="K33" s="220"/>
      <c r="L33" s="220"/>
      <c r="M33" s="220"/>
      <c r="N33" s="220"/>
      <c r="O33" s="232"/>
      <c r="P33" s="105"/>
      <c r="Q33" s="248"/>
      <c r="R33" s="229"/>
      <c r="S33" s="226"/>
      <c r="T33" s="226"/>
      <c r="U33" s="226"/>
      <c r="V33" s="226"/>
      <c r="W33" s="226"/>
      <c r="X33" s="229"/>
    </row>
    <row r="34" spans="1:24">
      <c r="A34" s="221"/>
      <c r="B34" s="222"/>
      <c r="C34" s="210"/>
      <c r="D34" s="214"/>
      <c r="E34" s="215"/>
      <c r="F34" s="216"/>
      <c r="G34" s="220"/>
      <c r="H34" s="220"/>
      <c r="I34" s="220"/>
      <c r="J34" s="220"/>
      <c r="K34" s="220"/>
      <c r="L34" s="220"/>
      <c r="M34" s="220"/>
      <c r="N34" s="220"/>
      <c r="O34" s="233"/>
      <c r="P34" s="103"/>
      <c r="Q34" s="248"/>
      <c r="R34" s="230"/>
      <c r="S34" s="227"/>
      <c r="T34" s="227"/>
      <c r="U34" s="227"/>
      <c r="V34" s="227"/>
      <c r="W34" s="227"/>
      <c r="X34" s="230"/>
    </row>
    <row r="35" spans="1:24">
      <c r="A35" s="221"/>
      <c r="B35" s="222"/>
      <c r="C35" s="210"/>
      <c r="D35" s="214"/>
      <c r="E35" s="215"/>
      <c r="F35" s="216"/>
      <c r="G35" s="223"/>
      <c r="H35" s="223"/>
      <c r="I35" s="234"/>
      <c r="J35" s="234"/>
      <c r="K35" s="234"/>
      <c r="L35" s="234"/>
      <c r="M35" s="234"/>
      <c r="N35" s="234"/>
      <c r="O35" s="223"/>
      <c r="P35" s="106"/>
      <c r="Q35" s="236"/>
      <c r="R35" s="230"/>
      <c r="S35" s="227"/>
      <c r="T35" s="227"/>
      <c r="U35" s="227"/>
      <c r="V35" s="227"/>
      <c r="W35" s="227"/>
      <c r="X35" s="230"/>
    </row>
    <row r="36" spans="1:24">
      <c r="A36" s="224"/>
      <c r="B36" s="225"/>
      <c r="C36" s="210"/>
      <c r="D36" s="217"/>
      <c r="E36" s="218"/>
      <c r="F36" s="219"/>
      <c r="G36" s="223"/>
      <c r="H36" s="223"/>
      <c r="I36" s="235"/>
      <c r="J36" s="235"/>
      <c r="K36" s="235"/>
      <c r="L36" s="235"/>
      <c r="M36" s="235"/>
      <c r="N36" s="235"/>
      <c r="O36" s="223"/>
      <c r="P36" s="104"/>
      <c r="Q36" s="237"/>
      <c r="R36" s="231"/>
      <c r="S36" s="228"/>
      <c r="T36" s="228"/>
      <c r="U36" s="228"/>
      <c r="V36" s="228"/>
      <c r="W36" s="228"/>
      <c r="X36" s="231"/>
    </row>
    <row r="37" spans="1:24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</row>
    <row r="38" spans="1:24" ht="15.75" customHeight="1">
      <c r="A38" s="18" t="s">
        <v>58</v>
      </c>
      <c r="B38" s="101">
        <f>N10</f>
        <v>42512</v>
      </c>
      <c r="C38" s="20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 t="s">
        <v>82</v>
      </c>
      <c r="R38" s="18"/>
      <c r="S38" s="18"/>
      <c r="T38" s="18"/>
      <c r="U38" s="3"/>
      <c r="V38" s="3"/>
      <c r="W38" s="3"/>
    </row>
    <row r="39" spans="1:24" ht="18.75" customHeight="1">
      <c r="A39" s="29" t="s">
        <v>59</v>
      </c>
      <c r="B39" s="35" t="s">
        <v>83</v>
      </c>
      <c r="C39" s="31"/>
      <c r="D39" s="31"/>
      <c r="E39" s="31"/>
      <c r="F39" s="31"/>
      <c r="G39" s="31"/>
      <c r="H39" s="96" t="s">
        <v>75</v>
      </c>
      <c r="I39" s="96"/>
      <c r="J39" s="96"/>
      <c r="K39" s="27"/>
      <c r="L39" s="27"/>
      <c r="M39" s="25"/>
      <c r="N39" s="25"/>
      <c r="O39" s="25"/>
      <c r="P39" s="18"/>
      <c r="Q39" s="13" t="s">
        <v>90</v>
      </c>
      <c r="S39" s="18"/>
      <c r="T39" s="18"/>
      <c r="U39" s="3"/>
      <c r="V39" s="3"/>
      <c r="W39" s="3"/>
    </row>
    <row r="40" spans="1:24" ht="14.25" customHeight="1">
      <c r="A40" s="29"/>
      <c r="B40" s="21" t="s">
        <v>62</v>
      </c>
      <c r="C40" s="21"/>
      <c r="D40" s="21"/>
      <c r="E40" s="21"/>
      <c r="F40" s="31"/>
      <c r="G40" s="58"/>
      <c r="H40" s="21" t="s">
        <v>63</v>
      </c>
      <c r="I40" s="58"/>
      <c r="J40" s="21"/>
      <c r="K40" s="21"/>
      <c r="L40" s="24"/>
      <c r="M40" s="24"/>
      <c r="N40" s="24"/>
      <c r="O40" s="25"/>
      <c r="P40" s="17" t="s">
        <v>10</v>
      </c>
      <c r="R40" s="18"/>
      <c r="S40" s="18"/>
      <c r="T40" s="3"/>
      <c r="U40" s="3"/>
      <c r="V40" s="3"/>
    </row>
    <row r="41" spans="1:24" ht="12" customHeight="1">
      <c r="A41" s="17"/>
      <c r="F41" s="23"/>
      <c r="L41" s="95"/>
      <c r="M41" s="18"/>
      <c r="N41" s="18"/>
      <c r="O41" s="18"/>
      <c r="P41" s="18" t="s">
        <v>11</v>
      </c>
      <c r="R41" s="18"/>
      <c r="S41" s="18"/>
      <c r="T41" s="3"/>
      <c r="U41" s="3"/>
      <c r="V41" s="3"/>
    </row>
    <row r="42" spans="1:24" ht="12" customHeight="1">
      <c r="A42" s="17" t="s">
        <v>60</v>
      </c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 t="s">
        <v>12</v>
      </c>
      <c r="R42" s="18"/>
      <c r="S42" s="18"/>
      <c r="T42" s="3"/>
      <c r="U42" s="3"/>
      <c r="V42" s="3"/>
    </row>
    <row r="43" spans="1:24" ht="12" customHeight="1">
      <c r="A43" s="18"/>
      <c r="B43" s="18" t="s">
        <v>61</v>
      </c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25" t="s">
        <v>13</v>
      </c>
      <c r="R43" s="25"/>
      <c r="S43" s="25"/>
      <c r="T43" s="34"/>
      <c r="U43" s="34"/>
      <c r="V43" s="34"/>
    </row>
    <row r="44" spans="1:24" s="19" customFormat="1" ht="16.5" customHeight="1">
      <c r="A44" s="29"/>
      <c r="B44" s="25"/>
      <c r="C44" s="31" t="str">
        <f>C50</f>
        <v>Evankoff LLC</v>
      </c>
      <c r="D44" s="36"/>
      <c r="E44" s="36"/>
      <c r="F44" s="25"/>
      <c r="G44" s="25"/>
      <c r="H44" s="25"/>
      <c r="I44" s="25"/>
      <c r="J44" s="25"/>
      <c r="K44" s="25"/>
      <c r="L44" s="25"/>
      <c r="M44" s="25"/>
      <c r="N44" s="25"/>
      <c r="O44" s="25" t="s">
        <v>64</v>
      </c>
      <c r="P44" s="25"/>
    </row>
    <row r="45" spans="1:24">
      <c r="A45" s="24"/>
      <c r="B45" s="24"/>
      <c r="C45" s="24" t="s">
        <v>65</v>
      </c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5"/>
      <c r="P45" s="25"/>
      <c r="Q45" s="36" t="s">
        <v>16</v>
      </c>
      <c r="S45" s="19"/>
      <c r="T45" s="19"/>
      <c r="U45" s="19"/>
    </row>
    <row r="46" spans="1:24" s="19" customFormat="1" ht="15" thickBot="1">
      <c r="A46" s="31" t="s">
        <v>105</v>
      </c>
      <c r="B46" s="31"/>
      <c r="C46" s="31"/>
      <c r="D46" s="31"/>
      <c r="E46" s="31"/>
      <c r="F46" s="31"/>
      <c r="G46" s="25" t="s">
        <v>67</v>
      </c>
      <c r="H46" s="25"/>
      <c r="I46" s="25"/>
      <c r="J46" s="25"/>
      <c r="K46" s="25"/>
      <c r="L46" s="25"/>
      <c r="M46" s="25"/>
      <c r="N46" s="25"/>
      <c r="O46" s="25"/>
      <c r="P46" s="25"/>
      <c r="Q46" s="25"/>
    </row>
    <row r="47" spans="1:24">
      <c r="A47" s="24"/>
      <c r="B47" s="24" t="s">
        <v>66</v>
      </c>
      <c r="C47" s="24"/>
      <c r="D47" s="24"/>
      <c r="E47" s="24"/>
      <c r="F47" s="24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94"/>
      <c r="R47" s="70" t="s">
        <v>14</v>
      </c>
      <c r="S47" s="71"/>
      <c r="T47" s="72"/>
      <c r="U47" s="37"/>
      <c r="V47" s="73" t="s">
        <v>15</v>
      </c>
      <c r="W47" s="74" t="s">
        <v>93</v>
      </c>
      <c r="X47" s="75"/>
    </row>
    <row r="48" spans="1:24">
      <c r="A48" s="99">
        <f>H10</f>
        <v>42506</v>
      </c>
      <c r="B48" s="26" t="s">
        <v>68</v>
      </c>
      <c r="C48" s="244">
        <f>F7</f>
        <v>42512</v>
      </c>
      <c r="D48" s="244"/>
      <c r="E48" s="98"/>
      <c r="F48" s="33" t="s">
        <v>73</v>
      </c>
      <c r="J48" s="32"/>
      <c r="L48" s="25"/>
      <c r="M48" s="25"/>
      <c r="N48" s="25"/>
      <c r="O48" s="25"/>
      <c r="P48" s="25"/>
      <c r="Q48" s="76"/>
      <c r="R48" s="77"/>
      <c r="S48" s="77"/>
      <c r="T48" s="78"/>
      <c r="U48" s="79"/>
      <c r="V48" s="80"/>
      <c r="W48" s="80"/>
      <c r="X48" s="81"/>
    </row>
    <row r="49" spans="1:24" ht="14.25" customHeight="1" thickBot="1">
      <c r="A49" s="24" t="s">
        <v>74</v>
      </c>
      <c r="B49" s="25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5"/>
      <c r="Q49" s="82"/>
      <c r="R49" s="83"/>
      <c r="S49" s="83"/>
      <c r="T49" s="84"/>
      <c r="U49" s="85"/>
      <c r="V49" s="86"/>
      <c r="W49" s="86"/>
      <c r="X49" s="87"/>
    </row>
    <row r="50" spans="1:24" ht="18.75" customHeight="1">
      <c r="A50" s="25"/>
      <c r="B50" s="25"/>
      <c r="C50" s="31" t="str">
        <f>A5</f>
        <v>Evankoff LLC</v>
      </c>
      <c r="D50" s="25"/>
      <c r="E50" s="25"/>
      <c r="F50" s="25"/>
      <c r="G50" s="25"/>
      <c r="H50" s="25"/>
      <c r="I50" s="25"/>
      <c r="J50" s="25"/>
      <c r="K50" s="25"/>
      <c r="L50" s="25"/>
      <c r="M50" s="25" t="s">
        <v>69</v>
      </c>
      <c r="N50" s="25"/>
      <c r="O50" s="25"/>
      <c r="P50" s="25"/>
      <c r="Q50" s="107" t="s">
        <v>128</v>
      </c>
      <c r="R50" s="108"/>
      <c r="S50" s="240" t="s">
        <v>97</v>
      </c>
      <c r="T50" s="240"/>
      <c r="U50" s="240"/>
      <c r="V50" s="240"/>
      <c r="W50" s="240"/>
      <c r="X50" s="241"/>
    </row>
    <row r="51" spans="1:24">
      <c r="A51" s="24"/>
      <c r="B51" s="24"/>
      <c r="C51" s="24" t="s">
        <v>65</v>
      </c>
      <c r="D51" s="24"/>
      <c r="E51" s="24"/>
      <c r="F51" s="24"/>
      <c r="G51" s="24"/>
      <c r="H51" s="24"/>
      <c r="I51" s="24"/>
      <c r="J51" s="24"/>
      <c r="K51" s="24"/>
      <c r="L51" s="24"/>
      <c r="M51" s="25"/>
      <c r="N51" s="25"/>
      <c r="O51" s="25"/>
      <c r="P51" s="25"/>
      <c r="Q51" s="109" t="s">
        <v>127</v>
      </c>
      <c r="R51" s="110"/>
      <c r="S51" s="242"/>
      <c r="T51" s="242"/>
      <c r="U51" s="242"/>
      <c r="V51" s="242"/>
      <c r="W51" s="242"/>
      <c r="X51" s="243"/>
    </row>
    <row r="52" spans="1:24" ht="12.75" customHeight="1" thickBot="1">
      <c r="A52" s="25" t="s">
        <v>70</v>
      </c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39"/>
      <c r="R52" s="88"/>
      <c r="S52" s="88"/>
      <c r="T52" s="89"/>
      <c r="U52" s="41"/>
      <c r="V52" s="40"/>
      <c r="W52" s="40"/>
      <c r="X52" s="42"/>
    </row>
    <row r="53" spans="1:24" ht="12.75" customHeight="1">
      <c r="A53" s="25" t="s">
        <v>71</v>
      </c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107" t="s">
        <v>128</v>
      </c>
      <c r="R53" s="108"/>
      <c r="S53" s="240" t="s">
        <v>95</v>
      </c>
      <c r="T53" s="240"/>
      <c r="U53" s="240"/>
      <c r="V53" s="240"/>
      <c r="W53" s="240"/>
      <c r="X53" s="241"/>
    </row>
    <row r="54" spans="1:24" ht="12.75" customHeight="1">
      <c r="A54" s="25" t="s">
        <v>72</v>
      </c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109" t="s">
        <v>127</v>
      </c>
      <c r="R54" s="110"/>
      <c r="S54" s="242"/>
      <c r="T54" s="242"/>
      <c r="U54" s="242"/>
      <c r="V54" s="242"/>
      <c r="W54" s="242"/>
      <c r="X54" s="243"/>
    </row>
    <row r="55" spans="1:24" ht="12.75" customHeight="1" thickBot="1">
      <c r="A55" s="25" t="s">
        <v>0</v>
      </c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53"/>
      <c r="R55" s="54"/>
      <c r="S55" s="54"/>
      <c r="T55" s="54"/>
      <c r="U55" s="55"/>
      <c r="V55" s="10"/>
      <c r="W55" s="10"/>
      <c r="X55" s="56"/>
    </row>
    <row r="56" spans="1:24" ht="18" customHeight="1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48"/>
      <c r="R56" s="49"/>
      <c r="S56" s="49"/>
      <c r="T56" s="49"/>
      <c r="U56" s="50"/>
      <c r="V56" s="51"/>
      <c r="W56" s="51"/>
      <c r="X56" s="52"/>
    </row>
    <row r="57" spans="1:24" ht="18" customHeight="1" thickBot="1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5"/>
      <c r="Q57" s="53"/>
      <c r="R57" s="54"/>
      <c r="S57" s="54"/>
      <c r="T57" s="54"/>
      <c r="U57" s="55"/>
      <c r="V57" s="10"/>
      <c r="W57" s="10"/>
      <c r="X57" s="56"/>
    </row>
    <row r="58" spans="1:24" ht="18" customHeight="1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5"/>
      <c r="Q58" s="48"/>
      <c r="R58" s="49"/>
      <c r="S58" s="49"/>
      <c r="T58" s="49"/>
      <c r="U58" s="50"/>
      <c r="V58" s="51"/>
      <c r="W58" s="51"/>
      <c r="X58" s="52"/>
    </row>
    <row r="59" spans="1:24" ht="21" customHeight="1" thickBot="1">
      <c r="A59" s="24"/>
      <c r="B59" s="28" t="s">
        <v>2</v>
      </c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5"/>
      <c r="Q59" s="53"/>
      <c r="R59" s="54"/>
      <c r="S59" s="54"/>
      <c r="T59" s="54"/>
      <c r="U59" s="55"/>
      <c r="V59" s="10"/>
      <c r="W59" s="10"/>
      <c r="X59" s="56"/>
    </row>
    <row r="60" spans="1:24" ht="12" customHeight="1">
      <c r="A60" s="30" t="s">
        <v>3</v>
      </c>
      <c r="B60" s="30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5"/>
      <c r="Q60" s="48" t="s">
        <v>17</v>
      </c>
      <c r="R60" s="49"/>
      <c r="S60" s="49"/>
      <c r="T60" s="49"/>
      <c r="U60" s="49"/>
      <c r="V60" s="51"/>
      <c r="W60" s="51"/>
      <c r="X60" s="52"/>
    </row>
    <row r="61" spans="1:24" ht="12" customHeight="1">
      <c r="A61" s="27" t="s">
        <v>4</v>
      </c>
      <c r="B61" s="30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5"/>
      <c r="Q61" s="111" t="s">
        <v>96</v>
      </c>
      <c r="R61" s="44"/>
      <c r="S61" s="44"/>
      <c r="T61" s="44"/>
      <c r="U61" s="44"/>
      <c r="V61" s="46"/>
      <c r="W61" s="46"/>
      <c r="X61" s="47"/>
    </row>
    <row r="62" spans="1:24" ht="12" customHeight="1">
      <c r="A62" s="27" t="s">
        <v>5</v>
      </c>
      <c r="B62" s="30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5"/>
      <c r="Q62" s="121"/>
      <c r="R62" s="122"/>
      <c r="S62" s="44"/>
      <c r="T62" s="44"/>
      <c r="U62" s="44"/>
      <c r="V62" s="46"/>
      <c r="W62" s="46"/>
      <c r="X62" s="47"/>
    </row>
    <row r="63" spans="1:24" ht="12" customHeight="1">
      <c r="A63" s="27"/>
      <c r="B63" s="30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5"/>
      <c r="Q63" s="121"/>
      <c r="R63" s="122"/>
      <c r="S63" s="44"/>
      <c r="T63" s="44"/>
      <c r="U63" s="44"/>
      <c r="V63" s="46"/>
      <c r="W63" s="46"/>
      <c r="X63" s="47"/>
    </row>
    <row r="64" spans="1:24" ht="12" customHeight="1">
      <c r="A64" s="29" t="s">
        <v>7</v>
      </c>
      <c r="B64" s="29" t="s">
        <v>6</v>
      </c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121"/>
      <c r="R64" s="122"/>
      <c r="S64" s="44"/>
      <c r="T64" s="44"/>
      <c r="U64" s="44"/>
      <c r="V64" s="46"/>
      <c r="W64" s="46"/>
      <c r="X64" s="47"/>
    </row>
    <row r="65" spans="1:24" ht="12" customHeight="1">
      <c r="A65" s="25" t="s">
        <v>8</v>
      </c>
      <c r="B65" s="29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43"/>
      <c r="R65" s="44"/>
      <c r="S65" s="44"/>
      <c r="T65" s="44"/>
      <c r="U65" s="44"/>
      <c r="V65" s="46"/>
      <c r="W65" s="46"/>
      <c r="X65" s="47"/>
    </row>
    <row r="66" spans="1:24" ht="12" customHeight="1">
      <c r="A66" s="25" t="s">
        <v>9</v>
      </c>
      <c r="B66" s="29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43"/>
      <c r="R66" s="44"/>
      <c r="S66" s="44"/>
      <c r="T66" s="44"/>
      <c r="U66" s="44"/>
      <c r="V66" s="46"/>
      <c r="W66" s="46"/>
      <c r="X66" s="47"/>
    </row>
    <row r="67" spans="1:24" ht="12" customHeight="1" thickBot="1">
      <c r="A67" s="25"/>
      <c r="B67" s="29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53"/>
      <c r="R67" s="54"/>
      <c r="S67" s="54"/>
      <c r="T67" s="54"/>
      <c r="U67" s="54"/>
      <c r="V67" s="10"/>
      <c r="W67" s="10"/>
      <c r="X67" s="56"/>
    </row>
    <row r="68" spans="1:24" ht="12" customHeight="1">
      <c r="A68" s="25"/>
      <c r="B68" s="25" t="s">
        <v>57</v>
      </c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</row>
    <row r="69" spans="1:24" ht="12" customHeight="1">
      <c r="A69" s="25"/>
      <c r="B69" s="25" t="s">
        <v>1</v>
      </c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12" t="s">
        <v>50</v>
      </c>
      <c r="R69" s="22"/>
      <c r="S69" s="22"/>
      <c r="T69" s="67"/>
      <c r="U69" s="57" t="s">
        <v>51</v>
      </c>
      <c r="V69" s="58"/>
      <c r="W69" s="58"/>
      <c r="X69" s="59"/>
    </row>
    <row r="70" spans="1:24" ht="11.25" customHeight="1">
      <c r="A70" s="25"/>
      <c r="B70" s="25" t="s">
        <v>81</v>
      </c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63"/>
      <c r="T70" s="68"/>
      <c r="U70" s="61"/>
      <c r="V70" s="38"/>
      <c r="W70" s="38"/>
      <c r="X70" s="60"/>
    </row>
    <row r="71" spans="1:24" ht="13.5" customHeight="1">
      <c r="A71" s="25"/>
      <c r="B71" s="97" t="s">
        <v>80</v>
      </c>
      <c r="C71" s="29" t="s">
        <v>76</v>
      </c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93" t="str">
        <f>B39</f>
        <v>Eric Coffie</v>
      </c>
      <c r="R71" s="90"/>
      <c r="S71" s="90" t="str">
        <f>H39</f>
        <v>President</v>
      </c>
      <c r="T71" s="68"/>
      <c r="U71" s="61"/>
      <c r="V71" s="38"/>
      <c r="W71" s="38"/>
      <c r="X71" s="60"/>
    </row>
    <row r="72" spans="1:24" ht="10.5" customHeight="1">
      <c r="A72" s="19"/>
      <c r="B72" s="25"/>
      <c r="C72" s="25" t="s">
        <v>77</v>
      </c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19"/>
      <c r="Q72" s="91"/>
      <c r="R72" s="92"/>
      <c r="S72" s="92"/>
      <c r="T72" s="69"/>
      <c r="U72" s="62"/>
      <c r="V72" s="116"/>
      <c r="W72" s="116"/>
      <c r="X72" s="117"/>
    </row>
    <row r="73" spans="1:24" ht="10.5" customHeight="1">
      <c r="A73" s="19"/>
      <c r="B73" s="19"/>
      <c r="C73" s="25" t="s">
        <v>78</v>
      </c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</row>
    <row r="74" spans="1:24" ht="10.5" customHeight="1">
      <c r="B74" s="19"/>
      <c r="C74" s="25" t="s">
        <v>79</v>
      </c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Q74" s="64" t="s">
        <v>86</v>
      </c>
      <c r="R74" s="58"/>
      <c r="S74" s="58"/>
      <c r="T74" s="58"/>
      <c r="U74" s="58"/>
      <c r="V74" s="58"/>
      <c r="W74" s="58"/>
      <c r="X74" s="59"/>
    </row>
    <row r="75" spans="1:24" ht="10.5" customHeight="1">
      <c r="Q75" s="66" t="s">
        <v>87</v>
      </c>
      <c r="R75" s="38"/>
      <c r="S75" s="38"/>
      <c r="T75" s="38"/>
      <c r="U75" s="38"/>
      <c r="V75" s="38"/>
      <c r="W75" s="38"/>
      <c r="X75" s="60"/>
    </row>
    <row r="76" spans="1:24" ht="10.5" customHeight="1">
      <c r="Q76" s="66" t="s">
        <v>88</v>
      </c>
      <c r="R76" s="38"/>
      <c r="S76" s="38"/>
      <c r="T76" s="38"/>
      <c r="U76" s="38"/>
      <c r="V76" s="38"/>
      <c r="W76" s="38"/>
      <c r="X76" s="60"/>
    </row>
    <row r="77" spans="1:24" ht="10.5" customHeight="1">
      <c r="Q77" s="65" t="s">
        <v>89</v>
      </c>
      <c r="R77" s="116"/>
      <c r="S77" s="116"/>
      <c r="T77" s="116"/>
      <c r="U77" s="116"/>
      <c r="V77" s="116"/>
      <c r="W77" s="116"/>
      <c r="X77" s="117"/>
    </row>
  </sheetData>
  <mergeCells count="235">
    <mergeCell ref="S50:X51"/>
    <mergeCell ref="S53:X54"/>
    <mergeCell ref="M35:M36"/>
    <mergeCell ref="N35:N36"/>
    <mergeCell ref="O35:O36"/>
    <mergeCell ref="Q35:Q36"/>
    <mergeCell ref="A36:B36"/>
    <mergeCell ref="C48:D48"/>
    <mergeCell ref="W33:W36"/>
    <mergeCell ref="X33:X36"/>
    <mergeCell ref="A34:B34"/>
    <mergeCell ref="A35:B35"/>
    <mergeCell ref="G35:G36"/>
    <mergeCell ref="H35:H36"/>
    <mergeCell ref="I35:I36"/>
    <mergeCell ref="J35:J36"/>
    <mergeCell ref="K35:K36"/>
    <mergeCell ref="L35:L36"/>
    <mergeCell ref="Q33:Q34"/>
    <mergeCell ref="R33:R36"/>
    <mergeCell ref="S33:S36"/>
    <mergeCell ref="T33:T36"/>
    <mergeCell ref="U33:U36"/>
    <mergeCell ref="V33:V36"/>
    <mergeCell ref="J33:J34"/>
    <mergeCell ref="K33:K34"/>
    <mergeCell ref="L33:L34"/>
    <mergeCell ref="M33:M34"/>
    <mergeCell ref="N33:N34"/>
    <mergeCell ref="O33:O34"/>
    <mergeCell ref="A33:B33"/>
    <mergeCell ref="C33:C36"/>
    <mergeCell ref="D33:F36"/>
    <mergeCell ref="G33:G34"/>
    <mergeCell ref="H33:H34"/>
    <mergeCell ref="I33:I34"/>
    <mergeCell ref="L31:L32"/>
    <mergeCell ref="M31:M32"/>
    <mergeCell ref="N31:N32"/>
    <mergeCell ref="O31:O32"/>
    <mergeCell ref="Q31:Q32"/>
    <mergeCell ref="A32:B32"/>
    <mergeCell ref="V29:V32"/>
    <mergeCell ref="W29:W32"/>
    <mergeCell ref="X29:X32"/>
    <mergeCell ref="A30:B30"/>
    <mergeCell ref="A31:B31"/>
    <mergeCell ref="G31:G32"/>
    <mergeCell ref="H31:H32"/>
    <mergeCell ref="I31:I32"/>
    <mergeCell ref="J31:J32"/>
    <mergeCell ref="K31:K32"/>
    <mergeCell ref="O29:O30"/>
    <mergeCell ref="Q29:Q30"/>
    <mergeCell ref="R29:R32"/>
    <mergeCell ref="S29:S32"/>
    <mergeCell ref="T29:T32"/>
    <mergeCell ref="U29:U32"/>
    <mergeCell ref="I29:I30"/>
    <mergeCell ref="J29:J30"/>
    <mergeCell ref="K29:K30"/>
    <mergeCell ref="L29:L30"/>
    <mergeCell ref="M29:M30"/>
    <mergeCell ref="N29:N30"/>
    <mergeCell ref="M27:M28"/>
    <mergeCell ref="N27:N28"/>
    <mergeCell ref="O27:O28"/>
    <mergeCell ref="Q27:Q28"/>
    <mergeCell ref="A28:B28"/>
    <mergeCell ref="A29:B29"/>
    <mergeCell ref="C29:C32"/>
    <mergeCell ref="D29:F32"/>
    <mergeCell ref="G29:G30"/>
    <mergeCell ref="H29:H30"/>
    <mergeCell ref="W25:W28"/>
    <mergeCell ref="X25:X28"/>
    <mergeCell ref="A26:B26"/>
    <mergeCell ref="A27:B27"/>
    <mergeCell ref="G27:G28"/>
    <mergeCell ref="H27:H28"/>
    <mergeCell ref="I27:I28"/>
    <mergeCell ref="J27:J28"/>
    <mergeCell ref="K27:K28"/>
    <mergeCell ref="L27:L28"/>
    <mergeCell ref="Q25:Q26"/>
    <mergeCell ref="R25:R28"/>
    <mergeCell ref="S25:S28"/>
    <mergeCell ref="T25:T28"/>
    <mergeCell ref="U25:U28"/>
    <mergeCell ref="V25:V28"/>
    <mergeCell ref="J25:J26"/>
    <mergeCell ref="K25:K26"/>
    <mergeCell ref="L25:L26"/>
    <mergeCell ref="M25:M26"/>
    <mergeCell ref="N25:N26"/>
    <mergeCell ref="O25:O26"/>
    <mergeCell ref="A25:B25"/>
    <mergeCell ref="C25:C28"/>
    <mergeCell ref="D25:F28"/>
    <mergeCell ref="G25:G26"/>
    <mergeCell ref="H25:H26"/>
    <mergeCell ref="I25:I26"/>
    <mergeCell ref="L23:L24"/>
    <mergeCell ref="M23:M24"/>
    <mergeCell ref="N23:N24"/>
    <mergeCell ref="O23:O24"/>
    <mergeCell ref="Q23:Q24"/>
    <mergeCell ref="A24:B24"/>
    <mergeCell ref="V21:V24"/>
    <mergeCell ref="W21:W24"/>
    <mergeCell ref="X21:X24"/>
    <mergeCell ref="A22:B22"/>
    <mergeCell ref="A23:B23"/>
    <mergeCell ref="G23:G24"/>
    <mergeCell ref="H23:H24"/>
    <mergeCell ref="I23:I24"/>
    <mergeCell ref="J23:J24"/>
    <mergeCell ref="K23:K24"/>
    <mergeCell ref="O21:O22"/>
    <mergeCell ref="Q21:Q22"/>
    <mergeCell ref="R21:R24"/>
    <mergeCell ref="S21:S24"/>
    <mergeCell ref="T21:T24"/>
    <mergeCell ref="U21:U24"/>
    <mergeCell ref="I21:I22"/>
    <mergeCell ref="J21:J22"/>
    <mergeCell ref="K21:K22"/>
    <mergeCell ref="L21:L22"/>
    <mergeCell ref="M21:M22"/>
    <mergeCell ref="N21:N22"/>
    <mergeCell ref="M19:M20"/>
    <mergeCell ref="N19:N20"/>
    <mergeCell ref="O19:O20"/>
    <mergeCell ref="Q19:Q20"/>
    <mergeCell ref="A20:B20"/>
    <mergeCell ref="A21:B21"/>
    <mergeCell ref="C21:C24"/>
    <mergeCell ref="D21:F24"/>
    <mergeCell ref="G21:G22"/>
    <mergeCell ref="H21:H22"/>
    <mergeCell ref="W17:W20"/>
    <mergeCell ref="X17:X20"/>
    <mergeCell ref="A18:B18"/>
    <mergeCell ref="A19:B19"/>
    <mergeCell ref="G19:G20"/>
    <mergeCell ref="H19:H20"/>
    <mergeCell ref="I19:I20"/>
    <mergeCell ref="J19:J20"/>
    <mergeCell ref="K19:K20"/>
    <mergeCell ref="L19:L20"/>
    <mergeCell ref="Q17:Q18"/>
    <mergeCell ref="R17:R20"/>
    <mergeCell ref="S17:S20"/>
    <mergeCell ref="T17:T20"/>
    <mergeCell ref="U17:U20"/>
    <mergeCell ref="V17:V20"/>
    <mergeCell ref="J17:J18"/>
    <mergeCell ref="K17:K18"/>
    <mergeCell ref="L17:L18"/>
    <mergeCell ref="M17:M18"/>
    <mergeCell ref="N17:N18"/>
    <mergeCell ref="O17:O18"/>
    <mergeCell ref="N15:N16"/>
    <mergeCell ref="O15:O16"/>
    <mergeCell ref="Q15:Q16"/>
    <mergeCell ref="A16:B16"/>
    <mergeCell ref="A17:B17"/>
    <mergeCell ref="C17:C20"/>
    <mergeCell ref="D17:F20"/>
    <mergeCell ref="G17:G18"/>
    <mergeCell ref="H17:H18"/>
    <mergeCell ref="I17:I18"/>
    <mergeCell ref="X13:X16"/>
    <mergeCell ref="A14:B14"/>
    <mergeCell ref="A15:B15"/>
    <mergeCell ref="G15:G16"/>
    <mergeCell ref="H15:H16"/>
    <mergeCell ref="I15:I16"/>
    <mergeCell ref="J15:J16"/>
    <mergeCell ref="K15:K16"/>
    <mergeCell ref="L15:L16"/>
    <mergeCell ref="M15:M16"/>
    <mergeCell ref="R13:R16"/>
    <mergeCell ref="S13:S16"/>
    <mergeCell ref="T13:T16"/>
    <mergeCell ref="U13:U16"/>
    <mergeCell ref="V13:V16"/>
    <mergeCell ref="W13:W16"/>
    <mergeCell ref="K13:K14"/>
    <mergeCell ref="L13:L14"/>
    <mergeCell ref="M13:M14"/>
    <mergeCell ref="N13:N14"/>
    <mergeCell ref="O13:O14"/>
    <mergeCell ref="Q13:Q14"/>
    <mergeCell ref="V10:V12"/>
    <mergeCell ref="W10:W12"/>
    <mergeCell ref="H12:N12"/>
    <mergeCell ref="A13:B13"/>
    <mergeCell ref="C13:C16"/>
    <mergeCell ref="D13:F16"/>
    <mergeCell ref="G13:G14"/>
    <mergeCell ref="H13:H14"/>
    <mergeCell ref="I13:I14"/>
    <mergeCell ref="J13:J14"/>
    <mergeCell ref="P10:P12"/>
    <mergeCell ref="Q10:Q12"/>
    <mergeCell ref="R10:R12"/>
    <mergeCell ref="S10:S12"/>
    <mergeCell ref="T10:T12"/>
    <mergeCell ref="U10:U12"/>
    <mergeCell ref="A8:B8"/>
    <mergeCell ref="D8:F8"/>
    <mergeCell ref="G8:G12"/>
    <mergeCell ref="H8:N8"/>
    <mergeCell ref="R8:W9"/>
    <mergeCell ref="X8:X12"/>
    <mergeCell ref="A9:B12"/>
    <mergeCell ref="C9:C12"/>
    <mergeCell ref="D9:F12"/>
    <mergeCell ref="O10:O12"/>
    <mergeCell ref="W4:X5"/>
    <mergeCell ref="A5:N5"/>
    <mergeCell ref="O5:V5"/>
    <mergeCell ref="A6:D6"/>
    <mergeCell ref="F6:N6"/>
    <mergeCell ref="A7:D7"/>
    <mergeCell ref="F7:N7"/>
    <mergeCell ref="O7:S7"/>
    <mergeCell ref="T7:X7"/>
    <mergeCell ref="A1:D3"/>
    <mergeCell ref="F1:U3"/>
    <mergeCell ref="A4:C4"/>
    <mergeCell ref="D4:G4"/>
    <mergeCell ref="H4:N4"/>
    <mergeCell ref="O4:V4"/>
  </mergeCells>
  <phoneticPr fontId="11" type="noConversion"/>
  <pageMargins left="0.7" right="0.7" top="0.75" bottom="0.75" header="0.3" footer="0.3"/>
  <pageSetup scale="77" orientation="landscape" horizontalDpi="4294967292" verticalDpi="4294967292"/>
  <rowBreaks count="1" manualBreakCount="1">
    <brk id="36" max="16383" man="1"/>
  </rowBreaks>
  <colBreaks count="1" manualBreakCount="1">
    <brk id="24" max="1048575" man="1"/>
  </colBreaks>
  <drawing r:id="rId1"/>
  <extLst>
    <ext xmlns:mx="http://schemas.microsoft.com/office/mac/excel/2008/main" uri="{64002731-A6B0-56B0-2670-7721B7C09600}">
      <mx:PLV Mode="1" OnePage="0" WScale="77"/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77"/>
  <sheetViews>
    <sheetView view="pageLayout" zoomScaleNormal="125" zoomScalePageLayoutView="125" workbookViewId="0">
      <selection activeCell="D8" sqref="D8:F8"/>
    </sheetView>
  </sheetViews>
  <sheetFormatPr baseColWidth="10" defaultColWidth="8.83203125" defaultRowHeight="14" x14ac:dyDescent="0"/>
  <cols>
    <col min="1" max="1" width="10.33203125" customWidth="1"/>
    <col min="2" max="2" width="11.1640625" customWidth="1"/>
    <col min="3" max="3" width="5" customWidth="1"/>
    <col min="4" max="4" width="5.1640625" customWidth="1"/>
    <col min="5" max="5" width="4.6640625" customWidth="1"/>
    <col min="6" max="6" width="4.83203125" customWidth="1"/>
    <col min="7" max="7" width="3.6640625" customWidth="1"/>
    <col min="8" max="8" width="5" customWidth="1"/>
    <col min="9" max="9" width="4.6640625" customWidth="1"/>
    <col min="10" max="11" width="5.33203125" customWidth="1"/>
    <col min="12" max="12" width="4.83203125" customWidth="1"/>
    <col min="13" max="13" width="5.5" customWidth="1"/>
    <col min="14" max="14" width="5.1640625" customWidth="1"/>
    <col min="16" max="17" width="9.83203125" bestFit="1" customWidth="1"/>
    <col min="18" max="18" width="7.6640625" customWidth="1"/>
    <col min="19" max="19" width="9.5" customWidth="1"/>
    <col min="20" max="20" width="6" hidden="1" customWidth="1"/>
    <col min="21" max="21" width="4.33203125" hidden="1" customWidth="1"/>
    <col min="22" max="22" width="7.6640625" hidden="1" customWidth="1"/>
    <col min="23" max="23" width="9.33203125" customWidth="1"/>
    <col min="24" max="24" width="12.6640625" customWidth="1"/>
  </cols>
  <sheetData>
    <row r="1" spans="1:24" ht="15" customHeight="1">
      <c r="A1" s="149" t="s">
        <v>22</v>
      </c>
      <c r="B1" s="149"/>
      <c r="C1" s="149"/>
      <c r="D1" s="149"/>
      <c r="E1" s="147"/>
      <c r="F1" s="151" t="s">
        <v>55</v>
      </c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9"/>
      <c r="W1" s="9"/>
      <c r="X1" s="9"/>
    </row>
    <row r="2" spans="1:24">
      <c r="A2" s="149"/>
      <c r="B2" s="149"/>
      <c r="C2" s="149"/>
      <c r="D2" s="149"/>
      <c r="E2" s="147"/>
      <c r="F2" s="151"/>
      <c r="G2" s="151"/>
      <c r="H2" s="151"/>
      <c r="I2" s="151"/>
      <c r="J2" s="151"/>
      <c r="K2" s="151"/>
      <c r="L2" s="151"/>
      <c r="M2" s="151"/>
      <c r="N2" s="151"/>
      <c r="O2" s="151"/>
      <c r="P2" s="151"/>
      <c r="Q2" s="151"/>
      <c r="R2" s="151"/>
      <c r="S2" s="151"/>
      <c r="T2" s="151"/>
      <c r="U2" s="151"/>
      <c r="V2" s="9"/>
      <c r="W2" s="9"/>
      <c r="X2" s="9"/>
    </row>
    <row r="3" spans="1:24" ht="15" customHeight="1" thickBot="1">
      <c r="A3" s="150"/>
      <c r="B3" s="150"/>
      <c r="C3" s="150"/>
      <c r="D3" s="150"/>
      <c r="E3" s="148"/>
      <c r="F3" s="152"/>
      <c r="G3" s="152"/>
      <c r="H3" s="152"/>
      <c r="I3" s="152"/>
      <c r="J3" s="152"/>
      <c r="K3" s="152"/>
      <c r="L3" s="152"/>
      <c r="M3" s="152"/>
      <c r="N3" s="152"/>
      <c r="O3" s="152"/>
      <c r="P3" s="152"/>
      <c r="Q3" s="152"/>
      <c r="R3" s="152"/>
      <c r="S3" s="152"/>
      <c r="T3" s="152"/>
      <c r="U3" s="152"/>
      <c r="V3" s="10"/>
      <c r="W3" s="10"/>
      <c r="X3" s="10"/>
    </row>
    <row r="4" spans="1:24" s="11" customFormat="1">
      <c r="A4" s="153" t="s">
        <v>56</v>
      </c>
      <c r="B4" s="154"/>
      <c r="C4" s="154"/>
      <c r="D4" s="154" t="s">
        <v>52</v>
      </c>
      <c r="E4" s="154"/>
      <c r="F4" s="154"/>
      <c r="G4" s="154"/>
      <c r="H4" s="155"/>
      <c r="I4" s="155"/>
      <c r="J4" s="155"/>
      <c r="K4" s="155"/>
      <c r="L4" s="155"/>
      <c r="M4" s="155"/>
      <c r="N4" s="156"/>
      <c r="O4" s="157" t="s">
        <v>126</v>
      </c>
      <c r="P4" s="158"/>
      <c r="Q4" s="158"/>
      <c r="R4" s="158"/>
      <c r="S4" s="158"/>
      <c r="T4" s="158"/>
      <c r="U4" s="158"/>
      <c r="V4" s="158"/>
      <c r="W4" s="159"/>
      <c r="X4" s="160"/>
    </row>
    <row r="5" spans="1:24" s="1" customFormat="1" ht="12">
      <c r="A5" s="163" t="s">
        <v>125</v>
      </c>
      <c r="B5" s="164"/>
      <c r="C5" s="164"/>
      <c r="D5" s="164"/>
      <c r="E5" s="164"/>
      <c r="F5" s="164"/>
      <c r="G5" s="164"/>
      <c r="H5" s="164"/>
      <c r="I5" s="164"/>
      <c r="J5" s="164"/>
      <c r="K5" s="164"/>
      <c r="L5" s="164"/>
      <c r="M5" s="164"/>
      <c r="N5" s="165"/>
      <c r="O5" s="166" t="s">
        <v>108</v>
      </c>
      <c r="P5" s="167"/>
      <c r="Q5" s="167"/>
      <c r="R5" s="167"/>
      <c r="S5" s="167"/>
      <c r="T5" s="167"/>
      <c r="U5" s="167"/>
      <c r="V5" s="167"/>
      <c r="W5" s="161"/>
      <c r="X5" s="162"/>
    </row>
    <row r="6" spans="1:24" s="13" customFormat="1" ht="11">
      <c r="A6" s="168" t="s">
        <v>18</v>
      </c>
      <c r="B6" s="169"/>
      <c r="C6" s="169"/>
      <c r="D6" s="170"/>
      <c r="E6" s="115"/>
      <c r="F6" s="168" t="s">
        <v>19</v>
      </c>
      <c r="G6" s="169"/>
      <c r="H6" s="169"/>
      <c r="I6" s="169"/>
      <c r="J6" s="169"/>
      <c r="K6" s="169"/>
      <c r="L6" s="169"/>
      <c r="M6" s="169"/>
      <c r="N6" s="170"/>
      <c r="O6" s="102" t="s">
        <v>20</v>
      </c>
      <c r="P6" s="15"/>
      <c r="Q6" s="15"/>
      <c r="R6" s="15"/>
      <c r="S6" s="102" t="s">
        <v>91</v>
      </c>
      <c r="T6" s="15" t="s">
        <v>21</v>
      </c>
      <c r="U6" s="15"/>
      <c r="V6" s="15"/>
      <c r="X6" s="16"/>
    </row>
    <row r="7" spans="1:24" s="1" customFormat="1" ht="16.5" customHeight="1">
      <c r="A7" s="171">
        <v>20</v>
      </c>
      <c r="B7" s="172"/>
      <c r="C7" s="172"/>
      <c r="D7" s="173"/>
      <c r="E7" s="146"/>
      <c r="F7" s="174">
        <v>42519</v>
      </c>
      <c r="G7" s="175"/>
      <c r="H7" s="175"/>
      <c r="I7" s="175"/>
      <c r="J7" s="175"/>
      <c r="K7" s="175"/>
      <c r="L7" s="175"/>
      <c r="M7" s="175"/>
      <c r="N7" s="176"/>
      <c r="O7" s="166" t="s">
        <v>107</v>
      </c>
      <c r="P7" s="167"/>
      <c r="Q7" s="167"/>
      <c r="R7" s="167"/>
      <c r="S7" s="167"/>
      <c r="T7" s="167" t="s">
        <v>109</v>
      </c>
      <c r="U7" s="167"/>
      <c r="V7" s="167"/>
      <c r="W7" s="167"/>
      <c r="X7" s="177"/>
    </row>
    <row r="8" spans="1:24" s="2" customFormat="1" ht="11.25" customHeight="1">
      <c r="A8" s="178" t="s">
        <v>23</v>
      </c>
      <c r="B8" s="179"/>
      <c r="C8" s="7" t="s">
        <v>24</v>
      </c>
      <c r="D8" s="178" t="s">
        <v>25</v>
      </c>
      <c r="E8" s="180"/>
      <c r="F8" s="179"/>
      <c r="G8" s="181" t="s">
        <v>29</v>
      </c>
      <c r="H8" s="184" t="s">
        <v>54</v>
      </c>
      <c r="I8" s="185"/>
      <c r="J8" s="185"/>
      <c r="K8" s="185"/>
      <c r="L8" s="185"/>
      <c r="M8" s="185"/>
      <c r="N8" s="186"/>
      <c r="O8" s="7" t="s">
        <v>30</v>
      </c>
      <c r="P8" s="7" t="s">
        <v>31</v>
      </c>
      <c r="Q8" s="7" t="s">
        <v>32</v>
      </c>
      <c r="R8" s="187" t="s">
        <v>33</v>
      </c>
      <c r="S8" s="187"/>
      <c r="T8" s="187"/>
      <c r="U8" s="187"/>
      <c r="V8" s="187"/>
      <c r="W8" s="187"/>
      <c r="X8" s="187" t="s">
        <v>53</v>
      </c>
    </row>
    <row r="9" spans="1:24" ht="17.25" customHeight="1">
      <c r="A9" s="188" t="s">
        <v>26</v>
      </c>
      <c r="B9" s="189"/>
      <c r="C9" s="192" t="s">
        <v>27</v>
      </c>
      <c r="D9" s="194" t="s">
        <v>28</v>
      </c>
      <c r="E9" s="195"/>
      <c r="F9" s="196"/>
      <c r="G9" s="182"/>
      <c r="H9" s="132" t="s">
        <v>36</v>
      </c>
      <c r="I9" s="133" t="s">
        <v>37</v>
      </c>
      <c r="J9" s="133" t="s">
        <v>38</v>
      </c>
      <c r="K9" s="133" t="s">
        <v>111</v>
      </c>
      <c r="L9" s="133" t="s">
        <v>39</v>
      </c>
      <c r="M9" s="133" t="s">
        <v>41</v>
      </c>
      <c r="N9" s="133" t="s">
        <v>42</v>
      </c>
      <c r="O9" s="6"/>
      <c r="P9" s="8"/>
      <c r="Q9" s="8"/>
      <c r="R9" s="187"/>
      <c r="S9" s="187"/>
      <c r="T9" s="187"/>
      <c r="U9" s="187"/>
      <c r="V9" s="187"/>
      <c r="W9" s="187"/>
      <c r="X9" s="187"/>
    </row>
    <row r="10" spans="1:24" ht="19.5" customHeight="1">
      <c r="A10" s="188"/>
      <c r="B10" s="189"/>
      <c r="C10" s="192"/>
      <c r="D10" s="194"/>
      <c r="E10" s="195"/>
      <c r="F10" s="196"/>
      <c r="G10" s="182"/>
      <c r="H10" s="100">
        <f t="shared" ref="H10:L10" si="0">I10-1</f>
        <v>42513</v>
      </c>
      <c r="I10" s="100">
        <f t="shared" si="0"/>
        <v>42514</v>
      </c>
      <c r="J10" s="100">
        <f t="shared" si="0"/>
        <v>42515</v>
      </c>
      <c r="K10" s="100">
        <f t="shared" si="0"/>
        <v>42516</v>
      </c>
      <c r="L10" s="100">
        <f t="shared" si="0"/>
        <v>42517</v>
      </c>
      <c r="M10" s="100">
        <f>N10-1</f>
        <v>42518</v>
      </c>
      <c r="N10" s="100">
        <f>F7</f>
        <v>42519</v>
      </c>
      <c r="O10" s="200" t="s">
        <v>46</v>
      </c>
      <c r="P10" s="200" t="s">
        <v>47</v>
      </c>
      <c r="Q10" s="200" t="s">
        <v>48</v>
      </c>
      <c r="R10" s="206" t="s">
        <v>44</v>
      </c>
      <c r="S10" s="206" t="s">
        <v>45</v>
      </c>
      <c r="T10" s="207"/>
      <c r="U10" s="207"/>
      <c r="V10" s="202" t="s">
        <v>35</v>
      </c>
      <c r="W10" s="203" t="s">
        <v>34</v>
      </c>
      <c r="X10" s="187"/>
    </row>
    <row r="11" spans="1:24" ht="18.75" hidden="1" customHeight="1">
      <c r="A11" s="188"/>
      <c r="B11" s="189"/>
      <c r="C11" s="192"/>
      <c r="D11" s="194"/>
      <c r="E11" s="195"/>
      <c r="F11" s="196"/>
      <c r="G11" s="182"/>
      <c r="H11" s="5"/>
      <c r="I11" s="4"/>
      <c r="J11" s="4"/>
      <c r="K11" s="4"/>
      <c r="L11" s="4"/>
      <c r="M11" s="4"/>
      <c r="N11" s="4"/>
      <c r="O11" s="200"/>
      <c r="P11" s="200"/>
      <c r="Q11" s="200"/>
      <c r="R11" s="206"/>
      <c r="S11" s="206"/>
      <c r="T11" s="207"/>
      <c r="U11" s="207"/>
      <c r="V11" s="202"/>
      <c r="W11" s="203"/>
      <c r="X11" s="187"/>
    </row>
    <row r="12" spans="1:24">
      <c r="A12" s="190"/>
      <c r="B12" s="191"/>
      <c r="C12" s="193"/>
      <c r="D12" s="197"/>
      <c r="E12" s="198"/>
      <c r="F12" s="199"/>
      <c r="G12" s="183"/>
      <c r="H12" s="204" t="s">
        <v>43</v>
      </c>
      <c r="I12" s="204"/>
      <c r="J12" s="204"/>
      <c r="K12" s="204"/>
      <c r="L12" s="204"/>
      <c r="M12" s="204"/>
      <c r="N12" s="205"/>
      <c r="O12" s="201"/>
      <c r="P12" s="201"/>
      <c r="Q12" s="201"/>
      <c r="R12" s="206"/>
      <c r="S12" s="206"/>
      <c r="T12" s="207"/>
      <c r="U12" s="207"/>
      <c r="V12" s="202"/>
      <c r="W12" s="203"/>
      <c r="X12" s="187"/>
    </row>
    <row r="13" spans="1:24" ht="15" customHeight="1">
      <c r="A13" s="208" t="s">
        <v>98</v>
      </c>
      <c r="B13" s="209"/>
      <c r="C13" s="210">
        <v>2</v>
      </c>
      <c r="D13" s="249" t="s">
        <v>123</v>
      </c>
      <c r="E13" s="250"/>
      <c r="F13" s="251"/>
      <c r="G13" s="220" t="s">
        <v>49</v>
      </c>
      <c r="H13" s="220"/>
      <c r="I13" s="220"/>
      <c r="J13" s="220"/>
      <c r="K13" s="220"/>
      <c r="L13" s="220"/>
      <c r="M13" s="220"/>
      <c r="N13" s="220"/>
      <c r="O13" s="232">
        <f>SUM(H13:N14)</f>
        <v>0</v>
      </c>
      <c r="P13" s="105" t="s">
        <v>110</v>
      </c>
      <c r="Q13" s="238">
        <f>P14*O13</f>
        <v>0</v>
      </c>
      <c r="R13" s="226">
        <v>0</v>
      </c>
      <c r="S13" s="226">
        <f>7.44+1.74</f>
        <v>9.18</v>
      </c>
      <c r="T13" s="226"/>
      <c r="U13" s="226"/>
      <c r="V13" s="226"/>
      <c r="W13" s="226">
        <f>S13+R13</f>
        <v>9.18</v>
      </c>
      <c r="X13" s="229">
        <f>Q15-W13+Q13</f>
        <v>-9.18</v>
      </c>
    </row>
    <row r="14" spans="1:24">
      <c r="A14" s="221" t="s">
        <v>103</v>
      </c>
      <c r="B14" s="222"/>
      <c r="C14" s="210"/>
      <c r="D14" s="252"/>
      <c r="E14" s="253"/>
      <c r="F14" s="254"/>
      <c r="G14" s="220"/>
      <c r="H14" s="220"/>
      <c r="I14" s="220"/>
      <c r="J14" s="220"/>
      <c r="K14" s="220"/>
      <c r="L14" s="220"/>
      <c r="M14" s="220"/>
      <c r="N14" s="220"/>
      <c r="O14" s="233"/>
      <c r="P14" s="103">
        <f>P16/2+P16</f>
        <v>22.5</v>
      </c>
      <c r="Q14" s="239"/>
      <c r="R14" s="227"/>
      <c r="S14" s="227"/>
      <c r="T14" s="227"/>
      <c r="U14" s="227"/>
      <c r="V14" s="227"/>
      <c r="W14" s="227"/>
      <c r="X14" s="230"/>
    </row>
    <row r="15" spans="1:24">
      <c r="A15" s="261"/>
      <c r="B15" s="262"/>
      <c r="C15" s="210"/>
      <c r="D15" s="252"/>
      <c r="E15" s="253"/>
      <c r="F15" s="254"/>
      <c r="G15" s="223" t="s">
        <v>40</v>
      </c>
      <c r="H15" s="223">
        <v>0</v>
      </c>
      <c r="I15" s="223">
        <v>0</v>
      </c>
      <c r="J15" s="223">
        <v>0</v>
      </c>
      <c r="K15" s="223">
        <v>0</v>
      </c>
      <c r="L15" s="223">
        <v>0</v>
      </c>
      <c r="M15" s="223">
        <v>0</v>
      </c>
      <c r="N15" s="223">
        <v>0</v>
      </c>
      <c r="O15" s="234">
        <f>SUM(H15:N16)</f>
        <v>0</v>
      </c>
      <c r="P15" s="106" t="s">
        <v>110</v>
      </c>
      <c r="Q15" s="236">
        <f>P16*O15</f>
        <v>0</v>
      </c>
      <c r="R15" s="227"/>
      <c r="S15" s="227"/>
      <c r="T15" s="227"/>
      <c r="U15" s="227"/>
      <c r="V15" s="227"/>
      <c r="W15" s="227"/>
      <c r="X15" s="230"/>
    </row>
    <row r="16" spans="1:24">
      <c r="A16" s="224"/>
      <c r="B16" s="225"/>
      <c r="C16" s="210"/>
      <c r="D16" s="255"/>
      <c r="E16" s="256"/>
      <c r="F16" s="257"/>
      <c r="G16" s="223"/>
      <c r="H16" s="223"/>
      <c r="I16" s="223"/>
      <c r="J16" s="223"/>
      <c r="K16" s="223"/>
      <c r="L16" s="223"/>
      <c r="M16" s="223"/>
      <c r="N16" s="223"/>
      <c r="O16" s="235"/>
      <c r="P16" s="104">
        <v>15</v>
      </c>
      <c r="Q16" s="237"/>
      <c r="R16" s="228"/>
      <c r="S16" s="228"/>
      <c r="T16" s="228"/>
      <c r="U16" s="228"/>
      <c r="V16" s="228"/>
      <c r="W16" s="228"/>
      <c r="X16" s="231"/>
    </row>
    <row r="17" spans="1:24" ht="15" customHeight="1">
      <c r="A17" s="208"/>
      <c r="B17" s="209"/>
      <c r="C17" s="210">
        <v>2</v>
      </c>
      <c r="D17" s="249" t="s">
        <v>123</v>
      </c>
      <c r="E17" s="250"/>
      <c r="F17" s="251"/>
      <c r="G17" s="220" t="s">
        <v>49</v>
      </c>
      <c r="H17" s="220"/>
      <c r="I17" s="220"/>
      <c r="J17" s="220"/>
      <c r="K17" s="220"/>
      <c r="L17" s="220"/>
      <c r="M17" s="220"/>
      <c r="N17" s="220"/>
      <c r="O17" s="232">
        <f>SUM(H17:N18)</f>
        <v>0</v>
      </c>
      <c r="P17" s="105" t="s">
        <v>110</v>
      </c>
      <c r="Q17" s="238">
        <f>P18*O17</f>
        <v>0</v>
      </c>
      <c r="R17" s="226">
        <v>0</v>
      </c>
      <c r="S17" s="226">
        <v>0</v>
      </c>
      <c r="T17" s="226"/>
      <c r="U17" s="226"/>
      <c r="V17" s="226"/>
      <c r="W17" s="226">
        <f>S17+R17</f>
        <v>0</v>
      </c>
      <c r="X17" s="229">
        <f>Q19-W17</f>
        <v>0</v>
      </c>
    </row>
    <row r="18" spans="1:24">
      <c r="A18" s="221"/>
      <c r="B18" s="222"/>
      <c r="C18" s="210"/>
      <c r="D18" s="252"/>
      <c r="E18" s="253"/>
      <c r="F18" s="254"/>
      <c r="G18" s="220"/>
      <c r="H18" s="220"/>
      <c r="I18" s="220"/>
      <c r="J18" s="220"/>
      <c r="K18" s="220"/>
      <c r="L18" s="220"/>
      <c r="M18" s="220"/>
      <c r="N18" s="220"/>
      <c r="O18" s="233"/>
      <c r="P18" s="103">
        <f>P20/2+P20</f>
        <v>22.5</v>
      </c>
      <c r="Q18" s="239"/>
      <c r="R18" s="227"/>
      <c r="S18" s="227"/>
      <c r="T18" s="227"/>
      <c r="U18" s="227"/>
      <c r="V18" s="227"/>
      <c r="W18" s="227"/>
      <c r="X18" s="230"/>
    </row>
    <row r="19" spans="1:24">
      <c r="A19" s="261"/>
      <c r="B19" s="262"/>
      <c r="C19" s="210"/>
      <c r="D19" s="252"/>
      <c r="E19" s="253"/>
      <c r="F19" s="254"/>
      <c r="G19" s="223" t="s">
        <v>40</v>
      </c>
      <c r="H19" s="223">
        <v>0</v>
      </c>
      <c r="I19" s="223">
        <v>0</v>
      </c>
      <c r="J19" s="223">
        <v>0</v>
      </c>
      <c r="K19" s="223">
        <v>0</v>
      </c>
      <c r="L19" s="223">
        <v>0</v>
      </c>
      <c r="M19" s="223">
        <v>0</v>
      </c>
      <c r="N19" s="223">
        <v>0</v>
      </c>
      <c r="O19" s="223">
        <f>SUM(H19:N20)</f>
        <v>0</v>
      </c>
      <c r="P19" s="106" t="s">
        <v>110</v>
      </c>
      <c r="Q19" s="236">
        <f>P20*O19</f>
        <v>0</v>
      </c>
      <c r="R19" s="227"/>
      <c r="S19" s="227"/>
      <c r="T19" s="227"/>
      <c r="U19" s="227"/>
      <c r="V19" s="227"/>
      <c r="W19" s="227"/>
      <c r="X19" s="230"/>
    </row>
    <row r="20" spans="1:24">
      <c r="A20" s="224"/>
      <c r="B20" s="225"/>
      <c r="C20" s="210"/>
      <c r="D20" s="255"/>
      <c r="E20" s="256"/>
      <c r="F20" s="257"/>
      <c r="G20" s="223"/>
      <c r="H20" s="223"/>
      <c r="I20" s="223"/>
      <c r="J20" s="223"/>
      <c r="K20" s="223"/>
      <c r="L20" s="223"/>
      <c r="M20" s="223"/>
      <c r="N20" s="223"/>
      <c r="O20" s="223"/>
      <c r="P20" s="104">
        <v>15</v>
      </c>
      <c r="Q20" s="237"/>
      <c r="R20" s="228"/>
      <c r="S20" s="228"/>
      <c r="T20" s="228"/>
      <c r="U20" s="228"/>
      <c r="V20" s="228"/>
      <c r="W20" s="228"/>
      <c r="X20" s="231"/>
    </row>
    <row r="21" spans="1:24" ht="14" customHeight="1">
      <c r="A21" s="208"/>
      <c r="B21" s="209"/>
      <c r="C21" s="210"/>
      <c r="D21" s="211"/>
      <c r="E21" s="212"/>
      <c r="F21" s="213"/>
      <c r="G21" s="220"/>
      <c r="H21" s="220"/>
      <c r="I21" s="220"/>
      <c r="J21" s="220"/>
      <c r="K21" s="220"/>
      <c r="L21" s="220"/>
      <c r="M21" s="220"/>
      <c r="N21" s="220"/>
      <c r="O21" s="232"/>
      <c r="P21" s="105"/>
      <c r="Q21" s="238"/>
      <c r="R21" s="226"/>
      <c r="S21" s="226"/>
      <c r="T21" s="226"/>
      <c r="U21" s="226"/>
      <c r="V21" s="226"/>
      <c r="W21" s="226"/>
      <c r="X21" s="229"/>
    </row>
    <row r="22" spans="1:24">
      <c r="A22" s="221"/>
      <c r="B22" s="222"/>
      <c r="C22" s="210"/>
      <c r="D22" s="214"/>
      <c r="E22" s="215"/>
      <c r="F22" s="216"/>
      <c r="G22" s="220"/>
      <c r="H22" s="220"/>
      <c r="I22" s="220"/>
      <c r="J22" s="220"/>
      <c r="K22" s="220"/>
      <c r="L22" s="220"/>
      <c r="M22" s="220"/>
      <c r="N22" s="220"/>
      <c r="O22" s="233"/>
      <c r="P22" s="103"/>
      <c r="Q22" s="239"/>
      <c r="R22" s="227"/>
      <c r="S22" s="227"/>
      <c r="T22" s="227"/>
      <c r="U22" s="227"/>
      <c r="V22" s="227"/>
      <c r="W22" s="227"/>
      <c r="X22" s="230"/>
    </row>
    <row r="23" spans="1:24">
      <c r="A23" s="221"/>
      <c r="B23" s="222"/>
      <c r="C23" s="210"/>
      <c r="D23" s="214"/>
      <c r="E23" s="215"/>
      <c r="F23" s="216"/>
      <c r="G23" s="223"/>
      <c r="H23" s="223"/>
      <c r="I23" s="223"/>
      <c r="J23" s="223"/>
      <c r="K23" s="223"/>
      <c r="L23" s="223"/>
      <c r="M23" s="223"/>
      <c r="N23" s="223"/>
      <c r="O23" s="223"/>
      <c r="P23" s="106"/>
      <c r="Q23" s="236"/>
      <c r="R23" s="227"/>
      <c r="S23" s="227"/>
      <c r="T23" s="227"/>
      <c r="U23" s="227"/>
      <c r="V23" s="227"/>
      <c r="W23" s="227"/>
      <c r="X23" s="230"/>
    </row>
    <row r="24" spans="1:24">
      <c r="A24" s="224"/>
      <c r="B24" s="225"/>
      <c r="C24" s="210"/>
      <c r="D24" s="217"/>
      <c r="E24" s="218"/>
      <c r="F24" s="219"/>
      <c r="G24" s="223"/>
      <c r="H24" s="223"/>
      <c r="I24" s="223"/>
      <c r="J24" s="223"/>
      <c r="K24" s="223"/>
      <c r="L24" s="223"/>
      <c r="M24" s="223"/>
      <c r="N24" s="223"/>
      <c r="O24" s="223"/>
      <c r="P24" s="104"/>
      <c r="Q24" s="237"/>
      <c r="R24" s="228"/>
      <c r="S24" s="228"/>
      <c r="T24" s="228"/>
      <c r="U24" s="228"/>
      <c r="V24" s="228"/>
      <c r="W24" s="228"/>
      <c r="X24" s="231"/>
    </row>
    <row r="25" spans="1:24" ht="14" customHeight="1">
      <c r="A25" s="208"/>
      <c r="B25" s="209"/>
      <c r="C25" s="210"/>
      <c r="D25" s="211"/>
      <c r="E25" s="212"/>
      <c r="F25" s="213"/>
      <c r="G25" s="220"/>
      <c r="H25" s="220"/>
      <c r="I25" s="220"/>
      <c r="J25" s="220"/>
      <c r="K25" s="220"/>
      <c r="L25" s="220"/>
      <c r="M25" s="220"/>
      <c r="N25" s="220"/>
      <c r="O25" s="232"/>
      <c r="P25" s="105"/>
      <c r="Q25" s="248"/>
      <c r="R25" s="226"/>
      <c r="S25" s="226"/>
      <c r="T25" s="226"/>
      <c r="U25" s="226"/>
      <c r="V25" s="226"/>
      <c r="W25" s="226"/>
      <c r="X25" s="229"/>
    </row>
    <row r="26" spans="1:24">
      <c r="A26" s="221"/>
      <c r="B26" s="222"/>
      <c r="C26" s="210"/>
      <c r="D26" s="214"/>
      <c r="E26" s="215"/>
      <c r="F26" s="216"/>
      <c r="G26" s="220"/>
      <c r="H26" s="220"/>
      <c r="I26" s="220"/>
      <c r="J26" s="220"/>
      <c r="K26" s="220"/>
      <c r="L26" s="220"/>
      <c r="M26" s="220"/>
      <c r="N26" s="220"/>
      <c r="O26" s="233"/>
      <c r="P26" s="103"/>
      <c r="Q26" s="248"/>
      <c r="R26" s="227"/>
      <c r="S26" s="227"/>
      <c r="T26" s="227"/>
      <c r="U26" s="227"/>
      <c r="V26" s="227"/>
      <c r="W26" s="227"/>
      <c r="X26" s="230"/>
    </row>
    <row r="27" spans="1:24">
      <c r="A27" s="221"/>
      <c r="B27" s="222"/>
      <c r="C27" s="210"/>
      <c r="D27" s="214"/>
      <c r="E27" s="215"/>
      <c r="F27" s="216"/>
      <c r="G27" s="223"/>
      <c r="H27" s="223"/>
      <c r="I27" s="223"/>
      <c r="J27" s="223"/>
      <c r="K27" s="223"/>
      <c r="L27" s="223"/>
      <c r="M27" s="223"/>
      <c r="N27" s="223"/>
      <c r="O27" s="223"/>
      <c r="P27" s="106"/>
      <c r="Q27" s="236"/>
      <c r="R27" s="227"/>
      <c r="S27" s="227"/>
      <c r="T27" s="227"/>
      <c r="U27" s="227"/>
      <c r="V27" s="227"/>
      <c r="W27" s="227"/>
      <c r="X27" s="230"/>
    </row>
    <row r="28" spans="1:24">
      <c r="A28" s="224"/>
      <c r="B28" s="225"/>
      <c r="C28" s="210"/>
      <c r="D28" s="217"/>
      <c r="E28" s="218"/>
      <c r="F28" s="219"/>
      <c r="G28" s="223"/>
      <c r="H28" s="223"/>
      <c r="I28" s="223"/>
      <c r="J28" s="223"/>
      <c r="K28" s="223"/>
      <c r="L28" s="223"/>
      <c r="M28" s="223"/>
      <c r="N28" s="223"/>
      <c r="O28" s="223"/>
      <c r="P28" s="104"/>
      <c r="Q28" s="237"/>
      <c r="R28" s="228"/>
      <c r="S28" s="228"/>
      <c r="T28" s="228"/>
      <c r="U28" s="228"/>
      <c r="V28" s="228"/>
      <c r="W28" s="228"/>
      <c r="X28" s="231"/>
    </row>
    <row r="29" spans="1:24" ht="14" customHeight="1">
      <c r="A29" s="208"/>
      <c r="B29" s="209"/>
      <c r="C29" s="210"/>
      <c r="D29" s="211"/>
      <c r="E29" s="212"/>
      <c r="F29" s="213"/>
      <c r="G29" s="220"/>
      <c r="H29" s="220"/>
      <c r="I29" s="220"/>
      <c r="J29" s="220"/>
      <c r="K29" s="220"/>
      <c r="L29" s="220"/>
      <c r="M29" s="220"/>
      <c r="N29" s="220"/>
      <c r="O29" s="232"/>
      <c r="P29" s="105"/>
      <c r="Q29" s="248"/>
      <c r="R29" s="226"/>
      <c r="S29" s="226"/>
      <c r="T29" s="226"/>
      <c r="U29" s="226"/>
      <c r="V29" s="226"/>
      <c r="W29" s="226"/>
      <c r="X29" s="229"/>
    </row>
    <row r="30" spans="1:24">
      <c r="A30" s="221"/>
      <c r="B30" s="222"/>
      <c r="C30" s="210"/>
      <c r="D30" s="214"/>
      <c r="E30" s="215"/>
      <c r="F30" s="216"/>
      <c r="G30" s="220"/>
      <c r="H30" s="220"/>
      <c r="I30" s="220"/>
      <c r="J30" s="220"/>
      <c r="K30" s="220"/>
      <c r="L30" s="220"/>
      <c r="M30" s="220"/>
      <c r="N30" s="220"/>
      <c r="O30" s="233"/>
      <c r="P30" s="103"/>
      <c r="Q30" s="248"/>
      <c r="R30" s="227"/>
      <c r="S30" s="227"/>
      <c r="T30" s="227"/>
      <c r="U30" s="227"/>
      <c r="V30" s="227"/>
      <c r="W30" s="227"/>
      <c r="X30" s="230"/>
    </row>
    <row r="31" spans="1:24">
      <c r="A31" s="221"/>
      <c r="B31" s="222"/>
      <c r="C31" s="210"/>
      <c r="D31" s="214"/>
      <c r="E31" s="215"/>
      <c r="F31" s="216"/>
      <c r="G31" s="223"/>
      <c r="H31" s="223"/>
      <c r="I31" s="234"/>
      <c r="J31" s="234"/>
      <c r="K31" s="234"/>
      <c r="L31" s="234"/>
      <c r="M31" s="234"/>
      <c r="N31" s="234"/>
      <c r="O31" s="223"/>
      <c r="P31" s="106"/>
      <c r="Q31" s="236"/>
      <c r="R31" s="227"/>
      <c r="S31" s="227"/>
      <c r="T31" s="227"/>
      <c r="U31" s="227"/>
      <c r="V31" s="227"/>
      <c r="W31" s="227"/>
      <c r="X31" s="230"/>
    </row>
    <row r="32" spans="1:24">
      <c r="A32" s="224"/>
      <c r="B32" s="225"/>
      <c r="C32" s="210"/>
      <c r="D32" s="217"/>
      <c r="E32" s="218"/>
      <c r="F32" s="219"/>
      <c r="G32" s="223"/>
      <c r="H32" s="223"/>
      <c r="I32" s="235"/>
      <c r="J32" s="235"/>
      <c r="K32" s="235"/>
      <c r="L32" s="235"/>
      <c r="M32" s="235"/>
      <c r="N32" s="235"/>
      <c r="O32" s="223"/>
      <c r="P32" s="104"/>
      <c r="Q32" s="237"/>
      <c r="R32" s="228"/>
      <c r="S32" s="228"/>
      <c r="T32" s="228"/>
      <c r="U32" s="228"/>
      <c r="V32" s="228"/>
      <c r="W32" s="228"/>
      <c r="X32" s="231"/>
    </row>
    <row r="33" spans="1:24" ht="14" customHeight="1">
      <c r="A33" s="208"/>
      <c r="B33" s="209"/>
      <c r="C33" s="210"/>
      <c r="D33" s="211"/>
      <c r="E33" s="212"/>
      <c r="F33" s="213"/>
      <c r="G33" s="220"/>
      <c r="H33" s="220"/>
      <c r="I33" s="220"/>
      <c r="J33" s="220"/>
      <c r="K33" s="220"/>
      <c r="L33" s="220"/>
      <c r="M33" s="220"/>
      <c r="N33" s="220"/>
      <c r="O33" s="232"/>
      <c r="P33" s="105"/>
      <c r="Q33" s="248"/>
      <c r="R33" s="229"/>
      <c r="S33" s="226"/>
      <c r="T33" s="226"/>
      <c r="U33" s="226"/>
      <c r="V33" s="226"/>
      <c r="W33" s="226"/>
      <c r="X33" s="229"/>
    </row>
    <row r="34" spans="1:24">
      <c r="A34" s="221"/>
      <c r="B34" s="222"/>
      <c r="C34" s="210"/>
      <c r="D34" s="214"/>
      <c r="E34" s="215"/>
      <c r="F34" s="216"/>
      <c r="G34" s="220"/>
      <c r="H34" s="220"/>
      <c r="I34" s="220"/>
      <c r="J34" s="220"/>
      <c r="K34" s="220"/>
      <c r="L34" s="220"/>
      <c r="M34" s="220"/>
      <c r="N34" s="220"/>
      <c r="O34" s="233"/>
      <c r="P34" s="103"/>
      <c r="Q34" s="248"/>
      <c r="R34" s="230"/>
      <c r="S34" s="227"/>
      <c r="T34" s="227"/>
      <c r="U34" s="227"/>
      <c r="V34" s="227"/>
      <c r="W34" s="227"/>
      <c r="X34" s="230"/>
    </row>
    <row r="35" spans="1:24">
      <c r="A35" s="221"/>
      <c r="B35" s="222"/>
      <c r="C35" s="210"/>
      <c r="D35" s="214"/>
      <c r="E35" s="215"/>
      <c r="F35" s="216"/>
      <c r="G35" s="223"/>
      <c r="H35" s="223"/>
      <c r="I35" s="234"/>
      <c r="J35" s="234"/>
      <c r="K35" s="234"/>
      <c r="L35" s="234"/>
      <c r="M35" s="234"/>
      <c r="N35" s="234"/>
      <c r="O35" s="223"/>
      <c r="P35" s="106"/>
      <c r="Q35" s="236"/>
      <c r="R35" s="230"/>
      <c r="S35" s="227"/>
      <c r="T35" s="227"/>
      <c r="U35" s="227"/>
      <c r="V35" s="227"/>
      <c r="W35" s="227"/>
      <c r="X35" s="230"/>
    </row>
    <row r="36" spans="1:24">
      <c r="A36" s="224"/>
      <c r="B36" s="225"/>
      <c r="C36" s="210"/>
      <c r="D36" s="217"/>
      <c r="E36" s="218"/>
      <c r="F36" s="219"/>
      <c r="G36" s="223"/>
      <c r="H36" s="223"/>
      <c r="I36" s="235"/>
      <c r="J36" s="235"/>
      <c r="K36" s="235"/>
      <c r="L36" s="235"/>
      <c r="M36" s="235"/>
      <c r="N36" s="235"/>
      <c r="O36" s="223"/>
      <c r="P36" s="104"/>
      <c r="Q36" s="237"/>
      <c r="R36" s="231"/>
      <c r="S36" s="228"/>
      <c r="T36" s="228"/>
      <c r="U36" s="228"/>
      <c r="V36" s="228"/>
      <c r="W36" s="228"/>
      <c r="X36" s="231"/>
    </row>
    <row r="37" spans="1:24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</row>
    <row r="38" spans="1:24" ht="15.75" customHeight="1">
      <c r="A38" s="18" t="s">
        <v>58</v>
      </c>
      <c r="B38" s="101">
        <f>N10</f>
        <v>42519</v>
      </c>
      <c r="C38" s="20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 t="s">
        <v>82</v>
      </c>
      <c r="R38" s="18"/>
      <c r="S38" s="18"/>
      <c r="T38" s="18"/>
      <c r="U38" s="3"/>
      <c r="V38" s="3"/>
      <c r="W38" s="3"/>
    </row>
    <row r="39" spans="1:24" ht="18.75" customHeight="1">
      <c r="A39" s="29" t="s">
        <v>59</v>
      </c>
      <c r="B39" s="35" t="s">
        <v>83</v>
      </c>
      <c r="C39" s="31"/>
      <c r="D39" s="31"/>
      <c r="E39" s="31"/>
      <c r="F39" s="31"/>
      <c r="G39" s="31"/>
      <c r="H39" s="96" t="s">
        <v>75</v>
      </c>
      <c r="I39" s="96"/>
      <c r="J39" s="96"/>
      <c r="K39" s="27"/>
      <c r="L39" s="27"/>
      <c r="M39" s="25"/>
      <c r="N39" s="25"/>
      <c r="O39" s="25"/>
      <c r="P39" s="18"/>
      <c r="Q39" s="13" t="s">
        <v>90</v>
      </c>
      <c r="S39" s="18"/>
      <c r="T39" s="18"/>
      <c r="U39" s="3"/>
      <c r="V39" s="3"/>
      <c r="W39" s="3"/>
    </row>
    <row r="40" spans="1:24" ht="14.25" customHeight="1">
      <c r="A40" s="29"/>
      <c r="B40" s="21" t="s">
        <v>62</v>
      </c>
      <c r="C40" s="21"/>
      <c r="D40" s="21"/>
      <c r="E40" s="21"/>
      <c r="F40" s="31"/>
      <c r="G40" s="58"/>
      <c r="H40" s="21" t="s">
        <v>63</v>
      </c>
      <c r="I40" s="58"/>
      <c r="J40" s="21"/>
      <c r="K40" s="21"/>
      <c r="L40" s="24"/>
      <c r="M40" s="24"/>
      <c r="N40" s="24"/>
      <c r="O40" s="25"/>
      <c r="P40" s="17" t="s">
        <v>10</v>
      </c>
      <c r="R40" s="18"/>
      <c r="S40" s="18"/>
      <c r="T40" s="3"/>
      <c r="U40" s="3"/>
      <c r="V40" s="3"/>
    </row>
    <row r="41" spans="1:24" ht="12" customHeight="1">
      <c r="A41" s="17"/>
      <c r="F41" s="23"/>
      <c r="L41" s="95"/>
      <c r="M41" s="18"/>
      <c r="N41" s="18"/>
      <c r="O41" s="18"/>
      <c r="P41" s="18" t="s">
        <v>11</v>
      </c>
      <c r="R41" s="18"/>
      <c r="S41" s="18"/>
      <c r="T41" s="3"/>
      <c r="U41" s="3"/>
      <c r="V41" s="3"/>
    </row>
    <row r="42" spans="1:24" ht="12" customHeight="1">
      <c r="A42" s="17" t="s">
        <v>60</v>
      </c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 t="s">
        <v>12</v>
      </c>
      <c r="R42" s="18"/>
      <c r="S42" s="18"/>
      <c r="T42" s="3"/>
      <c r="U42" s="3"/>
      <c r="V42" s="3"/>
    </row>
    <row r="43" spans="1:24" ht="12" customHeight="1">
      <c r="A43" s="18"/>
      <c r="B43" s="18" t="s">
        <v>61</v>
      </c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25" t="s">
        <v>13</v>
      </c>
      <c r="R43" s="25"/>
      <c r="S43" s="25"/>
      <c r="T43" s="34"/>
      <c r="U43" s="34"/>
      <c r="V43" s="34"/>
    </row>
    <row r="44" spans="1:24" s="19" customFormat="1" ht="16.5" customHeight="1">
      <c r="A44" s="29"/>
      <c r="B44" s="25"/>
      <c r="C44" s="31" t="str">
        <f>C50</f>
        <v>Evankoff LLC</v>
      </c>
      <c r="D44" s="36"/>
      <c r="E44" s="36"/>
      <c r="F44" s="25"/>
      <c r="G44" s="25"/>
      <c r="H44" s="25"/>
      <c r="I44" s="25"/>
      <c r="J44" s="25"/>
      <c r="K44" s="25"/>
      <c r="L44" s="25"/>
      <c r="M44" s="25"/>
      <c r="N44" s="25"/>
      <c r="O44" s="25" t="s">
        <v>64</v>
      </c>
      <c r="P44" s="25"/>
    </row>
    <row r="45" spans="1:24">
      <c r="A45" s="24"/>
      <c r="B45" s="24"/>
      <c r="C45" s="24" t="s">
        <v>65</v>
      </c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5"/>
      <c r="P45" s="25"/>
      <c r="Q45" s="36" t="s">
        <v>16</v>
      </c>
      <c r="S45" s="19"/>
      <c r="T45" s="19"/>
      <c r="U45" s="19"/>
    </row>
    <row r="46" spans="1:24" s="19" customFormat="1" ht="15" thickBot="1">
      <c r="A46" s="31" t="s">
        <v>105</v>
      </c>
      <c r="B46" s="31"/>
      <c r="C46" s="31"/>
      <c r="D46" s="31"/>
      <c r="E46" s="31"/>
      <c r="F46" s="31"/>
      <c r="G46" s="25" t="s">
        <v>67</v>
      </c>
      <c r="H46" s="25"/>
      <c r="I46" s="25"/>
      <c r="J46" s="25"/>
      <c r="K46" s="25"/>
      <c r="L46" s="25"/>
      <c r="M46" s="25"/>
      <c r="N46" s="25"/>
      <c r="O46" s="25"/>
      <c r="P46" s="25"/>
      <c r="Q46" s="25"/>
    </row>
    <row r="47" spans="1:24">
      <c r="A47" s="24"/>
      <c r="B47" s="24" t="s">
        <v>66</v>
      </c>
      <c r="C47" s="24"/>
      <c r="D47" s="24"/>
      <c r="E47" s="24"/>
      <c r="F47" s="24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94"/>
      <c r="R47" s="70" t="s">
        <v>14</v>
      </c>
      <c r="S47" s="71"/>
      <c r="T47" s="72"/>
      <c r="U47" s="37"/>
      <c r="V47" s="73" t="s">
        <v>15</v>
      </c>
      <c r="W47" s="74" t="s">
        <v>93</v>
      </c>
      <c r="X47" s="75"/>
    </row>
    <row r="48" spans="1:24">
      <c r="A48" s="99">
        <f>H10</f>
        <v>42513</v>
      </c>
      <c r="B48" s="26" t="s">
        <v>68</v>
      </c>
      <c r="C48" s="244">
        <f>F7</f>
        <v>42519</v>
      </c>
      <c r="D48" s="244"/>
      <c r="E48" s="98"/>
      <c r="F48" s="33" t="s">
        <v>73</v>
      </c>
      <c r="J48" s="32"/>
      <c r="L48" s="25"/>
      <c r="M48" s="25"/>
      <c r="N48" s="25"/>
      <c r="O48" s="25"/>
      <c r="P48" s="25"/>
      <c r="Q48" s="76"/>
      <c r="R48" s="77"/>
      <c r="S48" s="77"/>
      <c r="T48" s="78"/>
      <c r="U48" s="79"/>
      <c r="V48" s="80"/>
      <c r="W48" s="80"/>
      <c r="X48" s="81"/>
    </row>
    <row r="49" spans="1:24" ht="14.25" customHeight="1" thickBot="1">
      <c r="A49" s="24" t="s">
        <v>74</v>
      </c>
      <c r="B49" s="25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5"/>
      <c r="Q49" s="82"/>
      <c r="R49" s="83"/>
      <c r="S49" s="83"/>
      <c r="T49" s="84"/>
      <c r="U49" s="85"/>
      <c r="V49" s="86"/>
      <c r="W49" s="86"/>
      <c r="X49" s="87"/>
    </row>
    <row r="50" spans="1:24" ht="18.75" customHeight="1">
      <c r="A50" s="25"/>
      <c r="B50" s="25"/>
      <c r="C50" s="31" t="str">
        <f>A5</f>
        <v>Evankoff LLC</v>
      </c>
      <c r="D50" s="25"/>
      <c r="E50" s="25"/>
      <c r="F50" s="25"/>
      <c r="G50" s="25"/>
      <c r="H50" s="25"/>
      <c r="I50" s="25"/>
      <c r="J50" s="25"/>
      <c r="K50" s="25"/>
      <c r="L50" s="25"/>
      <c r="M50" s="25" t="s">
        <v>69</v>
      </c>
      <c r="N50" s="25"/>
      <c r="O50" s="25"/>
      <c r="P50" s="25"/>
      <c r="Q50" s="107" t="s">
        <v>128</v>
      </c>
      <c r="R50" s="108"/>
      <c r="S50" s="240" t="s">
        <v>97</v>
      </c>
      <c r="T50" s="240"/>
      <c r="U50" s="240"/>
      <c r="V50" s="240"/>
      <c r="W50" s="240"/>
      <c r="X50" s="241"/>
    </row>
    <row r="51" spans="1:24">
      <c r="A51" s="24"/>
      <c r="B51" s="24"/>
      <c r="C51" s="24" t="s">
        <v>65</v>
      </c>
      <c r="D51" s="24"/>
      <c r="E51" s="24"/>
      <c r="F51" s="24"/>
      <c r="G51" s="24"/>
      <c r="H51" s="24"/>
      <c r="I51" s="24"/>
      <c r="J51" s="24"/>
      <c r="K51" s="24"/>
      <c r="L51" s="24"/>
      <c r="M51" s="25"/>
      <c r="N51" s="25"/>
      <c r="O51" s="25"/>
      <c r="P51" s="25"/>
      <c r="Q51" s="109" t="s">
        <v>127</v>
      </c>
      <c r="R51" s="110"/>
      <c r="S51" s="242"/>
      <c r="T51" s="242"/>
      <c r="U51" s="242"/>
      <c r="V51" s="242"/>
      <c r="W51" s="242"/>
      <c r="X51" s="243"/>
    </row>
    <row r="52" spans="1:24" ht="12.75" customHeight="1" thickBot="1">
      <c r="A52" s="25" t="s">
        <v>70</v>
      </c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39"/>
      <c r="R52" s="88"/>
      <c r="S52" s="88"/>
      <c r="T52" s="89"/>
      <c r="U52" s="41"/>
      <c r="V52" s="40"/>
      <c r="W52" s="40"/>
      <c r="X52" s="42"/>
    </row>
    <row r="53" spans="1:24" ht="12.75" customHeight="1">
      <c r="A53" s="25" t="s">
        <v>71</v>
      </c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107" t="s">
        <v>128</v>
      </c>
      <c r="R53" s="108"/>
      <c r="S53" s="240" t="s">
        <v>95</v>
      </c>
      <c r="T53" s="240"/>
      <c r="U53" s="240"/>
      <c r="V53" s="240"/>
      <c r="W53" s="240"/>
      <c r="X53" s="241"/>
    </row>
    <row r="54" spans="1:24" ht="12.75" customHeight="1">
      <c r="A54" s="25" t="s">
        <v>72</v>
      </c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109" t="s">
        <v>127</v>
      </c>
      <c r="R54" s="110"/>
      <c r="S54" s="242"/>
      <c r="T54" s="242"/>
      <c r="U54" s="242"/>
      <c r="V54" s="242"/>
      <c r="W54" s="242"/>
      <c r="X54" s="243"/>
    </row>
    <row r="55" spans="1:24" ht="12.75" customHeight="1" thickBot="1">
      <c r="A55" s="25" t="s">
        <v>0</v>
      </c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53"/>
      <c r="R55" s="54"/>
      <c r="S55" s="54"/>
      <c r="T55" s="54"/>
      <c r="U55" s="55"/>
      <c r="V55" s="10"/>
      <c r="W55" s="10"/>
      <c r="X55" s="56"/>
    </row>
    <row r="56" spans="1:24" ht="18" customHeight="1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48"/>
      <c r="R56" s="49"/>
      <c r="S56" s="49"/>
      <c r="T56" s="49"/>
      <c r="U56" s="50"/>
      <c r="V56" s="51"/>
      <c r="W56" s="51"/>
      <c r="X56" s="52"/>
    </row>
    <row r="57" spans="1:24" ht="18" customHeight="1" thickBot="1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5"/>
      <c r="Q57" s="53"/>
      <c r="R57" s="54"/>
      <c r="S57" s="54"/>
      <c r="T57" s="54"/>
      <c r="U57" s="55"/>
      <c r="V57" s="10"/>
      <c r="W57" s="10"/>
      <c r="X57" s="56"/>
    </row>
    <row r="58" spans="1:24" ht="18" customHeight="1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5"/>
      <c r="Q58" s="48"/>
      <c r="R58" s="49"/>
      <c r="S58" s="49"/>
      <c r="T58" s="49"/>
      <c r="U58" s="50"/>
      <c r="V58" s="51"/>
      <c r="W58" s="51"/>
      <c r="X58" s="52"/>
    </row>
    <row r="59" spans="1:24" ht="21" customHeight="1" thickBot="1">
      <c r="A59" s="24"/>
      <c r="B59" s="28" t="s">
        <v>2</v>
      </c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5"/>
      <c r="Q59" s="53"/>
      <c r="R59" s="54"/>
      <c r="S59" s="54"/>
      <c r="T59" s="54"/>
      <c r="U59" s="55"/>
      <c r="V59" s="10"/>
      <c r="W59" s="10"/>
      <c r="X59" s="56"/>
    </row>
    <row r="60" spans="1:24" ht="12" customHeight="1">
      <c r="A60" s="30" t="s">
        <v>3</v>
      </c>
      <c r="B60" s="30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5"/>
      <c r="Q60" s="48" t="s">
        <v>17</v>
      </c>
      <c r="R60" s="49"/>
      <c r="S60" s="49"/>
      <c r="T60" s="49"/>
      <c r="U60" s="49"/>
      <c r="V60" s="51"/>
      <c r="W60" s="51"/>
      <c r="X60" s="52"/>
    </row>
    <row r="61" spans="1:24" ht="12" customHeight="1">
      <c r="A61" s="27" t="s">
        <v>4</v>
      </c>
      <c r="B61" s="30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5"/>
      <c r="Q61" s="111" t="s">
        <v>96</v>
      </c>
      <c r="R61" s="44"/>
      <c r="S61" s="44"/>
      <c r="T61" s="44"/>
      <c r="U61" s="44"/>
      <c r="V61" s="46"/>
      <c r="W61" s="46"/>
      <c r="X61" s="47"/>
    </row>
    <row r="62" spans="1:24" ht="12" customHeight="1">
      <c r="A62" s="27" t="s">
        <v>5</v>
      </c>
      <c r="B62" s="30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5"/>
      <c r="Q62" s="121"/>
      <c r="R62" s="122"/>
      <c r="S62" s="44"/>
      <c r="T62" s="44"/>
      <c r="U62" s="44"/>
      <c r="V62" s="46"/>
      <c r="W62" s="46"/>
      <c r="X62" s="47"/>
    </row>
    <row r="63" spans="1:24" ht="12" customHeight="1">
      <c r="A63" s="27"/>
      <c r="B63" s="30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5"/>
      <c r="Q63" s="121"/>
      <c r="R63" s="122"/>
      <c r="S63" s="44"/>
      <c r="T63" s="44"/>
      <c r="U63" s="44"/>
      <c r="V63" s="46"/>
      <c r="W63" s="46"/>
      <c r="X63" s="47"/>
    </row>
    <row r="64" spans="1:24" ht="12" customHeight="1">
      <c r="A64" s="29" t="s">
        <v>7</v>
      </c>
      <c r="B64" s="29" t="s">
        <v>6</v>
      </c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121"/>
      <c r="R64" s="122"/>
      <c r="S64" s="44"/>
      <c r="T64" s="44"/>
      <c r="U64" s="44"/>
      <c r="V64" s="46"/>
      <c r="W64" s="46"/>
      <c r="X64" s="47"/>
    </row>
    <row r="65" spans="1:24" ht="12" customHeight="1">
      <c r="A65" s="25" t="s">
        <v>8</v>
      </c>
      <c r="B65" s="29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43"/>
      <c r="R65" s="44"/>
      <c r="S65" s="44"/>
      <c r="T65" s="44"/>
      <c r="U65" s="44"/>
      <c r="V65" s="46"/>
      <c r="W65" s="46"/>
      <c r="X65" s="47"/>
    </row>
    <row r="66" spans="1:24" ht="12" customHeight="1">
      <c r="A66" s="25" t="s">
        <v>9</v>
      </c>
      <c r="B66" s="29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43"/>
      <c r="R66" s="44"/>
      <c r="S66" s="44"/>
      <c r="T66" s="44"/>
      <c r="U66" s="44"/>
      <c r="V66" s="46"/>
      <c r="W66" s="46"/>
      <c r="X66" s="47"/>
    </row>
    <row r="67" spans="1:24" ht="12" customHeight="1" thickBot="1">
      <c r="A67" s="25"/>
      <c r="B67" s="29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53"/>
      <c r="R67" s="54"/>
      <c r="S67" s="54"/>
      <c r="T67" s="54"/>
      <c r="U67" s="54"/>
      <c r="V67" s="10"/>
      <c r="W67" s="10"/>
      <c r="X67" s="56"/>
    </row>
    <row r="68" spans="1:24" ht="12" customHeight="1">
      <c r="A68" s="25"/>
      <c r="B68" s="25" t="s">
        <v>57</v>
      </c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</row>
    <row r="69" spans="1:24" ht="12" customHeight="1">
      <c r="A69" s="25"/>
      <c r="B69" s="25" t="s">
        <v>1</v>
      </c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12" t="s">
        <v>50</v>
      </c>
      <c r="R69" s="22"/>
      <c r="S69" s="22"/>
      <c r="T69" s="67"/>
      <c r="U69" s="57" t="s">
        <v>51</v>
      </c>
      <c r="V69" s="58"/>
      <c r="W69" s="58"/>
      <c r="X69" s="59"/>
    </row>
    <row r="70" spans="1:24" ht="11.25" customHeight="1">
      <c r="A70" s="25"/>
      <c r="B70" s="25" t="s">
        <v>81</v>
      </c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63"/>
      <c r="T70" s="68"/>
      <c r="U70" s="61"/>
      <c r="V70" s="38"/>
      <c r="W70" s="38"/>
      <c r="X70" s="60"/>
    </row>
    <row r="71" spans="1:24" ht="13.5" customHeight="1">
      <c r="A71" s="25"/>
      <c r="B71" s="97" t="s">
        <v>80</v>
      </c>
      <c r="C71" s="29" t="s">
        <v>76</v>
      </c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93" t="str">
        <f>B39</f>
        <v>Eric Coffie</v>
      </c>
      <c r="R71" s="90"/>
      <c r="S71" s="90" t="str">
        <f>H39</f>
        <v>President</v>
      </c>
      <c r="T71" s="68"/>
      <c r="U71" s="61"/>
      <c r="V71" s="38"/>
      <c r="W71" s="38"/>
      <c r="X71" s="60"/>
    </row>
    <row r="72" spans="1:24" ht="10.5" customHeight="1">
      <c r="A72" s="19"/>
      <c r="B72" s="25"/>
      <c r="C72" s="25" t="s">
        <v>77</v>
      </c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19"/>
      <c r="Q72" s="91"/>
      <c r="R72" s="92"/>
      <c r="S72" s="92"/>
      <c r="T72" s="69"/>
      <c r="U72" s="62"/>
      <c r="V72" s="116"/>
      <c r="W72" s="116"/>
      <c r="X72" s="117"/>
    </row>
    <row r="73" spans="1:24" ht="10.5" customHeight="1">
      <c r="A73" s="19"/>
      <c r="B73" s="19"/>
      <c r="C73" s="25" t="s">
        <v>78</v>
      </c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</row>
    <row r="74" spans="1:24" ht="10.5" customHeight="1">
      <c r="B74" s="19"/>
      <c r="C74" s="25" t="s">
        <v>79</v>
      </c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Q74" s="64" t="s">
        <v>86</v>
      </c>
      <c r="R74" s="58"/>
      <c r="S74" s="58"/>
      <c r="T74" s="58"/>
      <c r="U74" s="58"/>
      <c r="V74" s="58"/>
      <c r="W74" s="58"/>
      <c r="X74" s="59"/>
    </row>
    <row r="75" spans="1:24" ht="10.5" customHeight="1">
      <c r="Q75" s="66" t="s">
        <v>87</v>
      </c>
      <c r="R75" s="38"/>
      <c r="S75" s="38"/>
      <c r="T75" s="38"/>
      <c r="U75" s="38"/>
      <c r="V75" s="38"/>
      <c r="W75" s="38"/>
      <c r="X75" s="60"/>
    </row>
    <row r="76" spans="1:24" ht="10.5" customHeight="1">
      <c r="Q76" s="66" t="s">
        <v>88</v>
      </c>
      <c r="R76" s="38"/>
      <c r="S76" s="38"/>
      <c r="T76" s="38"/>
      <c r="U76" s="38"/>
      <c r="V76" s="38"/>
      <c r="W76" s="38"/>
      <c r="X76" s="60"/>
    </row>
    <row r="77" spans="1:24" ht="10.5" customHeight="1">
      <c r="Q77" s="65" t="s">
        <v>89</v>
      </c>
      <c r="R77" s="116"/>
      <c r="S77" s="116"/>
      <c r="T77" s="116"/>
      <c r="U77" s="116"/>
      <c r="V77" s="116"/>
      <c r="W77" s="116"/>
      <c r="X77" s="117"/>
    </row>
  </sheetData>
  <mergeCells count="235">
    <mergeCell ref="S50:X51"/>
    <mergeCell ref="S53:X54"/>
    <mergeCell ref="M35:M36"/>
    <mergeCell ref="N35:N36"/>
    <mergeCell ref="O35:O36"/>
    <mergeCell ref="Q35:Q36"/>
    <mergeCell ref="A36:B36"/>
    <mergeCell ref="C48:D48"/>
    <mergeCell ref="W33:W36"/>
    <mergeCell ref="X33:X36"/>
    <mergeCell ref="A34:B34"/>
    <mergeCell ref="A35:B35"/>
    <mergeCell ref="G35:G36"/>
    <mergeCell ref="H35:H36"/>
    <mergeCell ref="I35:I36"/>
    <mergeCell ref="J35:J36"/>
    <mergeCell ref="K35:K36"/>
    <mergeCell ref="L35:L36"/>
    <mergeCell ref="Q33:Q34"/>
    <mergeCell ref="R33:R36"/>
    <mergeCell ref="S33:S36"/>
    <mergeCell ref="T33:T36"/>
    <mergeCell ref="U33:U36"/>
    <mergeCell ref="V33:V36"/>
    <mergeCell ref="J33:J34"/>
    <mergeCell ref="K33:K34"/>
    <mergeCell ref="L33:L34"/>
    <mergeCell ref="M33:M34"/>
    <mergeCell ref="N33:N34"/>
    <mergeCell ref="O33:O34"/>
    <mergeCell ref="A33:B33"/>
    <mergeCell ref="C33:C36"/>
    <mergeCell ref="D33:F36"/>
    <mergeCell ref="G33:G34"/>
    <mergeCell ref="H33:H34"/>
    <mergeCell ref="I33:I34"/>
    <mergeCell ref="L31:L32"/>
    <mergeCell ref="M31:M32"/>
    <mergeCell ref="N31:N32"/>
    <mergeCell ref="O31:O32"/>
    <mergeCell ref="Q31:Q32"/>
    <mergeCell ref="A32:B32"/>
    <mergeCell ref="V29:V32"/>
    <mergeCell ref="W29:W32"/>
    <mergeCell ref="X29:X32"/>
    <mergeCell ref="A30:B30"/>
    <mergeCell ref="A31:B31"/>
    <mergeCell ref="G31:G32"/>
    <mergeCell ref="H31:H32"/>
    <mergeCell ref="I31:I32"/>
    <mergeCell ref="J31:J32"/>
    <mergeCell ref="K31:K32"/>
    <mergeCell ref="O29:O30"/>
    <mergeCell ref="Q29:Q30"/>
    <mergeCell ref="R29:R32"/>
    <mergeCell ref="S29:S32"/>
    <mergeCell ref="T29:T32"/>
    <mergeCell ref="U29:U32"/>
    <mergeCell ref="I29:I30"/>
    <mergeCell ref="J29:J30"/>
    <mergeCell ref="K29:K30"/>
    <mergeCell ref="L29:L30"/>
    <mergeCell ref="M29:M30"/>
    <mergeCell ref="N29:N30"/>
    <mergeCell ref="M27:M28"/>
    <mergeCell ref="N27:N28"/>
    <mergeCell ref="O27:O28"/>
    <mergeCell ref="Q27:Q28"/>
    <mergeCell ref="A28:B28"/>
    <mergeCell ref="A29:B29"/>
    <mergeCell ref="C29:C32"/>
    <mergeCell ref="D29:F32"/>
    <mergeCell ref="G29:G30"/>
    <mergeCell ref="H29:H30"/>
    <mergeCell ref="W25:W28"/>
    <mergeCell ref="X25:X28"/>
    <mergeCell ref="A26:B26"/>
    <mergeCell ref="A27:B27"/>
    <mergeCell ref="G27:G28"/>
    <mergeCell ref="H27:H28"/>
    <mergeCell ref="I27:I28"/>
    <mergeCell ref="J27:J28"/>
    <mergeCell ref="K27:K28"/>
    <mergeCell ref="L27:L28"/>
    <mergeCell ref="Q25:Q26"/>
    <mergeCell ref="R25:R28"/>
    <mergeCell ref="S25:S28"/>
    <mergeCell ref="T25:T28"/>
    <mergeCell ref="U25:U28"/>
    <mergeCell ref="V25:V28"/>
    <mergeCell ref="J25:J26"/>
    <mergeCell ref="K25:K26"/>
    <mergeCell ref="L25:L26"/>
    <mergeCell ref="M25:M26"/>
    <mergeCell ref="N25:N26"/>
    <mergeCell ref="O25:O26"/>
    <mergeCell ref="A25:B25"/>
    <mergeCell ref="C25:C28"/>
    <mergeCell ref="D25:F28"/>
    <mergeCell ref="G25:G26"/>
    <mergeCell ref="H25:H26"/>
    <mergeCell ref="I25:I26"/>
    <mergeCell ref="L23:L24"/>
    <mergeCell ref="M23:M24"/>
    <mergeCell ref="N23:N24"/>
    <mergeCell ref="O23:O24"/>
    <mergeCell ref="Q23:Q24"/>
    <mergeCell ref="A24:B24"/>
    <mergeCell ref="V21:V24"/>
    <mergeCell ref="W21:W24"/>
    <mergeCell ref="X21:X24"/>
    <mergeCell ref="A22:B22"/>
    <mergeCell ref="A23:B23"/>
    <mergeCell ref="G23:G24"/>
    <mergeCell ref="H23:H24"/>
    <mergeCell ref="I23:I24"/>
    <mergeCell ref="J23:J24"/>
    <mergeCell ref="K23:K24"/>
    <mergeCell ref="O21:O22"/>
    <mergeCell ref="Q21:Q22"/>
    <mergeCell ref="R21:R24"/>
    <mergeCell ref="S21:S24"/>
    <mergeCell ref="T21:T24"/>
    <mergeCell ref="U21:U24"/>
    <mergeCell ref="I21:I22"/>
    <mergeCell ref="J21:J22"/>
    <mergeCell ref="K21:K22"/>
    <mergeCell ref="L21:L22"/>
    <mergeCell ref="M21:M22"/>
    <mergeCell ref="N21:N22"/>
    <mergeCell ref="M19:M20"/>
    <mergeCell ref="N19:N20"/>
    <mergeCell ref="O19:O20"/>
    <mergeCell ref="Q19:Q20"/>
    <mergeCell ref="A20:B20"/>
    <mergeCell ref="A21:B21"/>
    <mergeCell ref="C21:C24"/>
    <mergeCell ref="D21:F24"/>
    <mergeCell ref="G21:G22"/>
    <mergeCell ref="H21:H22"/>
    <mergeCell ref="W17:W20"/>
    <mergeCell ref="X17:X20"/>
    <mergeCell ref="A18:B18"/>
    <mergeCell ref="A19:B19"/>
    <mergeCell ref="G19:G20"/>
    <mergeCell ref="H19:H20"/>
    <mergeCell ref="I19:I20"/>
    <mergeCell ref="J19:J20"/>
    <mergeCell ref="K19:K20"/>
    <mergeCell ref="L19:L20"/>
    <mergeCell ref="Q17:Q18"/>
    <mergeCell ref="R17:R20"/>
    <mergeCell ref="S17:S20"/>
    <mergeCell ref="T17:T20"/>
    <mergeCell ref="U17:U20"/>
    <mergeCell ref="V17:V20"/>
    <mergeCell ref="J17:J18"/>
    <mergeCell ref="K17:K18"/>
    <mergeCell ref="L17:L18"/>
    <mergeCell ref="M17:M18"/>
    <mergeCell ref="N17:N18"/>
    <mergeCell ref="O17:O18"/>
    <mergeCell ref="N15:N16"/>
    <mergeCell ref="O15:O16"/>
    <mergeCell ref="Q15:Q16"/>
    <mergeCell ref="A16:B16"/>
    <mergeCell ref="A17:B17"/>
    <mergeCell ref="C17:C20"/>
    <mergeCell ref="D17:F20"/>
    <mergeCell ref="G17:G18"/>
    <mergeCell ref="H17:H18"/>
    <mergeCell ref="I17:I18"/>
    <mergeCell ref="X13:X16"/>
    <mergeCell ref="A14:B14"/>
    <mergeCell ref="A15:B15"/>
    <mergeCell ref="G15:G16"/>
    <mergeCell ref="H15:H16"/>
    <mergeCell ref="I15:I16"/>
    <mergeCell ref="J15:J16"/>
    <mergeCell ref="K15:K16"/>
    <mergeCell ref="L15:L16"/>
    <mergeCell ref="M15:M16"/>
    <mergeCell ref="R13:R16"/>
    <mergeCell ref="S13:S16"/>
    <mergeCell ref="T13:T16"/>
    <mergeCell ref="U13:U16"/>
    <mergeCell ref="V13:V16"/>
    <mergeCell ref="W13:W16"/>
    <mergeCell ref="K13:K14"/>
    <mergeCell ref="L13:L14"/>
    <mergeCell ref="M13:M14"/>
    <mergeCell ref="N13:N14"/>
    <mergeCell ref="O13:O14"/>
    <mergeCell ref="Q13:Q14"/>
    <mergeCell ref="V10:V12"/>
    <mergeCell ref="W10:W12"/>
    <mergeCell ref="H12:N12"/>
    <mergeCell ref="A13:B13"/>
    <mergeCell ref="C13:C16"/>
    <mergeCell ref="D13:F16"/>
    <mergeCell ref="G13:G14"/>
    <mergeCell ref="H13:H14"/>
    <mergeCell ref="I13:I14"/>
    <mergeCell ref="J13:J14"/>
    <mergeCell ref="P10:P12"/>
    <mergeCell ref="Q10:Q12"/>
    <mergeCell ref="R10:R12"/>
    <mergeCell ref="S10:S12"/>
    <mergeCell ref="T10:T12"/>
    <mergeCell ref="U10:U12"/>
    <mergeCell ref="A8:B8"/>
    <mergeCell ref="D8:F8"/>
    <mergeCell ref="G8:G12"/>
    <mergeCell ref="H8:N8"/>
    <mergeCell ref="R8:W9"/>
    <mergeCell ref="X8:X12"/>
    <mergeCell ref="A9:B12"/>
    <mergeCell ref="C9:C12"/>
    <mergeCell ref="D9:F12"/>
    <mergeCell ref="O10:O12"/>
    <mergeCell ref="W4:X5"/>
    <mergeCell ref="A5:N5"/>
    <mergeCell ref="O5:V5"/>
    <mergeCell ref="A6:D6"/>
    <mergeCell ref="F6:N6"/>
    <mergeCell ref="A7:D7"/>
    <mergeCell ref="F7:N7"/>
    <mergeCell ref="O7:S7"/>
    <mergeCell ref="T7:X7"/>
    <mergeCell ref="A1:D3"/>
    <mergeCell ref="F1:U3"/>
    <mergeCell ref="A4:C4"/>
    <mergeCell ref="D4:G4"/>
    <mergeCell ref="H4:N4"/>
    <mergeCell ref="O4:V4"/>
  </mergeCells>
  <phoneticPr fontId="11" type="noConversion"/>
  <pageMargins left="0.7" right="0.7" top="0.75" bottom="0.75" header="0.3" footer="0.3"/>
  <pageSetup scale="77" orientation="landscape" horizontalDpi="4294967292" verticalDpi="4294967292"/>
  <rowBreaks count="1" manualBreakCount="1">
    <brk id="36" max="16383" man="1"/>
  </rowBreaks>
  <colBreaks count="1" manualBreakCount="1">
    <brk id="24" max="1048575" man="1"/>
  </colBreaks>
  <drawing r:id="rId1"/>
  <extLst>
    <ext xmlns:mx="http://schemas.microsoft.com/office/mac/excel/2008/main" uri="{64002731-A6B0-56B0-2670-7721B7C09600}">
      <mx:PLV Mode="1" OnePage="0" WScale="77"/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" x14ac:dyDescent="0"/>
  <sheetData/>
  <phoneticPr fontId="11" type="noConversion"/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South Dade Air</dc:creator>
  <cp:lastModifiedBy>Eric Coffie</cp:lastModifiedBy>
  <cp:lastPrinted>2016-05-24T21:04:08Z</cp:lastPrinted>
  <dcterms:created xsi:type="dcterms:W3CDTF">2009-12-08T13:57:21Z</dcterms:created>
  <dcterms:modified xsi:type="dcterms:W3CDTF">2016-05-24T21:04:11Z</dcterms:modified>
</cp:coreProperties>
</file>