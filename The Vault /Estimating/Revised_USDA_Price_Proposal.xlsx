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ria/Desktop/MJ Global/USDA/"/>
    </mc:Choice>
  </mc:AlternateContent>
  <xr:revisionPtr revIDLastSave="0" documentId="13_ncr:1_{24AAB535-9F8B-A046-A40E-5F0368A7F7AA}" xr6:coauthVersionLast="45" xr6:coauthVersionMax="45" xr10:uidLastSave="{00000000-0000-0000-0000-000000000000}"/>
  <bookViews>
    <workbookView xWindow="120" yWindow="460" windowWidth="18520" windowHeight="16060" tabRatio="706" activeTab="2" xr2:uid="{00000000-000D-0000-FFFF-FFFF00000000}"/>
  </bookViews>
  <sheets>
    <sheet name="Item 1" sheetId="25" r:id="rId1"/>
    <sheet name="Item 2" sheetId="28" r:id="rId2"/>
    <sheet name="Item 3" sheetId="29" r:id="rId3"/>
    <sheet name="Impact Doors" sheetId="20" state="hidden" r:id="rId4"/>
    <sheet name="Glass Partition Frosted" sheetId="23" state="hidden" r:id="rId5"/>
  </sheets>
  <definedNames>
    <definedName name="check" localSheetId="4">'Glass Partition Frosted'!#REF!</definedName>
    <definedName name="check" localSheetId="3">'Impact Doors'!#REF!</definedName>
    <definedName name="check" localSheetId="0">'Item 1'!#REF!</definedName>
    <definedName name="check" localSheetId="1">'Item 2'!#REF!</definedName>
    <definedName name="check" localSheetId="2">'Item 3'!#REF!</definedName>
    <definedName name="chec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0" i="28" l="1"/>
  <c r="D99" i="28"/>
  <c r="D98" i="28"/>
  <c r="D50" i="28"/>
  <c r="D49" i="28"/>
  <c r="D112" i="29" l="1"/>
  <c r="Z96" i="29"/>
  <c r="X96" i="29"/>
  <c r="V96" i="29"/>
  <c r="T96" i="29"/>
  <c r="R96" i="29"/>
  <c r="P96" i="29"/>
  <c r="N96" i="29"/>
  <c r="L96" i="29"/>
  <c r="J96" i="29"/>
  <c r="H96" i="29"/>
  <c r="F96" i="29"/>
  <c r="D96" i="29"/>
  <c r="Z95" i="29"/>
  <c r="X95" i="29"/>
  <c r="V95" i="29"/>
  <c r="T95" i="29"/>
  <c r="R95" i="29"/>
  <c r="P95" i="29"/>
  <c r="N95" i="29"/>
  <c r="L95" i="29"/>
  <c r="J95" i="29"/>
  <c r="H95" i="29"/>
  <c r="F95" i="29"/>
  <c r="D95" i="29"/>
  <c r="Z94" i="29"/>
  <c r="X94" i="29"/>
  <c r="V94" i="29"/>
  <c r="T94" i="29"/>
  <c r="R94" i="29"/>
  <c r="P94" i="29"/>
  <c r="N94" i="29"/>
  <c r="L94" i="29"/>
  <c r="J94" i="29"/>
  <c r="H94" i="29"/>
  <c r="F94" i="29"/>
  <c r="D94" i="29"/>
  <c r="Z93" i="29"/>
  <c r="X93" i="29"/>
  <c r="V93" i="29"/>
  <c r="T93" i="29"/>
  <c r="R93" i="29"/>
  <c r="P93" i="29"/>
  <c r="N93" i="29"/>
  <c r="L93" i="29"/>
  <c r="J93" i="29"/>
  <c r="H93" i="29"/>
  <c r="F93" i="29"/>
  <c r="D93" i="29"/>
  <c r="Z92" i="29"/>
  <c r="X92" i="29"/>
  <c r="V92" i="29"/>
  <c r="T92" i="29"/>
  <c r="R92" i="29"/>
  <c r="P92" i="29"/>
  <c r="N92" i="29"/>
  <c r="L92" i="29"/>
  <c r="J92" i="29"/>
  <c r="H92" i="29"/>
  <c r="F92" i="29"/>
  <c r="D92" i="29"/>
  <c r="Z91" i="29"/>
  <c r="X91" i="29"/>
  <c r="V91" i="29"/>
  <c r="T91" i="29"/>
  <c r="R91" i="29"/>
  <c r="P91" i="29"/>
  <c r="N91" i="29"/>
  <c r="L91" i="29"/>
  <c r="J91" i="29"/>
  <c r="H91" i="29"/>
  <c r="F91" i="29"/>
  <c r="D91" i="29"/>
  <c r="Z90" i="29"/>
  <c r="X90" i="29"/>
  <c r="V90" i="29"/>
  <c r="T90" i="29"/>
  <c r="R90" i="29"/>
  <c r="P90" i="29"/>
  <c r="N90" i="29"/>
  <c r="L90" i="29"/>
  <c r="J90" i="29"/>
  <c r="H90" i="29"/>
  <c r="F90" i="29"/>
  <c r="D90" i="29"/>
  <c r="Z89" i="29"/>
  <c r="X89" i="29"/>
  <c r="V89" i="29"/>
  <c r="T89" i="29"/>
  <c r="R89" i="29"/>
  <c r="P89" i="29"/>
  <c r="N89" i="29"/>
  <c r="L89" i="29"/>
  <c r="J89" i="29"/>
  <c r="H89" i="29"/>
  <c r="F89" i="29"/>
  <c r="D89" i="29"/>
  <c r="Z88" i="29"/>
  <c r="X88" i="29"/>
  <c r="V88" i="29"/>
  <c r="T88" i="29"/>
  <c r="R88" i="29"/>
  <c r="P88" i="29"/>
  <c r="N88" i="29"/>
  <c r="L88" i="29"/>
  <c r="J88" i="29"/>
  <c r="H88" i="29"/>
  <c r="F88" i="29"/>
  <c r="D88" i="29"/>
  <c r="Z87" i="29"/>
  <c r="X87" i="29"/>
  <c r="V87" i="29"/>
  <c r="T87" i="29"/>
  <c r="R87" i="29"/>
  <c r="P87" i="29"/>
  <c r="N87" i="29"/>
  <c r="L87" i="29"/>
  <c r="J87" i="29"/>
  <c r="H87" i="29"/>
  <c r="F87" i="29"/>
  <c r="D87" i="29"/>
  <c r="Z86" i="29"/>
  <c r="X86" i="29"/>
  <c r="V86" i="29"/>
  <c r="T86" i="29"/>
  <c r="R86" i="29"/>
  <c r="P86" i="29"/>
  <c r="N86" i="29"/>
  <c r="L86" i="29"/>
  <c r="J86" i="29"/>
  <c r="H86" i="29"/>
  <c r="F86" i="29"/>
  <c r="D86" i="29"/>
  <c r="Z85" i="29"/>
  <c r="X85" i="29"/>
  <c r="V85" i="29"/>
  <c r="T85" i="29"/>
  <c r="R85" i="29"/>
  <c r="P85" i="29"/>
  <c r="N85" i="29"/>
  <c r="L85" i="29"/>
  <c r="J85" i="29"/>
  <c r="H85" i="29"/>
  <c r="F85" i="29"/>
  <c r="D85" i="29"/>
  <c r="Z84" i="29"/>
  <c r="X84" i="29"/>
  <c r="V84" i="29"/>
  <c r="T84" i="29"/>
  <c r="R84" i="29"/>
  <c r="P84" i="29"/>
  <c r="N84" i="29"/>
  <c r="L84" i="29"/>
  <c r="J84" i="29"/>
  <c r="H84" i="29"/>
  <c r="F84" i="29"/>
  <c r="D84" i="29"/>
  <c r="Z83" i="29"/>
  <c r="X83" i="29"/>
  <c r="V83" i="29"/>
  <c r="T83" i="29"/>
  <c r="R83" i="29"/>
  <c r="P83" i="29"/>
  <c r="N83" i="29"/>
  <c r="L83" i="29"/>
  <c r="J83" i="29"/>
  <c r="H83" i="29"/>
  <c r="F83" i="29"/>
  <c r="D83" i="29"/>
  <c r="Z82" i="29"/>
  <c r="X82" i="29"/>
  <c r="V82" i="29"/>
  <c r="T82" i="29"/>
  <c r="R82" i="29"/>
  <c r="P82" i="29"/>
  <c r="N82" i="29"/>
  <c r="L82" i="29"/>
  <c r="J82" i="29"/>
  <c r="H82" i="29"/>
  <c r="F82" i="29"/>
  <c r="D82" i="29"/>
  <c r="Z81" i="29"/>
  <c r="X81" i="29"/>
  <c r="V81" i="29"/>
  <c r="T81" i="29"/>
  <c r="R81" i="29"/>
  <c r="P81" i="29"/>
  <c r="N81" i="29"/>
  <c r="L81" i="29"/>
  <c r="J81" i="29"/>
  <c r="H81" i="29"/>
  <c r="F81" i="29"/>
  <c r="D81" i="29"/>
  <c r="Z80" i="29"/>
  <c r="X80" i="29"/>
  <c r="V80" i="29"/>
  <c r="T80" i="29"/>
  <c r="R80" i="29"/>
  <c r="P80" i="29"/>
  <c r="N80" i="29"/>
  <c r="L80" i="29"/>
  <c r="J80" i="29"/>
  <c r="H80" i="29"/>
  <c r="F80" i="29"/>
  <c r="D80" i="29"/>
  <c r="Z79" i="29"/>
  <c r="X79" i="29"/>
  <c r="V79" i="29"/>
  <c r="T79" i="29"/>
  <c r="R79" i="29"/>
  <c r="P79" i="29"/>
  <c r="N79" i="29"/>
  <c r="L79" i="29"/>
  <c r="J79" i="29"/>
  <c r="H79" i="29"/>
  <c r="F79" i="29"/>
  <c r="D79" i="29"/>
  <c r="Z78" i="29"/>
  <c r="X78" i="29"/>
  <c r="V78" i="29"/>
  <c r="T78" i="29"/>
  <c r="R78" i="29"/>
  <c r="P78" i="29"/>
  <c r="N78" i="29"/>
  <c r="L78" i="29"/>
  <c r="J78" i="29"/>
  <c r="H78" i="29"/>
  <c r="F78" i="29"/>
  <c r="D78" i="29"/>
  <c r="Z77" i="29"/>
  <c r="X77" i="29"/>
  <c r="V77" i="29"/>
  <c r="T77" i="29"/>
  <c r="R77" i="29"/>
  <c r="P77" i="29"/>
  <c r="N77" i="29"/>
  <c r="L77" i="29"/>
  <c r="J77" i="29"/>
  <c r="H77" i="29"/>
  <c r="F77" i="29"/>
  <c r="D77" i="29"/>
  <c r="Z76" i="29"/>
  <c r="X76" i="29"/>
  <c r="V76" i="29"/>
  <c r="T76" i="29"/>
  <c r="R76" i="29"/>
  <c r="P76" i="29"/>
  <c r="N76" i="29"/>
  <c r="L76" i="29"/>
  <c r="J76" i="29"/>
  <c r="H76" i="29"/>
  <c r="F76" i="29"/>
  <c r="D76" i="29"/>
  <c r="Z75" i="29"/>
  <c r="X75" i="29"/>
  <c r="V75" i="29"/>
  <c r="T75" i="29"/>
  <c r="R75" i="29"/>
  <c r="P75" i="29"/>
  <c r="N75" i="29"/>
  <c r="L75" i="29"/>
  <c r="J75" i="29"/>
  <c r="H75" i="29"/>
  <c r="F75" i="29"/>
  <c r="D75" i="29"/>
  <c r="Z74" i="29"/>
  <c r="X74" i="29"/>
  <c r="V74" i="29"/>
  <c r="T74" i="29"/>
  <c r="R74" i="29"/>
  <c r="P74" i="29"/>
  <c r="N74" i="29"/>
  <c r="L74" i="29"/>
  <c r="J74" i="29"/>
  <c r="H74" i="29"/>
  <c r="F74" i="29"/>
  <c r="D74" i="29"/>
  <c r="Z73" i="29"/>
  <c r="X73" i="29"/>
  <c r="V73" i="29"/>
  <c r="T73" i="29"/>
  <c r="R73" i="29"/>
  <c r="P73" i="29"/>
  <c r="N73" i="29"/>
  <c r="L73" i="29"/>
  <c r="J73" i="29"/>
  <c r="H73" i="29"/>
  <c r="F73" i="29"/>
  <c r="D73" i="29"/>
  <c r="Z72" i="29"/>
  <c r="X72" i="29"/>
  <c r="V72" i="29"/>
  <c r="T72" i="29"/>
  <c r="R72" i="29"/>
  <c r="P72" i="29"/>
  <c r="N72" i="29"/>
  <c r="L72" i="29"/>
  <c r="J72" i="29"/>
  <c r="H72" i="29"/>
  <c r="F72" i="29"/>
  <c r="D72" i="29"/>
  <c r="Z71" i="29"/>
  <c r="X71" i="29"/>
  <c r="V71" i="29"/>
  <c r="T71" i="29"/>
  <c r="R71" i="29"/>
  <c r="P71" i="29"/>
  <c r="N71" i="29"/>
  <c r="L71" i="29"/>
  <c r="J71" i="29"/>
  <c r="H71" i="29"/>
  <c r="F71" i="29"/>
  <c r="D71" i="29"/>
  <c r="Z70" i="29"/>
  <c r="X70" i="29"/>
  <c r="V70" i="29"/>
  <c r="T70" i="29"/>
  <c r="R70" i="29"/>
  <c r="P70" i="29"/>
  <c r="N70" i="29"/>
  <c r="L70" i="29"/>
  <c r="J70" i="29"/>
  <c r="H70" i="29"/>
  <c r="F70" i="29"/>
  <c r="D70" i="29"/>
  <c r="Z69" i="29"/>
  <c r="X69" i="29"/>
  <c r="V69" i="29"/>
  <c r="T69" i="29"/>
  <c r="R69" i="29"/>
  <c r="P69" i="29"/>
  <c r="N69" i="29"/>
  <c r="L69" i="29"/>
  <c r="J69" i="29"/>
  <c r="H69" i="29"/>
  <c r="F69" i="29"/>
  <c r="D69" i="29"/>
  <c r="Z68" i="29"/>
  <c r="X68" i="29"/>
  <c r="V68" i="29"/>
  <c r="T68" i="29"/>
  <c r="R68" i="29"/>
  <c r="P68" i="29"/>
  <c r="N68" i="29"/>
  <c r="L68" i="29"/>
  <c r="J68" i="29"/>
  <c r="H68" i="29"/>
  <c r="F68" i="29"/>
  <c r="D68" i="29"/>
  <c r="Z67" i="29"/>
  <c r="X67" i="29"/>
  <c r="V67" i="29"/>
  <c r="T67" i="29"/>
  <c r="R67" i="29"/>
  <c r="P67" i="29"/>
  <c r="N67" i="29"/>
  <c r="L67" i="29"/>
  <c r="J67" i="29"/>
  <c r="H67" i="29"/>
  <c r="F67" i="29"/>
  <c r="D67" i="29"/>
  <c r="Z66" i="29"/>
  <c r="X66" i="29"/>
  <c r="V66" i="29"/>
  <c r="T66" i="29"/>
  <c r="R66" i="29"/>
  <c r="P66" i="29"/>
  <c r="N66" i="29"/>
  <c r="L66" i="29"/>
  <c r="J66" i="29"/>
  <c r="H66" i="29"/>
  <c r="F66" i="29"/>
  <c r="Z65" i="29"/>
  <c r="X65" i="29"/>
  <c r="V65" i="29"/>
  <c r="T65" i="29"/>
  <c r="R65" i="29"/>
  <c r="P65" i="29"/>
  <c r="N65" i="29"/>
  <c r="L65" i="29"/>
  <c r="J65" i="29"/>
  <c r="H65" i="29"/>
  <c r="F65" i="29"/>
  <c r="D65" i="29"/>
  <c r="Z64" i="29"/>
  <c r="X64" i="29"/>
  <c r="V64" i="29"/>
  <c r="T64" i="29"/>
  <c r="R64" i="29"/>
  <c r="P64" i="29"/>
  <c r="N64" i="29"/>
  <c r="L64" i="29"/>
  <c r="J64" i="29"/>
  <c r="H64" i="29"/>
  <c r="F64" i="29"/>
  <c r="D64" i="29"/>
  <c r="Z63" i="29"/>
  <c r="X63" i="29"/>
  <c r="V63" i="29"/>
  <c r="T63" i="29"/>
  <c r="R63" i="29"/>
  <c r="P63" i="29"/>
  <c r="N63" i="29"/>
  <c r="L63" i="29"/>
  <c r="J63" i="29"/>
  <c r="H63" i="29"/>
  <c r="F63" i="29"/>
  <c r="D63" i="29"/>
  <c r="Z62" i="29"/>
  <c r="X62" i="29"/>
  <c r="V62" i="29"/>
  <c r="T62" i="29"/>
  <c r="R62" i="29"/>
  <c r="P62" i="29"/>
  <c r="N62" i="29"/>
  <c r="L62" i="29"/>
  <c r="J62" i="29"/>
  <c r="H62" i="29"/>
  <c r="F62" i="29"/>
  <c r="D62" i="29"/>
  <c r="Z61" i="29"/>
  <c r="X61" i="29"/>
  <c r="V61" i="29"/>
  <c r="T61" i="29"/>
  <c r="R61" i="29"/>
  <c r="P61" i="29"/>
  <c r="N61" i="29"/>
  <c r="L61" i="29"/>
  <c r="J61" i="29"/>
  <c r="H61" i="29"/>
  <c r="F61" i="29"/>
  <c r="D61" i="29"/>
  <c r="Z60" i="29"/>
  <c r="X60" i="29"/>
  <c r="V60" i="29"/>
  <c r="T60" i="29"/>
  <c r="R60" i="29"/>
  <c r="P60" i="29"/>
  <c r="N60" i="29"/>
  <c r="L60" i="29"/>
  <c r="J60" i="29"/>
  <c r="H60" i="29"/>
  <c r="F60" i="29"/>
  <c r="D60" i="29"/>
  <c r="Z59" i="29"/>
  <c r="X59" i="29"/>
  <c r="V59" i="29"/>
  <c r="T59" i="29"/>
  <c r="R59" i="29"/>
  <c r="P59" i="29"/>
  <c r="N59" i="29"/>
  <c r="L59" i="29"/>
  <c r="J59" i="29"/>
  <c r="H59" i="29"/>
  <c r="F59" i="29"/>
  <c r="D59" i="29"/>
  <c r="Z58" i="29"/>
  <c r="X58" i="29"/>
  <c r="V58" i="29"/>
  <c r="T58" i="29"/>
  <c r="R58" i="29"/>
  <c r="P58" i="29"/>
  <c r="N58" i="29"/>
  <c r="L58" i="29"/>
  <c r="J58" i="29"/>
  <c r="H58" i="29"/>
  <c r="F58" i="29"/>
  <c r="D58" i="29"/>
  <c r="Z57" i="29"/>
  <c r="X57" i="29"/>
  <c r="V57" i="29"/>
  <c r="T57" i="29"/>
  <c r="R57" i="29"/>
  <c r="P57" i="29"/>
  <c r="N57" i="29"/>
  <c r="L57" i="29"/>
  <c r="J57" i="29"/>
  <c r="H57" i="29"/>
  <c r="F57" i="29"/>
  <c r="D57" i="29"/>
  <c r="Z56" i="29"/>
  <c r="X56" i="29"/>
  <c r="V56" i="29"/>
  <c r="T56" i="29"/>
  <c r="R56" i="29"/>
  <c r="P56" i="29"/>
  <c r="N56" i="29"/>
  <c r="L56" i="29"/>
  <c r="J56" i="29"/>
  <c r="H56" i="29"/>
  <c r="F56" i="29"/>
  <c r="D56" i="29"/>
  <c r="Z55" i="29"/>
  <c r="X55" i="29"/>
  <c r="V55" i="29"/>
  <c r="T55" i="29"/>
  <c r="R55" i="29"/>
  <c r="P55" i="29"/>
  <c r="N55" i="29"/>
  <c r="L55" i="29"/>
  <c r="J55" i="29"/>
  <c r="H55" i="29"/>
  <c r="F55" i="29"/>
  <c r="D55" i="29"/>
  <c r="Z54" i="29"/>
  <c r="X54" i="29"/>
  <c r="V54" i="29"/>
  <c r="T54" i="29"/>
  <c r="R54" i="29"/>
  <c r="P54" i="29"/>
  <c r="N54" i="29"/>
  <c r="L54" i="29"/>
  <c r="J54" i="29"/>
  <c r="H54" i="29"/>
  <c r="F54" i="29"/>
  <c r="D54" i="29"/>
  <c r="Z53" i="29"/>
  <c r="X53" i="29"/>
  <c r="V53" i="29"/>
  <c r="T53" i="29"/>
  <c r="R53" i="29"/>
  <c r="P53" i="29"/>
  <c r="N53" i="29"/>
  <c r="L53" i="29"/>
  <c r="J53" i="29"/>
  <c r="H53" i="29"/>
  <c r="F53" i="29"/>
  <c r="D53" i="29"/>
  <c r="Z52" i="29"/>
  <c r="X52" i="29"/>
  <c r="V52" i="29"/>
  <c r="T52" i="29"/>
  <c r="R52" i="29"/>
  <c r="P52" i="29"/>
  <c r="N52" i="29"/>
  <c r="L52" i="29"/>
  <c r="J52" i="29"/>
  <c r="H52" i="29"/>
  <c r="F52" i="29"/>
  <c r="D52" i="29"/>
  <c r="Z51" i="29"/>
  <c r="X51" i="29"/>
  <c r="V51" i="29"/>
  <c r="T51" i="29"/>
  <c r="R51" i="29"/>
  <c r="P51" i="29"/>
  <c r="N51" i="29"/>
  <c r="L51" i="29"/>
  <c r="J51" i="29"/>
  <c r="H51" i="29"/>
  <c r="F51" i="29"/>
  <c r="D51" i="29"/>
  <c r="Z50" i="29"/>
  <c r="X50" i="29"/>
  <c r="V50" i="29"/>
  <c r="T50" i="29"/>
  <c r="R50" i="29"/>
  <c r="P50" i="29"/>
  <c r="N50" i="29"/>
  <c r="L50" i="29"/>
  <c r="J50" i="29"/>
  <c r="H50" i="29"/>
  <c r="F50" i="29"/>
  <c r="D50" i="29"/>
  <c r="Z49" i="29"/>
  <c r="X49" i="29"/>
  <c r="V49" i="29"/>
  <c r="T49" i="29"/>
  <c r="R49" i="29"/>
  <c r="P49" i="29"/>
  <c r="N49" i="29"/>
  <c r="L49" i="29"/>
  <c r="J49" i="29"/>
  <c r="H49" i="29"/>
  <c r="F49" i="29"/>
  <c r="D49" i="29"/>
  <c r="Z48" i="29"/>
  <c r="X48" i="29"/>
  <c r="V48" i="29"/>
  <c r="T48" i="29"/>
  <c r="R48" i="29"/>
  <c r="P48" i="29"/>
  <c r="N48" i="29"/>
  <c r="L48" i="29"/>
  <c r="J48" i="29"/>
  <c r="H48" i="29"/>
  <c r="F48" i="29"/>
  <c r="D48" i="29"/>
  <c r="Z47" i="29"/>
  <c r="X47" i="29"/>
  <c r="V47" i="29"/>
  <c r="T47" i="29"/>
  <c r="R47" i="29"/>
  <c r="P47" i="29"/>
  <c r="N47" i="29"/>
  <c r="L47" i="29"/>
  <c r="J47" i="29"/>
  <c r="H47" i="29"/>
  <c r="F47" i="29"/>
  <c r="D47" i="29"/>
  <c r="Z46" i="29"/>
  <c r="X46" i="29"/>
  <c r="V46" i="29"/>
  <c r="T46" i="29"/>
  <c r="R46" i="29"/>
  <c r="P46" i="29"/>
  <c r="N46" i="29"/>
  <c r="L46" i="29"/>
  <c r="J46" i="29"/>
  <c r="H46" i="29"/>
  <c r="F46" i="29"/>
  <c r="D46" i="29"/>
  <c r="Z45" i="29"/>
  <c r="X45" i="29"/>
  <c r="V45" i="29"/>
  <c r="T45" i="29"/>
  <c r="R45" i="29"/>
  <c r="P45" i="29"/>
  <c r="N45" i="29"/>
  <c r="L45" i="29"/>
  <c r="J45" i="29"/>
  <c r="H45" i="29"/>
  <c r="F45" i="29"/>
  <c r="D45" i="29"/>
  <c r="V43" i="29"/>
  <c r="T43" i="29"/>
  <c r="Z43" i="29" s="1"/>
  <c r="R43" i="29"/>
  <c r="X43" i="29" s="1"/>
  <c r="P43" i="29"/>
  <c r="N43" i="29"/>
  <c r="L43" i="29"/>
  <c r="J43" i="29"/>
  <c r="H43" i="29"/>
  <c r="F43" i="29"/>
  <c r="D43" i="29"/>
  <c r="Z41" i="29"/>
  <c r="X41" i="29"/>
  <c r="V41" i="29"/>
  <c r="T41" i="29"/>
  <c r="R41" i="29"/>
  <c r="P41" i="29"/>
  <c r="N41" i="29"/>
  <c r="L41" i="29"/>
  <c r="J41" i="29"/>
  <c r="H41" i="29"/>
  <c r="F41" i="29"/>
  <c r="D41" i="29"/>
  <c r="Z40" i="29"/>
  <c r="X40" i="29"/>
  <c r="V40" i="29"/>
  <c r="T40" i="29"/>
  <c r="R40" i="29"/>
  <c r="P40" i="29"/>
  <c r="N40" i="29"/>
  <c r="L40" i="29"/>
  <c r="J40" i="29"/>
  <c r="H40" i="29"/>
  <c r="F40" i="29"/>
  <c r="D40" i="29"/>
  <c r="D39" i="29"/>
  <c r="Z37" i="29"/>
  <c r="X37" i="29"/>
  <c r="V37" i="29"/>
  <c r="T37" i="29"/>
  <c r="R37" i="29"/>
  <c r="P37" i="29"/>
  <c r="N37" i="29"/>
  <c r="L37" i="29"/>
  <c r="J37" i="29"/>
  <c r="H37" i="29"/>
  <c r="F37" i="29"/>
  <c r="D37" i="29"/>
  <c r="Z36" i="29"/>
  <c r="X36" i="29"/>
  <c r="V36" i="29"/>
  <c r="T36" i="29"/>
  <c r="R36" i="29"/>
  <c r="P36" i="29"/>
  <c r="N36" i="29"/>
  <c r="L36" i="29"/>
  <c r="J36" i="29"/>
  <c r="H36" i="29"/>
  <c r="F36" i="29"/>
  <c r="D36" i="29"/>
  <c r="Z35" i="29"/>
  <c r="X35" i="29"/>
  <c r="V35" i="29"/>
  <c r="T35" i="29"/>
  <c r="R35" i="29"/>
  <c r="P35" i="29"/>
  <c r="N35" i="29"/>
  <c r="L35" i="29"/>
  <c r="J35" i="29"/>
  <c r="H35" i="29"/>
  <c r="F35" i="29"/>
  <c r="D35" i="29"/>
  <c r="Z34" i="29"/>
  <c r="X34" i="29"/>
  <c r="V34" i="29"/>
  <c r="T34" i="29"/>
  <c r="R34" i="29"/>
  <c r="P34" i="29"/>
  <c r="N34" i="29"/>
  <c r="L34" i="29"/>
  <c r="J34" i="29"/>
  <c r="H34" i="29"/>
  <c r="F34" i="29"/>
  <c r="D34" i="29"/>
  <c r="Z33" i="29"/>
  <c r="X33" i="29"/>
  <c r="V33" i="29"/>
  <c r="T33" i="29"/>
  <c r="R33" i="29"/>
  <c r="P33" i="29"/>
  <c r="N33" i="29"/>
  <c r="L33" i="29"/>
  <c r="J33" i="29"/>
  <c r="H33" i="29"/>
  <c r="F33" i="29"/>
  <c r="D33" i="29"/>
  <c r="Z32" i="29"/>
  <c r="X32" i="29"/>
  <c r="V32" i="29"/>
  <c r="T32" i="29"/>
  <c r="R32" i="29"/>
  <c r="P32" i="29"/>
  <c r="N32" i="29"/>
  <c r="L32" i="29"/>
  <c r="J32" i="29"/>
  <c r="H32" i="29"/>
  <c r="F32" i="29"/>
  <c r="D32" i="29"/>
  <c r="V30" i="29"/>
  <c r="T30" i="29"/>
  <c r="R30" i="29"/>
  <c r="P30" i="29"/>
  <c r="N30" i="29"/>
  <c r="L30" i="29"/>
  <c r="J30" i="29"/>
  <c r="H30" i="29"/>
  <c r="F30" i="29"/>
  <c r="Z29" i="29"/>
  <c r="X29" i="29"/>
  <c r="V29" i="29"/>
  <c r="T29" i="29"/>
  <c r="R29" i="29"/>
  <c r="P29" i="29"/>
  <c r="N29" i="29"/>
  <c r="L29" i="29"/>
  <c r="J29" i="29"/>
  <c r="H29" i="29"/>
  <c r="F29" i="29"/>
  <c r="D29" i="29"/>
  <c r="Z28" i="29"/>
  <c r="X28" i="29"/>
  <c r="V28" i="29"/>
  <c r="V97" i="29" s="1"/>
  <c r="V98" i="29" s="1"/>
  <c r="T28" i="29"/>
  <c r="R28" i="29"/>
  <c r="P28" i="29"/>
  <c r="N28" i="29"/>
  <c r="N97" i="29" s="1"/>
  <c r="N98" i="29" s="1"/>
  <c r="L28" i="29"/>
  <c r="J28" i="29"/>
  <c r="H28" i="29"/>
  <c r="F28" i="29"/>
  <c r="F97" i="29" s="1"/>
  <c r="F98" i="29" s="1"/>
  <c r="D28" i="29"/>
  <c r="W25" i="29"/>
  <c r="S25" i="29"/>
  <c r="Y21" i="29"/>
  <c r="Y25" i="29" s="1"/>
  <c r="U21" i="29"/>
  <c r="U25" i="29" s="1"/>
  <c r="S21" i="29"/>
  <c r="Q21" i="29"/>
  <c r="Q25" i="29" s="1"/>
  <c r="O21" i="29"/>
  <c r="O25" i="29" s="1"/>
  <c r="M21" i="29"/>
  <c r="M25" i="29" s="1"/>
  <c r="K21" i="29"/>
  <c r="K25" i="29" s="1"/>
  <c r="I21" i="29"/>
  <c r="I25" i="29" s="1"/>
  <c r="G21" i="29"/>
  <c r="G25" i="29" s="1"/>
  <c r="E21" i="29"/>
  <c r="E25" i="29" s="1"/>
  <c r="C21" i="29"/>
  <c r="C25" i="29" s="1"/>
  <c r="Z19" i="29"/>
  <c r="X19" i="29"/>
  <c r="V19" i="29"/>
  <c r="T19" i="29"/>
  <c r="R19" i="29"/>
  <c r="P19" i="29"/>
  <c r="N19" i="29"/>
  <c r="L19" i="29"/>
  <c r="J19" i="29"/>
  <c r="H19" i="29"/>
  <c r="F19" i="29"/>
  <c r="D19" i="29"/>
  <c r="Z18" i="29"/>
  <c r="X18" i="29"/>
  <c r="V18" i="29"/>
  <c r="T18" i="29"/>
  <c r="R18" i="29"/>
  <c r="P18" i="29"/>
  <c r="N18" i="29"/>
  <c r="L18" i="29"/>
  <c r="J18" i="29"/>
  <c r="H18" i="29"/>
  <c r="F18" i="29"/>
  <c r="D18" i="29"/>
  <c r="Z17" i="29"/>
  <c r="X17" i="29"/>
  <c r="V17" i="29"/>
  <c r="T17" i="29"/>
  <c r="R17" i="29"/>
  <c r="P17" i="29"/>
  <c r="N17" i="29"/>
  <c r="L17" i="29"/>
  <c r="J17" i="29"/>
  <c r="H17" i="29"/>
  <c r="F17" i="29"/>
  <c r="D17" i="29"/>
  <c r="Z16" i="29"/>
  <c r="X16" i="29"/>
  <c r="V16" i="29"/>
  <c r="T16" i="29"/>
  <c r="R16" i="29"/>
  <c r="P16" i="29"/>
  <c r="N16" i="29"/>
  <c r="L16" i="29"/>
  <c r="J16" i="29"/>
  <c r="H16" i="29"/>
  <c r="F16" i="29"/>
  <c r="D16" i="29"/>
  <c r="Z15" i="29"/>
  <c r="X15" i="29"/>
  <c r="V15" i="29"/>
  <c r="T15" i="29"/>
  <c r="R15" i="29"/>
  <c r="P15" i="29"/>
  <c r="N15" i="29"/>
  <c r="L15" i="29"/>
  <c r="J15" i="29"/>
  <c r="H15" i="29"/>
  <c r="F15" i="29"/>
  <c r="D15" i="29"/>
  <c r="Z12" i="29"/>
  <c r="X12" i="29"/>
  <c r="V12" i="29"/>
  <c r="T12" i="29"/>
  <c r="R12" i="29"/>
  <c r="P12" i="29"/>
  <c r="N12" i="29"/>
  <c r="L12" i="29"/>
  <c r="J12" i="29"/>
  <c r="H12" i="29"/>
  <c r="F12" i="29"/>
  <c r="D12" i="29"/>
  <c r="Z11" i="29"/>
  <c r="X11" i="29"/>
  <c r="V11" i="29"/>
  <c r="T11" i="29"/>
  <c r="R11" i="29"/>
  <c r="P11" i="29"/>
  <c r="N11" i="29"/>
  <c r="L11" i="29"/>
  <c r="J11" i="29"/>
  <c r="H11" i="29"/>
  <c r="F11" i="29"/>
  <c r="D11" i="29"/>
  <c r="Z10" i="29"/>
  <c r="X10" i="29"/>
  <c r="V10" i="29"/>
  <c r="T10" i="29"/>
  <c r="R10" i="29"/>
  <c r="P10" i="29"/>
  <c r="N10" i="29"/>
  <c r="L10" i="29"/>
  <c r="J10" i="29"/>
  <c r="H10" i="29"/>
  <c r="F10" i="29"/>
  <c r="D10" i="29"/>
  <c r="Z9" i="29"/>
  <c r="Z21" i="29" s="1"/>
  <c r="X9" i="29"/>
  <c r="X21" i="29" s="1"/>
  <c r="V9" i="29"/>
  <c r="V21" i="29" s="1"/>
  <c r="T9" i="29"/>
  <c r="T21" i="29" s="1"/>
  <c r="R9" i="29"/>
  <c r="R21" i="29" s="1"/>
  <c r="P9" i="29"/>
  <c r="P21" i="29" s="1"/>
  <c r="N9" i="29"/>
  <c r="N21" i="29" s="1"/>
  <c r="L9" i="29"/>
  <c r="L21" i="29" s="1"/>
  <c r="J9" i="29"/>
  <c r="J21" i="29" s="1"/>
  <c r="H9" i="29"/>
  <c r="H21" i="29" s="1"/>
  <c r="F9" i="29"/>
  <c r="F21" i="29" s="1"/>
  <c r="D9" i="29"/>
  <c r="D21" i="29" s="1"/>
  <c r="D116" i="28"/>
  <c r="Z100" i="28"/>
  <c r="X100" i="28"/>
  <c r="V100" i="28"/>
  <c r="T100" i="28"/>
  <c r="R100" i="28"/>
  <c r="P100" i="28"/>
  <c r="N100" i="28"/>
  <c r="L100" i="28"/>
  <c r="J100" i="28"/>
  <c r="H100" i="28"/>
  <c r="F100" i="28"/>
  <c r="Z97" i="28"/>
  <c r="X97" i="28"/>
  <c r="V97" i="28"/>
  <c r="T97" i="28"/>
  <c r="R97" i="28"/>
  <c r="P97" i="28"/>
  <c r="N97" i="28"/>
  <c r="L97" i="28"/>
  <c r="J97" i="28"/>
  <c r="H97" i="28"/>
  <c r="F97" i="28"/>
  <c r="D97" i="28"/>
  <c r="Z96" i="28"/>
  <c r="X96" i="28"/>
  <c r="V96" i="28"/>
  <c r="T96" i="28"/>
  <c r="R96" i="28"/>
  <c r="P96" i="28"/>
  <c r="N96" i="28"/>
  <c r="L96" i="28"/>
  <c r="J96" i="28"/>
  <c r="H96" i="28"/>
  <c r="F96" i="28"/>
  <c r="D96" i="28"/>
  <c r="Z95" i="28"/>
  <c r="X95" i="28"/>
  <c r="V95" i="28"/>
  <c r="T95" i="28"/>
  <c r="R95" i="28"/>
  <c r="P95" i="28"/>
  <c r="N95" i="28"/>
  <c r="L95" i="28"/>
  <c r="J95" i="28"/>
  <c r="H95" i="28"/>
  <c r="F95" i="28"/>
  <c r="D95" i="28"/>
  <c r="Z94" i="28"/>
  <c r="X94" i="28"/>
  <c r="V94" i="28"/>
  <c r="T94" i="28"/>
  <c r="R94" i="28"/>
  <c r="P94" i="28"/>
  <c r="N94" i="28"/>
  <c r="L94" i="28"/>
  <c r="J94" i="28"/>
  <c r="H94" i="28"/>
  <c r="F94" i="28"/>
  <c r="D94" i="28"/>
  <c r="Z93" i="28"/>
  <c r="X93" i="28"/>
  <c r="V93" i="28"/>
  <c r="T93" i="28"/>
  <c r="R93" i="28"/>
  <c r="P93" i="28"/>
  <c r="N93" i="28"/>
  <c r="L93" i="28"/>
  <c r="J93" i="28"/>
  <c r="H93" i="28"/>
  <c r="F93" i="28"/>
  <c r="D93" i="28"/>
  <c r="Z92" i="28"/>
  <c r="X92" i="28"/>
  <c r="V92" i="28"/>
  <c r="T92" i="28"/>
  <c r="R92" i="28"/>
  <c r="P92" i="28"/>
  <c r="N92" i="28"/>
  <c r="L92" i="28"/>
  <c r="J92" i="28"/>
  <c r="H92" i="28"/>
  <c r="F92" i="28"/>
  <c r="D92" i="28"/>
  <c r="Z91" i="28"/>
  <c r="X91" i="28"/>
  <c r="V91" i="28"/>
  <c r="T91" i="28"/>
  <c r="R91" i="28"/>
  <c r="P91" i="28"/>
  <c r="N91" i="28"/>
  <c r="L91" i="28"/>
  <c r="J91" i="28"/>
  <c r="H91" i="28"/>
  <c r="F91" i="28"/>
  <c r="D91" i="28"/>
  <c r="Z90" i="28"/>
  <c r="X90" i="28"/>
  <c r="V90" i="28"/>
  <c r="T90" i="28"/>
  <c r="R90" i="28"/>
  <c r="P90" i="28"/>
  <c r="N90" i="28"/>
  <c r="L90" i="28"/>
  <c r="J90" i="28"/>
  <c r="H90" i="28"/>
  <c r="F90" i="28"/>
  <c r="D90" i="28"/>
  <c r="Z89" i="28"/>
  <c r="X89" i="28"/>
  <c r="V89" i="28"/>
  <c r="T89" i="28"/>
  <c r="R89" i="28"/>
  <c r="P89" i="28"/>
  <c r="N89" i="28"/>
  <c r="L89" i="28"/>
  <c r="J89" i="28"/>
  <c r="H89" i="28"/>
  <c r="F89" i="28"/>
  <c r="D89" i="28"/>
  <c r="Z88" i="28"/>
  <c r="X88" i="28"/>
  <c r="V88" i="28"/>
  <c r="T88" i="28"/>
  <c r="R88" i="28"/>
  <c r="P88" i="28"/>
  <c r="N88" i="28"/>
  <c r="L88" i="28"/>
  <c r="J88" i="28"/>
  <c r="H88" i="28"/>
  <c r="F88" i="28"/>
  <c r="D88" i="28"/>
  <c r="Z87" i="28"/>
  <c r="X87" i="28"/>
  <c r="V87" i="28"/>
  <c r="T87" i="28"/>
  <c r="R87" i="28"/>
  <c r="P87" i="28"/>
  <c r="N87" i="28"/>
  <c r="L87" i="28"/>
  <c r="J87" i="28"/>
  <c r="H87" i="28"/>
  <c r="F87" i="28"/>
  <c r="D87" i="28"/>
  <c r="Z86" i="28"/>
  <c r="X86" i="28"/>
  <c r="V86" i="28"/>
  <c r="T86" i="28"/>
  <c r="R86" i="28"/>
  <c r="P86" i="28"/>
  <c r="N86" i="28"/>
  <c r="L86" i="28"/>
  <c r="J86" i="28"/>
  <c r="H86" i="28"/>
  <c r="F86" i="28"/>
  <c r="D86" i="28"/>
  <c r="Z85" i="28"/>
  <c r="X85" i="28"/>
  <c r="V85" i="28"/>
  <c r="T85" i="28"/>
  <c r="R85" i="28"/>
  <c r="P85" i="28"/>
  <c r="N85" i="28"/>
  <c r="L85" i="28"/>
  <c r="J85" i="28"/>
  <c r="H85" i="28"/>
  <c r="F85" i="28"/>
  <c r="D85" i="28"/>
  <c r="Z84" i="28"/>
  <c r="X84" i="28"/>
  <c r="V84" i="28"/>
  <c r="T84" i="28"/>
  <c r="R84" i="28"/>
  <c r="P84" i="28"/>
  <c r="N84" i="28"/>
  <c r="L84" i="28"/>
  <c r="J84" i="28"/>
  <c r="H84" i="28"/>
  <c r="F84" i="28"/>
  <c r="D84" i="28"/>
  <c r="Z83" i="28"/>
  <c r="X83" i="28"/>
  <c r="V83" i="28"/>
  <c r="T83" i="28"/>
  <c r="R83" i="28"/>
  <c r="P83" i="28"/>
  <c r="N83" i="28"/>
  <c r="L83" i="28"/>
  <c r="J83" i="28"/>
  <c r="H83" i="28"/>
  <c r="F83" i="28"/>
  <c r="D83" i="28"/>
  <c r="Z82" i="28"/>
  <c r="X82" i="28"/>
  <c r="V82" i="28"/>
  <c r="T82" i="28"/>
  <c r="R82" i="28"/>
  <c r="P82" i="28"/>
  <c r="N82" i="28"/>
  <c r="L82" i="28"/>
  <c r="J82" i="28"/>
  <c r="H82" i="28"/>
  <c r="F82" i="28"/>
  <c r="D82" i="28"/>
  <c r="Z81" i="28"/>
  <c r="X81" i="28"/>
  <c r="V81" i="28"/>
  <c r="T81" i="28"/>
  <c r="R81" i="28"/>
  <c r="P81" i="28"/>
  <c r="N81" i="28"/>
  <c r="L81" i="28"/>
  <c r="J81" i="28"/>
  <c r="H81" i="28"/>
  <c r="F81" i="28"/>
  <c r="D81" i="28"/>
  <c r="Z80" i="28"/>
  <c r="X80" i="28"/>
  <c r="V80" i="28"/>
  <c r="T80" i="28"/>
  <c r="R80" i="28"/>
  <c r="P80" i="28"/>
  <c r="N80" i="28"/>
  <c r="L80" i="28"/>
  <c r="J80" i="28"/>
  <c r="H80" i="28"/>
  <c r="F80" i="28"/>
  <c r="D80" i="28"/>
  <c r="Z79" i="28"/>
  <c r="X79" i="28"/>
  <c r="V79" i="28"/>
  <c r="T79" i="28"/>
  <c r="R79" i="28"/>
  <c r="P79" i="28"/>
  <c r="N79" i="28"/>
  <c r="L79" i="28"/>
  <c r="J79" i="28"/>
  <c r="H79" i="28"/>
  <c r="F79" i="28"/>
  <c r="D79" i="28"/>
  <c r="Z78" i="28"/>
  <c r="X78" i="28"/>
  <c r="V78" i="28"/>
  <c r="T78" i="28"/>
  <c r="R78" i="28"/>
  <c r="P78" i="28"/>
  <c r="N78" i="28"/>
  <c r="L78" i="28"/>
  <c r="J78" i="28"/>
  <c r="H78" i="28"/>
  <c r="F78" i="28"/>
  <c r="D78" i="28"/>
  <c r="Z77" i="28"/>
  <c r="X77" i="28"/>
  <c r="V77" i="28"/>
  <c r="T77" i="28"/>
  <c r="R77" i="28"/>
  <c r="P77" i="28"/>
  <c r="N77" i="28"/>
  <c r="L77" i="28"/>
  <c r="J77" i="28"/>
  <c r="H77" i="28"/>
  <c r="F77" i="28"/>
  <c r="D77" i="28"/>
  <c r="Z76" i="28"/>
  <c r="X76" i="28"/>
  <c r="V76" i="28"/>
  <c r="T76" i="28"/>
  <c r="R76" i="28"/>
  <c r="P76" i="28"/>
  <c r="N76" i="28"/>
  <c r="L76" i="28"/>
  <c r="J76" i="28"/>
  <c r="H76" i="28"/>
  <c r="F76" i="28"/>
  <c r="D76" i="28"/>
  <c r="Z75" i="28"/>
  <c r="X75" i="28"/>
  <c r="V75" i="28"/>
  <c r="T75" i="28"/>
  <c r="R75" i="28"/>
  <c r="P75" i="28"/>
  <c r="N75" i="28"/>
  <c r="L75" i="28"/>
  <c r="J75" i="28"/>
  <c r="H75" i="28"/>
  <c r="F75" i="28"/>
  <c r="D75" i="28"/>
  <c r="Z74" i="28"/>
  <c r="X74" i="28"/>
  <c r="V74" i="28"/>
  <c r="T74" i="28"/>
  <c r="R74" i="28"/>
  <c r="P74" i="28"/>
  <c r="N74" i="28"/>
  <c r="L74" i="28"/>
  <c r="J74" i="28"/>
  <c r="H74" i="28"/>
  <c r="F74" i="28"/>
  <c r="D74" i="28"/>
  <c r="Z73" i="28"/>
  <c r="X73" i="28"/>
  <c r="V73" i="28"/>
  <c r="T73" i="28"/>
  <c r="R73" i="28"/>
  <c r="P73" i="28"/>
  <c r="N73" i="28"/>
  <c r="L73" i="28"/>
  <c r="J73" i="28"/>
  <c r="H73" i="28"/>
  <c r="F73" i="28"/>
  <c r="D73" i="28"/>
  <c r="Z72" i="28"/>
  <c r="X72" i="28"/>
  <c r="V72" i="28"/>
  <c r="T72" i="28"/>
  <c r="R72" i="28"/>
  <c r="P72" i="28"/>
  <c r="N72" i="28"/>
  <c r="L72" i="28"/>
  <c r="J72" i="28"/>
  <c r="H72" i="28"/>
  <c r="F72" i="28"/>
  <c r="D72" i="28"/>
  <c r="Z71" i="28"/>
  <c r="X71" i="28"/>
  <c r="V71" i="28"/>
  <c r="T71" i="28"/>
  <c r="R71" i="28"/>
  <c r="P71" i="28"/>
  <c r="N71" i="28"/>
  <c r="L71" i="28"/>
  <c r="J71" i="28"/>
  <c r="H71" i="28"/>
  <c r="F71" i="28"/>
  <c r="D71" i="28"/>
  <c r="Z70" i="28"/>
  <c r="X70" i="28"/>
  <c r="V70" i="28"/>
  <c r="T70" i="28"/>
  <c r="R70" i="28"/>
  <c r="P70" i="28"/>
  <c r="N70" i="28"/>
  <c r="L70" i="28"/>
  <c r="J70" i="28"/>
  <c r="H70" i="28"/>
  <c r="F70" i="28"/>
  <c r="D70" i="28"/>
  <c r="Z69" i="28"/>
  <c r="X69" i="28"/>
  <c r="V69" i="28"/>
  <c r="T69" i="28"/>
  <c r="R69" i="28"/>
  <c r="P69" i="28"/>
  <c r="N69" i="28"/>
  <c r="L69" i="28"/>
  <c r="J69" i="28"/>
  <c r="H69" i="28"/>
  <c r="F69" i="28"/>
  <c r="D69" i="28"/>
  <c r="Z68" i="28"/>
  <c r="X68" i="28"/>
  <c r="V68" i="28"/>
  <c r="T68" i="28"/>
  <c r="R68" i="28"/>
  <c r="P68" i="28"/>
  <c r="N68" i="28"/>
  <c r="L68" i="28"/>
  <c r="J68" i="28"/>
  <c r="H68" i="28"/>
  <c r="F68" i="28"/>
  <c r="D68" i="28"/>
  <c r="Z67" i="28"/>
  <c r="X67" i="28"/>
  <c r="V67" i="28"/>
  <c r="T67" i="28"/>
  <c r="R67" i="28"/>
  <c r="P67" i="28"/>
  <c r="N67" i="28"/>
  <c r="L67" i="28"/>
  <c r="J67" i="28"/>
  <c r="H67" i="28"/>
  <c r="F67" i="28"/>
  <c r="D67" i="28"/>
  <c r="Z66" i="28"/>
  <c r="X66" i="28"/>
  <c r="V66" i="28"/>
  <c r="T66" i="28"/>
  <c r="R66" i="28"/>
  <c r="P66" i="28"/>
  <c r="N66" i="28"/>
  <c r="L66" i="28"/>
  <c r="J66" i="28"/>
  <c r="H66" i="28"/>
  <c r="F66" i="28"/>
  <c r="D66" i="28"/>
  <c r="Z65" i="28"/>
  <c r="X65" i="28"/>
  <c r="V65" i="28"/>
  <c r="T65" i="28"/>
  <c r="R65" i="28"/>
  <c r="P65" i="28"/>
  <c r="N65" i="28"/>
  <c r="L65" i="28"/>
  <c r="J65" i="28"/>
  <c r="H65" i="28"/>
  <c r="F65" i="28"/>
  <c r="D65" i="28"/>
  <c r="Z64" i="28"/>
  <c r="X64" i="28"/>
  <c r="V64" i="28"/>
  <c r="T64" i="28"/>
  <c r="R64" i="28"/>
  <c r="P64" i="28"/>
  <c r="N64" i="28"/>
  <c r="L64" i="28"/>
  <c r="J64" i="28"/>
  <c r="H64" i="28"/>
  <c r="F64" i="28"/>
  <c r="D64" i="28"/>
  <c r="Z63" i="28"/>
  <c r="X63" i="28"/>
  <c r="V63" i="28"/>
  <c r="T63" i="28"/>
  <c r="R63" i="28"/>
  <c r="P63" i="28"/>
  <c r="N63" i="28"/>
  <c r="L63" i="28"/>
  <c r="J63" i="28"/>
  <c r="H63" i="28"/>
  <c r="F63" i="28"/>
  <c r="D63" i="28"/>
  <c r="Z62" i="28"/>
  <c r="X62" i="28"/>
  <c r="V62" i="28"/>
  <c r="T62" i="28"/>
  <c r="R62" i="28"/>
  <c r="P62" i="28"/>
  <c r="N62" i="28"/>
  <c r="L62" i="28"/>
  <c r="J62" i="28"/>
  <c r="H62" i="28"/>
  <c r="F62" i="28"/>
  <c r="D62" i="28"/>
  <c r="Z61" i="28"/>
  <c r="X61" i="28"/>
  <c r="V61" i="28"/>
  <c r="T61" i="28"/>
  <c r="R61" i="28"/>
  <c r="P61" i="28"/>
  <c r="N61" i="28"/>
  <c r="L61" i="28"/>
  <c r="J61" i="28"/>
  <c r="H61" i="28"/>
  <c r="F61" i="28"/>
  <c r="D61" i="28"/>
  <c r="Z60" i="28"/>
  <c r="X60" i="28"/>
  <c r="V60" i="28"/>
  <c r="T60" i="28"/>
  <c r="R60" i="28"/>
  <c r="P60" i="28"/>
  <c r="N60" i="28"/>
  <c r="L60" i="28"/>
  <c r="J60" i="28"/>
  <c r="H60" i="28"/>
  <c r="F60" i="28"/>
  <c r="D60" i="28"/>
  <c r="Z59" i="28"/>
  <c r="X59" i="28"/>
  <c r="V59" i="28"/>
  <c r="T59" i="28"/>
  <c r="R59" i="28"/>
  <c r="P59" i="28"/>
  <c r="N59" i="28"/>
  <c r="L59" i="28"/>
  <c r="J59" i="28"/>
  <c r="H59" i="28"/>
  <c r="F59" i="28"/>
  <c r="D59" i="28"/>
  <c r="Z58" i="28"/>
  <c r="X58" i="28"/>
  <c r="V58" i="28"/>
  <c r="T58" i="28"/>
  <c r="R58" i="28"/>
  <c r="P58" i="28"/>
  <c r="N58" i="28"/>
  <c r="L58" i="28"/>
  <c r="J58" i="28"/>
  <c r="H58" i="28"/>
  <c r="F58" i="28"/>
  <c r="D58" i="28"/>
  <c r="Z57" i="28"/>
  <c r="X57" i="28"/>
  <c r="V57" i="28"/>
  <c r="T57" i="28"/>
  <c r="R57" i="28"/>
  <c r="P57" i="28"/>
  <c r="N57" i="28"/>
  <c r="L57" i="28"/>
  <c r="J57" i="28"/>
  <c r="H57" i="28"/>
  <c r="F57" i="28"/>
  <c r="D57" i="28"/>
  <c r="Z56" i="28"/>
  <c r="X56" i="28"/>
  <c r="V56" i="28"/>
  <c r="T56" i="28"/>
  <c r="R56" i="28"/>
  <c r="P56" i="28"/>
  <c r="N56" i="28"/>
  <c r="L56" i="28"/>
  <c r="J56" i="28"/>
  <c r="H56" i="28"/>
  <c r="F56" i="28"/>
  <c r="D56" i="28"/>
  <c r="Z55" i="28"/>
  <c r="X55" i="28"/>
  <c r="V55" i="28"/>
  <c r="T55" i="28"/>
  <c r="R55" i="28"/>
  <c r="P55" i="28"/>
  <c r="N55" i="28"/>
  <c r="L55" i="28"/>
  <c r="J55" i="28"/>
  <c r="H55" i="28"/>
  <c r="F55" i="28"/>
  <c r="D55" i="28"/>
  <c r="Z54" i="28"/>
  <c r="X54" i="28"/>
  <c r="V54" i="28"/>
  <c r="T54" i="28"/>
  <c r="R54" i="28"/>
  <c r="P54" i="28"/>
  <c r="N54" i="28"/>
  <c r="L54" i="28"/>
  <c r="J54" i="28"/>
  <c r="H54" i="28"/>
  <c r="F54" i="28"/>
  <c r="D54" i="28"/>
  <c r="Z53" i="28"/>
  <c r="X53" i="28"/>
  <c r="V53" i="28"/>
  <c r="T53" i="28"/>
  <c r="R53" i="28"/>
  <c r="P53" i="28"/>
  <c r="N53" i="28"/>
  <c r="L53" i="28"/>
  <c r="J53" i="28"/>
  <c r="H53" i="28"/>
  <c r="F53" i="28"/>
  <c r="D53" i="28"/>
  <c r="Z52" i="28"/>
  <c r="X52" i="28"/>
  <c r="V52" i="28"/>
  <c r="T52" i="28"/>
  <c r="R52" i="28"/>
  <c r="P52" i="28"/>
  <c r="N52" i="28"/>
  <c r="L52" i="28"/>
  <c r="J52" i="28"/>
  <c r="H52" i="28"/>
  <c r="F52" i="28"/>
  <c r="D52" i="28"/>
  <c r="Z51" i="28"/>
  <c r="X51" i="28"/>
  <c r="V51" i="28"/>
  <c r="T51" i="28"/>
  <c r="R51" i="28"/>
  <c r="P51" i="28"/>
  <c r="N51" i="28"/>
  <c r="L51" i="28"/>
  <c r="J51" i="28"/>
  <c r="H51" i="28"/>
  <c r="F51" i="28"/>
  <c r="D51" i="28"/>
  <c r="Z48" i="28"/>
  <c r="X48" i="28"/>
  <c r="V48" i="28"/>
  <c r="T48" i="28"/>
  <c r="R48" i="28"/>
  <c r="P48" i="28"/>
  <c r="N48" i="28"/>
  <c r="L48" i="28"/>
  <c r="J48" i="28"/>
  <c r="H48" i="28"/>
  <c r="F48" i="28"/>
  <c r="D48" i="28"/>
  <c r="Z47" i="28"/>
  <c r="X47" i="28"/>
  <c r="V47" i="28"/>
  <c r="T47" i="28"/>
  <c r="R47" i="28"/>
  <c r="P47" i="28"/>
  <c r="N47" i="28"/>
  <c r="L47" i="28"/>
  <c r="J47" i="28"/>
  <c r="H47" i="28"/>
  <c r="F47" i="28"/>
  <c r="D47" i="28"/>
  <c r="Z46" i="28"/>
  <c r="X46" i="28"/>
  <c r="V46" i="28"/>
  <c r="T46" i="28"/>
  <c r="R46" i="28"/>
  <c r="P46" i="28"/>
  <c r="N46" i="28"/>
  <c r="L46" i="28"/>
  <c r="J46" i="28"/>
  <c r="H46" i="28"/>
  <c r="F46" i="28"/>
  <c r="D46" i="28"/>
  <c r="Z45" i="28"/>
  <c r="X45" i="28"/>
  <c r="V45" i="28"/>
  <c r="T45" i="28"/>
  <c r="R45" i="28"/>
  <c r="P45" i="28"/>
  <c r="N45" i="28"/>
  <c r="L45" i="28"/>
  <c r="J45" i="28"/>
  <c r="H45" i="28"/>
  <c r="F45" i="28"/>
  <c r="D45" i="28"/>
  <c r="V43" i="28"/>
  <c r="T43" i="28"/>
  <c r="Z43" i="28" s="1"/>
  <c r="R43" i="28"/>
  <c r="X43" i="28" s="1"/>
  <c r="P43" i="28"/>
  <c r="N43" i="28"/>
  <c r="L43" i="28"/>
  <c r="J43" i="28"/>
  <c r="H43" i="28"/>
  <c r="F43" i="28"/>
  <c r="D43" i="28"/>
  <c r="Z41" i="28"/>
  <c r="X41" i="28"/>
  <c r="V41" i="28"/>
  <c r="T41" i="28"/>
  <c r="R41" i="28"/>
  <c r="P41" i="28"/>
  <c r="N41" i="28"/>
  <c r="L41" i="28"/>
  <c r="J41" i="28"/>
  <c r="H41" i="28"/>
  <c r="F41" i="28"/>
  <c r="Z40" i="28"/>
  <c r="X40" i="28"/>
  <c r="V40" i="28"/>
  <c r="T40" i="28"/>
  <c r="R40" i="28"/>
  <c r="P40" i="28"/>
  <c r="N40" i="28"/>
  <c r="L40" i="28"/>
  <c r="J40" i="28"/>
  <c r="H40" i="28"/>
  <c r="F40" i="28"/>
  <c r="D40" i="28"/>
  <c r="D39" i="28"/>
  <c r="Z37" i="28"/>
  <c r="X37" i="28"/>
  <c r="V37" i="28"/>
  <c r="T37" i="28"/>
  <c r="R37" i="28"/>
  <c r="P37" i="28"/>
  <c r="N37" i="28"/>
  <c r="L37" i="28"/>
  <c r="J37" i="28"/>
  <c r="H37" i="28"/>
  <c r="F37" i="28"/>
  <c r="D37" i="28"/>
  <c r="Z36" i="28"/>
  <c r="X36" i="28"/>
  <c r="V36" i="28"/>
  <c r="T36" i="28"/>
  <c r="R36" i="28"/>
  <c r="P36" i="28"/>
  <c r="N36" i="28"/>
  <c r="L36" i="28"/>
  <c r="J36" i="28"/>
  <c r="H36" i="28"/>
  <c r="F36" i="28"/>
  <c r="D36" i="28"/>
  <c r="Z35" i="28"/>
  <c r="X35" i="28"/>
  <c r="V35" i="28"/>
  <c r="T35" i="28"/>
  <c r="R35" i="28"/>
  <c r="P35" i="28"/>
  <c r="N35" i="28"/>
  <c r="L35" i="28"/>
  <c r="J35" i="28"/>
  <c r="H35" i="28"/>
  <c r="F35" i="28"/>
  <c r="D35" i="28"/>
  <c r="Z34" i="28"/>
  <c r="X34" i="28"/>
  <c r="V34" i="28"/>
  <c r="T34" i="28"/>
  <c r="R34" i="28"/>
  <c r="P34" i="28"/>
  <c r="N34" i="28"/>
  <c r="L34" i="28"/>
  <c r="J34" i="28"/>
  <c r="H34" i="28"/>
  <c r="F34" i="28"/>
  <c r="D34" i="28"/>
  <c r="Z33" i="28"/>
  <c r="X33" i="28"/>
  <c r="V33" i="28"/>
  <c r="T33" i="28"/>
  <c r="R33" i="28"/>
  <c r="P33" i="28"/>
  <c r="N33" i="28"/>
  <c r="L33" i="28"/>
  <c r="J33" i="28"/>
  <c r="H33" i="28"/>
  <c r="F33" i="28"/>
  <c r="D33" i="28"/>
  <c r="Z32" i="28"/>
  <c r="X32" i="28"/>
  <c r="V32" i="28"/>
  <c r="T32" i="28"/>
  <c r="R32" i="28"/>
  <c r="P32" i="28"/>
  <c r="N32" i="28"/>
  <c r="L32" i="28"/>
  <c r="J32" i="28"/>
  <c r="H32" i="28"/>
  <c r="F32" i="28"/>
  <c r="D32" i="28"/>
  <c r="V30" i="28"/>
  <c r="T30" i="28"/>
  <c r="R30" i="28"/>
  <c r="P30" i="28"/>
  <c r="N30" i="28"/>
  <c r="L30" i="28"/>
  <c r="J30" i="28"/>
  <c r="H30" i="28"/>
  <c r="F30" i="28"/>
  <c r="Z29" i="28"/>
  <c r="X29" i="28"/>
  <c r="V29" i="28"/>
  <c r="T29" i="28"/>
  <c r="R29" i="28"/>
  <c r="P29" i="28"/>
  <c r="N29" i="28"/>
  <c r="L29" i="28"/>
  <c r="J29" i="28"/>
  <c r="H29" i="28"/>
  <c r="F29" i="28"/>
  <c r="Z28" i="28"/>
  <c r="X28" i="28"/>
  <c r="V28" i="28"/>
  <c r="T28" i="28"/>
  <c r="R28" i="28"/>
  <c r="P28" i="28"/>
  <c r="N28" i="28"/>
  <c r="L28" i="28"/>
  <c r="J28" i="28"/>
  <c r="H28" i="28"/>
  <c r="F28" i="28"/>
  <c r="D28" i="28"/>
  <c r="W25" i="28"/>
  <c r="Y21" i="28"/>
  <c r="Y25" i="28" s="1"/>
  <c r="U21" i="28"/>
  <c r="U25" i="28" s="1"/>
  <c r="S21" i="28"/>
  <c r="S25" i="28" s="1"/>
  <c r="Q21" i="28"/>
  <c r="Q25" i="28" s="1"/>
  <c r="O21" i="28"/>
  <c r="O25" i="28" s="1"/>
  <c r="M21" i="28"/>
  <c r="M25" i="28" s="1"/>
  <c r="K21" i="28"/>
  <c r="K25" i="28" s="1"/>
  <c r="I21" i="28"/>
  <c r="I25" i="28" s="1"/>
  <c r="G21" i="28"/>
  <c r="G25" i="28" s="1"/>
  <c r="E21" i="28"/>
  <c r="E25" i="28" s="1"/>
  <c r="C21" i="28"/>
  <c r="C25" i="28" s="1"/>
  <c r="Z19" i="28"/>
  <c r="X19" i="28"/>
  <c r="V19" i="28"/>
  <c r="T19" i="28"/>
  <c r="R19" i="28"/>
  <c r="P19" i="28"/>
  <c r="N19" i="28"/>
  <c r="L19" i="28"/>
  <c r="J19" i="28"/>
  <c r="H19" i="28"/>
  <c r="F19" i="28"/>
  <c r="D19" i="28"/>
  <c r="Z18" i="28"/>
  <c r="X18" i="28"/>
  <c r="V18" i="28"/>
  <c r="T18" i="28"/>
  <c r="R18" i="28"/>
  <c r="P18" i="28"/>
  <c r="N18" i="28"/>
  <c r="L18" i="28"/>
  <c r="J18" i="28"/>
  <c r="H18" i="28"/>
  <c r="F18" i="28"/>
  <c r="D18" i="28"/>
  <c r="Z17" i="28"/>
  <c r="X17" i="28"/>
  <c r="V17" i="28"/>
  <c r="T17" i="28"/>
  <c r="R17" i="28"/>
  <c r="P17" i="28"/>
  <c r="N17" i="28"/>
  <c r="L17" i="28"/>
  <c r="J17" i="28"/>
  <c r="H17" i="28"/>
  <c r="F17" i="28"/>
  <c r="D17" i="28"/>
  <c r="Z16" i="28"/>
  <c r="X16" i="28"/>
  <c r="V16" i="28"/>
  <c r="T16" i="28"/>
  <c r="R16" i="28"/>
  <c r="P16" i="28"/>
  <c r="N16" i="28"/>
  <c r="L16" i="28"/>
  <c r="J16" i="28"/>
  <c r="H16" i="28"/>
  <c r="F16" i="28"/>
  <c r="D16" i="28"/>
  <c r="Z15" i="28"/>
  <c r="X15" i="28"/>
  <c r="V15" i="28"/>
  <c r="T15" i="28"/>
  <c r="R15" i="28"/>
  <c r="P15" i="28"/>
  <c r="N15" i="28"/>
  <c r="L15" i="28"/>
  <c r="J15" i="28"/>
  <c r="H15" i="28"/>
  <c r="F15" i="28"/>
  <c r="D15" i="28"/>
  <c r="Z12" i="28"/>
  <c r="X12" i="28"/>
  <c r="V12" i="28"/>
  <c r="T12" i="28"/>
  <c r="R12" i="28"/>
  <c r="P12" i="28"/>
  <c r="N12" i="28"/>
  <c r="L12" i="28"/>
  <c r="J12" i="28"/>
  <c r="H12" i="28"/>
  <c r="F12" i="28"/>
  <c r="D12" i="28"/>
  <c r="Z11" i="28"/>
  <c r="X11" i="28"/>
  <c r="V11" i="28"/>
  <c r="T11" i="28"/>
  <c r="R11" i="28"/>
  <c r="P11" i="28"/>
  <c r="N11" i="28"/>
  <c r="L11" i="28"/>
  <c r="J11" i="28"/>
  <c r="H11" i="28"/>
  <c r="F11" i="28"/>
  <c r="D11" i="28"/>
  <c r="Z10" i="28"/>
  <c r="X10" i="28"/>
  <c r="V10" i="28"/>
  <c r="T10" i="28"/>
  <c r="R10" i="28"/>
  <c r="P10" i="28"/>
  <c r="N10" i="28"/>
  <c r="L10" i="28"/>
  <c r="J10" i="28"/>
  <c r="H10" i="28"/>
  <c r="F10" i="28"/>
  <c r="D10" i="28"/>
  <c r="Z9" i="28"/>
  <c r="Z21" i="28" s="1"/>
  <c r="X9" i="28"/>
  <c r="X21" i="28" s="1"/>
  <c r="V9" i="28"/>
  <c r="V21" i="28" s="1"/>
  <c r="T9" i="28"/>
  <c r="T21" i="28" s="1"/>
  <c r="R9" i="28"/>
  <c r="R21" i="28" s="1"/>
  <c r="P9" i="28"/>
  <c r="P21" i="28" s="1"/>
  <c r="N9" i="28"/>
  <c r="N21" i="28" s="1"/>
  <c r="L9" i="28"/>
  <c r="L21" i="28" s="1"/>
  <c r="J9" i="28"/>
  <c r="J21" i="28" s="1"/>
  <c r="H9" i="28"/>
  <c r="H21" i="28" s="1"/>
  <c r="F9" i="28"/>
  <c r="F21" i="28" s="1"/>
  <c r="D9" i="28"/>
  <c r="D21" i="28" s="1"/>
  <c r="D67" i="25"/>
  <c r="D66" i="25"/>
  <c r="D39" i="25"/>
  <c r="D29" i="25"/>
  <c r="D32" i="25"/>
  <c r="D33" i="25"/>
  <c r="D34" i="25"/>
  <c r="D35" i="25"/>
  <c r="D36" i="25"/>
  <c r="D37" i="25"/>
  <c r="D28" i="25"/>
  <c r="L101" i="28" l="1"/>
  <c r="L102" i="28" s="1"/>
  <c r="L103" i="28" s="1"/>
  <c r="L104" i="28" s="1"/>
  <c r="T101" i="28"/>
  <c r="T102" i="28" s="1"/>
  <c r="T103" i="28" s="1"/>
  <c r="T104" i="28" s="1"/>
  <c r="H101" i="28"/>
  <c r="H102" i="28" s="1"/>
  <c r="H103" i="28" s="1"/>
  <c r="H104" i="28" s="1"/>
  <c r="P101" i="28"/>
  <c r="P102" i="28" s="1"/>
  <c r="P103" i="28" s="1"/>
  <c r="P104" i="28" s="1"/>
  <c r="X101" i="28"/>
  <c r="X97" i="29"/>
  <c r="H97" i="29"/>
  <c r="H98" i="29" s="1"/>
  <c r="H99" i="29" s="1"/>
  <c r="H100" i="29" s="1"/>
  <c r="P97" i="29"/>
  <c r="P98" i="29" s="1"/>
  <c r="P99" i="29" s="1"/>
  <c r="P100" i="29" s="1"/>
  <c r="J97" i="29"/>
  <c r="J98" i="29" s="1"/>
  <c r="J99" i="29" s="1"/>
  <c r="R97" i="29"/>
  <c r="R98" i="29" s="1"/>
  <c r="R99" i="29" s="1"/>
  <c r="R100" i="29" s="1"/>
  <c r="Z97" i="29"/>
  <c r="L97" i="29"/>
  <c r="L98" i="29" s="1"/>
  <c r="L99" i="29" s="1"/>
  <c r="L100" i="29" s="1"/>
  <c r="T97" i="29"/>
  <c r="T98" i="29" s="1"/>
  <c r="T99" i="29" s="1"/>
  <c r="T100" i="29" s="1"/>
  <c r="F101" i="28"/>
  <c r="F102" i="28" s="1"/>
  <c r="F103" i="28" s="1"/>
  <c r="F104" i="28" s="1"/>
  <c r="N101" i="28"/>
  <c r="N102" i="28" s="1"/>
  <c r="N103" i="28" s="1"/>
  <c r="N104" i="28" s="1"/>
  <c r="V101" i="28"/>
  <c r="V102" i="28" s="1"/>
  <c r="V103" i="28" s="1"/>
  <c r="V104" i="28" s="1"/>
  <c r="J101" i="28"/>
  <c r="J102" i="28" s="1"/>
  <c r="J103" i="28" s="1"/>
  <c r="J104" i="28" s="1"/>
  <c r="R101" i="28"/>
  <c r="R102" i="28" s="1"/>
  <c r="R103" i="28" s="1"/>
  <c r="R104" i="28" s="1"/>
  <c r="Z101" i="28"/>
  <c r="D97" i="29"/>
  <c r="D23" i="29"/>
  <c r="D25" i="29" s="1"/>
  <c r="L23" i="29"/>
  <c r="L25" i="29" s="1"/>
  <c r="T23" i="29"/>
  <c r="T25" i="29"/>
  <c r="F23" i="29"/>
  <c r="F25" i="29" s="1"/>
  <c r="V23" i="29"/>
  <c r="V25" i="29" s="1"/>
  <c r="N23" i="29"/>
  <c r="N25" i="29" s="1"/>
  <c r="H23" i="29"/>
  <c r="H25" i="29"/>
  <c r="P23" i="29"/>
  <c r="P25" i="29" s="1"/>
  <c r="X23" i="29"/>
  <c r="X25" i="29"/>
  <c r="J23" i="29"/>
  <c r="J25" i="29" s="1"/>
  <c r="R23" i="29"/>
  <c r="R25" i="29"/>
  <c r="F99" i="29"/>
  <c r="F100" i="29" s="1"/>
  <c r="N99" i="29"/>
  <c r="N100" i="29" s="1"/>
  <c r="V99" i="29"/>
  <c r="V100" i="29" s="1"/>
  <c r="Z23" i="29"/>
  <c r="Z25" i="29" s="1"/>
  <c r="D101" i="28"/>
  <c r="H23" i="28"/>
  <c r="H25" i="28" s="1"/>
  <c r="J25" i="28"/>
  <c r="J23" i="28"/>
  <c r="P23" i="28"/>
  <c r="P25" i="28" s="1"/>
  <c r="Z23" i="28"/>
  <c r="Z25" i="28" s="1"/>
  <c r="D23" i="28"/>
  <c r="D25" i="28" s="1"/>
  <c r="L23" i="28"/>
  <c r="L25" i="28" s="1"/>
  <c r="T23" i="28"/>
  <c r="T25" i="28" s="1"/>
  <c r="X23" i="28"/>
  <c r="X25" i="28" s="1"/>
  <c r="R23" i="28"/>
  <c r="R25" i="28" s="1"/>
  <c r="F23" i="28"/>
  <c r="F25" i="28" s="1"/>
  <c r="N23" i="28"/>
  <c r="N25" i="28" s="1"/>
  <c r="V23" i="28"/>
  <c r="V25" i="28" s="1"/>
  <c r="D112" i="25"/>
  <c r="Z96" i="25"/>
  <c r="X96" i="25"/>
  <c r="V96" i="25"/>
  <c r="T96" i="25"/>
  <c r="R96" i="25"/>
  <c r="P96" i="25"/>
  <c r="N96" i="25"/>
  <c r="L96" i="25"/>
  <c r="J96" i="25"/>
  <c r="H96" i="25"/>
  <c r="F96" i="25"/>
  <c r="D96" i="25"/>
  <c r="Z95" i="25"/>
  <c r="X95" i="25"/>
  <c r="V95" i="25"/>
  <c r="T95" i="25"/>
  <c r="R95" i="25"/>
  <c r="P95" i="25"/>
  <c r="N95" i="25"/>
  <c r="L95" i="25"/>
  <c r="J95" i="25"/>
  <c r="H95" i="25"/>
  <c r="F95" i="25"/>
  <c r="D95" i="25"/>
  <c r="Z94" i="25"/>
  <c r="X94" i="25"/>
  <c r="V94" i="25"/>
  <c r="T94" i="25"/>
  <c r="R94" i="25"/>
  <c r="P94" i="25"/>
  <c r="N94" i="25"/>
  <c r="L94" i="25"/>
  <c r="J94" i="25"/>
  <c r="H94" i="25"/>
  <c r="F94" i="25"/>
  <c r="D94" i="25"/>
  <c r="Z93" i="25"/>
  <c r="X93" i="25"/>
  <c r="V93" i="25"/>
  <c r="T93" i="25"/>
  <c r="R93" i="25"/>
  <c r="P93" i="25"/>
  <c r="N93" i="25"/>
  <c r="L93" i="25"/>
  <c r="J93" i="25"/>
  <c r="H93" i="25"/>
  <c r="F93" i="25"/>
  <c r="D93" i="25"/>
  <c r="Z92" i="25"/>
  <c r="X92" i="25"/>
  <c r="V92" i="25"/>
  <c r="T92" i="25"/>
  <c r="R92" i="25"/>
  <c r="P92" i="25"/>
  <c r="N92" i="25"/>
  <c r="L92" i="25"/>
  <c r="J92" i="25"/>
  <c r="H92" i="25"/>
  <c r="F92" i="25"/>
  <c r="D92" i="25"/>
  <c r="Z91" i="25"/>
  <c r="X91" i="25"/>
  <c r="V91" i="25"/>
  <c r="T91" i="25"/>
  <c r="R91" i="25"/>
  <c r="P91" i="25"/>
  <c r="N91" i="25"/>
  <c r="L91" i="25"/>
  <c r="J91" i="25"/>
  <c r="H91" i="25"/>
  <c r="F91" i="25"/>
  <c r="D91" i="25"/>
  <c r="Z90" i="25"/>
  <c r="X90" i="25"/>
  <c r="V90" i="25"/>
  <c r="T90" i="25"/>
  <c r="R90" i="25"/>
  <c r="P90" i="25"/>
  <c r="N90" i="25"/>
  <c r="L90" i="25"/>
  <c r="J90" i="25"/>
  <c r="H90" i="25"/>
  <c r="F90" i="25"/>
  <c r="D90" i="25"/>
  <c r="Z89" i="25"/>
  <c r="X89" i="25"/>
  <c r="V89" i="25"/>
  <c r="T89" i="25"/>
  <c r="R89" i="25"/>
  <c r="P89" i="25"/>
  <c r="N89" i="25"/>
  <c r="L89" i="25"/>
  <c r="J89" i="25"/>
  <c r="H89" i="25"/>
  <c r="F89" i="25"/>
  <c r="D89" i="25"/>
  <c r="Z88" i="25"/>
  <c r="X88" i="25"/>
  <c r="V88" i="25"/>
  <c r="T88" i="25"/>
  <c r="R88" i="25"/>
  <c r="P88" i="25"/>
  <c r="N88" i="25"/>
  <c r="L88" i="25"/>
  <c r="J88" i="25"/>
  <c r="H88" i="25"/>
  <c r="F88" i="25"/>
  <c r="D88" i="25"/>
  <c r="Z87" i="25"/>
  <c r="X87" i="25"/>
  <c r="V87" i="25"/>
  <c r="T87" i="25"/>
  <c r="R87" i="25"/>
  <c r="P87" i="25"/>
  <c r="N87" i="25"/>
  <c r="L87" i="25"/>
  <c r="J87" i="25"/>
  <c r="H87" i="25"/>
  <c r="F87" i="25"/>
  <c r="D87" i="25"/>
  <c r="Z86" i="25"/>
  <c r="X86" i="25"/>
  <c r="V86" i="25"/>
  <c r="T86" i="25"/>
  <c r="R86" i="25"/>
  <c r="P86" i="25"/>
  <c r="N86" i="25"/>
  <c r="L86" i="25"/>
  <c r="J86" i="25"/>
  <c r="H86" i="25"/>
  <c r="F86" i="25"/>
  <c r="D86" i="25"/>
  <c r="Z85" i="25"/>
  <c r="X85" i="25"/>
  <c r="V85" i="25"/>
  <c r="T85" i="25"/>
  <c r="R85" i="25"/>
  <c r="P85" i="25"/>
  <c r="N85" i="25"/>
  <c r="L85" i="25"/>
  <c r="J85" i="25"/>
  <c r="H85" i="25"/>
  <c r="F85" i="25"/>
  <c r="D85" i="25"/>
  <c r="Z84" i="25"/>
  <c r="X84" i="25"/>
  <c r="V84" i="25"/>
  <c r="T84" i="25"/>
  <c r="R84" i="25"/>
  <c r="P84" i="25"/>
  <c r="N84" i="25"/>
  <c r="L84" i="25"/>
  <c r="J84" i="25"/>
  <c r="H84" i="25"/>
  <c r="F84" i="25"/>
  <c r="D84" i="25"/>
  <c r="Z83" i="25"/>
  <c r="X83" i="25"/>
  <c r="V83" i="25"/>
  <c r="T83" i="25"/>
  <c r="R83" i="25"/>
  <c r="P83" i="25"/>
  <c r="N83" i="25"/>
  <c r="L83" i="25"/>
  <c r="J83" i="25"/>
  <c r="H83" i="25"/>
  <c r="F83" i="25"/>
  <c r="D83" i="25"/>
  <c r="Z82" i="25"/>
  <c r="X82" i="25"/>
  <c r="V82" i="25"/>
  <c r="T82" i="25"/>
  <c r="R82" i="25"/>
  <c r="P82" i="25"/>
  <c r="N82" i="25"/>
  <c r="L82" i="25"/>
  <c r="J82" i="25"/>
  <c r="H82" i="25"/>
  <c r="F82" i="25"/>
  <c r="D82" i="25"/>
  <c r="Z81" i="25"/>
  <c r="X81" i="25"/>
  <c r="V81" i="25"/>
  <c r="T81" i="25"/>
  <c r="R81" i="25"/>
  <c r="P81" i="25"/>
  <c r="N81" i="25"/>
  <c r="L81" i="25"/>
  <c r="J81" i="25"/>
  <c r="H81" i="25"/>
  <c r="F81" i="25"/>
  <c r="D81" i="25"/>
  <c r="Z80" i="25"/>
  <c r="X80" i="25"/>
  <c r="V80" i="25"/>
  <c r="T80" i="25"/>
  <c r="R80" i="25"/>
  <c r="P80" i="25"/>
  <c r="N80" i="25"/>
  <c r="L80" i="25"/>
  <c r="J80" i="25"/>
  <c r="H80" i="25"/>
  <c r="F80" i="25"/>
  <c r="D80" i="25"/>
  <c r="Z79" i="25"/>
  <c r="X79" i="25"/>
  <c r="V79" i="25"/>
  <c r="T79" i="25"/>
  <c r="R79" i="25"/>
  <c r="P79" i="25"/>
  <c r="N79" i="25"/>
  <c r="L79" i="25"/>
  <c r="J79" i="25"/>
  <c r="H79" i="25"/>
  <c r="F79" i="25"/>
  <c r="D79" i="25"/>
  <c r="Z78" i="25"/>
  <c r="X78" i="25"/>
  <c r="V78" i="25"/>
  <c r="T78" i="25"/>
  <c r="R78" i="25"/>
  <c r="P78" i="25"/>
  <c r="N78" i="25"/>
  <c r="L78" i="25"/>
  <c r="J78" i="25"/>
  <c r="H78" i="25"/>
  <c r="F78" i="25"/>
  <c r="D78" i="25"/>
  <c r="Z77" i="25"/>
  <c r="X77" i="25"/>
  <c r="V77" i="25"/>
  <c r="T77" i="25"/>
  <c r="R77" i="25"/>
  <c r="P77" i="25"/>
  <c r="N77" i="25"/>
  <c r="L77" i="25"/>
  <c r="J77" i="25"/>
  <c r="H77" i="25"/>
  <c r="F77" i="25"/>
  <c r="D77" i="25"/>
  <c r="Z76" i="25"/>
  <c r="X76" i="25"/>
  <c r="V76" i="25"/>
  <c r="T76" i="25"/>
  <c r="R76" i="25"/>
  <c r="P76" i="25"/>
  <c r="N76" i="25"/>
  <c r="L76" i="25"/>
  <c r="J76" i="25"/>
  <c r="H76" i="25"/>
  <c r="F76" i="25"/>
  <c r="D76" i="25"/>
  <c r="Z75" i="25"/>
  <c r="X75" i="25"/>
  <c r="V75" i="25"/>
  <c r="T75" i="25"/>
  <c r="R75" i="25"/>
  <c r="P75" i="25"/>
  <c r="N75" i="25"/>
  <c r="L75" i="25"/>
  <c r="J75" i="25"/>
  <c r="H75" i="25"/>
  <c r="F75" i="25"/>
  <c r="D75" i="25"/>
  <c r="Z74" i="25"/>
  <c r="X74" i="25"/>
  <c r="V74" i="25"/>
  <c r="T74" i="25"/>
  <c r="R74" i="25"/>
  <c r="P74" i="25"/>
  <c r="N74" i="25"/>
  <c r="L74" i="25"/>
  <c r="J74" i="25"/>
  <c r="H74" i="25"/>
  <c r="F74" i="25"/>
  <c r="D74" i="25"/>
  <c r="Z73" i="25"/>
  <c r="X73" i="25"/>
  <c r="V73" i="25"/>
  <c r="T73" i="25"/>
  <c r="R73" i="25"/>
  <c r="P73" i="25"/>
  <c r="N73" i="25"/>
  <c r="L73" i="25"/>
  <c r="J73" i="25"/>
  <c r="H73" i="25"/>
  <c r="F73" i="25"/>
  <c r="D73" i="25"/>
  <c r="Z72" i="25"/>
  <c r="X72" i="25"/>
  <c r="V72" i="25"/>
  <c r="T72" i="25"/>
  <c r="R72" i="25"/>
  <c r="P72" i="25"/>
  <c r="N72" i="25"/>
  <c r="L72" i="25"/>
  <c r="J72" i="25"/>
  <c r="H72" i="25"/>
  <c r="F72" i="25"/>
  <c r="D72" i="25"/>
  <c r="Z71" i="25"/>
  <c r="X71" i="25"/>
  <c r="V71" i="25"/>
  <c r="T71" i="25"/>
  <c r="R71" i="25"/>
  <c r="P71" i="25"/>
  <c r="N71" i="25"/>
  <c r="L71" i="25"/>
  <c r="J71" i="25"/>
  <c r="H71" i="25"/>
  <c r="F71" i="25"/>
  <c r="D71" i="25"/>
  <c r="Z70" i="25"/>
  <c r="X70" i="25"/>
  <c r="V70" i="25"/>
  <c r="T70" i="25"/>
  <c r="R70" i="25"/>
  <c r="P70" i="25"/>
  <c r="N70" i="25"/>
  <c r="L70" i="25"/>
  <c r="J70" i="25"/>
  <c r="H70" i="25"/>
  <c r="F70" i="25"/>
  <c r="D70" i="25"/>
  <c r="Z69" i="25"/>
  <c r="X69" i="25"/>
  <c r="V69" i="25"/>
  <c r="T69" i="25"/>
  <c r="R69" i="25"/>
  <c r="P69" i="25"/>
  <c r="N69" i="25"/>
  <c r="L69" i="25"/>
  <c r="J69" i="25"/>
  <c r="H69" i="25"/>
  <c r="F69" i="25"/>
  <c r="D69" i="25"/>
  <c r="Z68" i="25"/>
  <c r="X68" i="25"/>
  <c r="V68" i="25"/>
  <c r="T68" i="25"/>
  <c r="R68" i="25"/>
  <c r="P68" i="25"/>
  <c r="N68" i="25"/>
  <c r="L68" i="25"/>
  <c r="J68" i="25"/>
  <c r="H68" i="25"/>
  <c r="F68" i="25"/>
  <c r="D68" i="25"/>
  <c r="Z67" i="25"/>
  <c r="X67" i="25"/>
  <c r="V67" i="25"/>
  <c r="T67" i="25"/>
  <c r="R67" i="25"/>
  <c r="P67" i="25"/>
  <c r="N67" i="25"/>
  <c r="L67" i="25"/>
  <c r="J67" i="25"/>
  <c r="H67" i="25"/>
  <c r="F67" i="25"/>
  <c r="Z66" i="25"/>
  <c r="X66" i="25"/>
  <c r="V66" i="25"/>
  <c r="T66" i="25"/>
  <c r="R66" i="25"/>
  <c r="P66" i="25"/>
  <c r="N66" i="25"/>
  <c r="L66" i="25"/>
  <c r="J66" i="25"/>
  <c r="H66" i="25"/>
  <c r="F66" i="25"/>
  <c r="Z65" i="25"/>
  <c r="X65" i="25"/>
  <c r="V65" i="25"/>
  <c r="T65" i="25"/>
  <c r="R65" i="25"/>
  <c r="P65" i="25"/>
  <c r="N65" i="25"/>
  <c r="L65" i="25"/>
  <c r="J65" i="25"/>
  <c r="H65" i="25"/>
  <c r="F65" i="25"/>
  <c r="D65" i="25"/>
  <c r="Z64" i="25"/>
  <c r="X64" i="25"/>
  <c r="V64" i="25"/>
  <c r="T64" i="25"/>
  <c r="R64" i="25"/>
  <c r="P64" i="25"/>
  <c r="N64" i="25"/>
  <c r="L64" i="25"/>
  <c r="J64" i="25"/>
  <c r="H64" i="25"/>
  <c r="F64" i="25"/>
  <c r="D64" i="25"/>
  <c r="Z63" i="25"/>
  <c r="X63" i="25"/>
  <c r="V63" i="25"/>
  <c r="T63" i="25"/>
  <c r="R63" i="25"/>
  <c r="P63" i="25"/>
  <c r="N63" i="25"/>
  <c r="L63" i="25"/>
  <c r="J63" i="25"/>
  <c r="H63" i="25"/>
  <c r="F63" i="25"/>
  <c r="D63" i="25"/>
  <c r="Z62" i="25"/>
  <c r="X62" i="25"/>
  <c r="V62" i="25"/>
  <c r="T62" i="25"/>
  <c r="R62" i="25"/>
  <c r="P62" i="25"/>
  <c r="N62" i="25"/>
  <c r="L62" i="25"/>
  <c r="J62" i="25"/>
  <c r="H62" i="25"/>
  <c r="F62" i="25"/>
  <c r="D62" i="25"/>
  <c r="Z61" i="25"/>
  <c r="X61" i="25"/>
  <c r="V61" i="25"/>
  <c r="T61" i="25"/>
  <c r="R61" i="25"/>
  <c r="P61" i="25"/>
  <c r="N61" i="25"/>
  <c r="L61" i="25"/>
  <c r="J61" i="25"/>
  <c r="H61" i="25"/>
  <c r="F61" i="25"/>
  <c r="D61" i="25"/>
  <c r="Z60" i="25"/>
  <c r="X60" i="25"/>
  <c r="V60" i="25"/>
  <c r="T60" i="25"/>
  <c r="R60" i="25"/>
  <c r="P60" i="25"/>
  <c r="N60" i="25"/>
  <c r="L60" i="25"/>
  <c r="J60" i="25"/>
  <c r="H60" i="25"/>
  <c r="F60" i="25"/>
  <c r="D60" i="25"/>
  <c r="Z59" i="25"/>
  <c r="X59" i="25"/>
  <c r="V59" i="25"/>
  <c r="T59" i="25"/>
  <c r="R59" i="25"/>
  <c r="P59" i="25"/>
  <c r="N59" i="25"/>
  <c r="L59" i="25"/>
  <c r="J59" i="25"/>
  <c r="H59" i="25"/>
  <c r="F59" i="25"/>
  <c r="D59" i="25"/>
  <c r="Z58" i="25"/>
  <c r="X58" i="25"/>
  <c r="V58" i="25"/>
  <c r="T58" i="25"/>
  <c r="R58" i="25"/>
  <c r="P58" i="25"/>
  <c r="N58" i="25"/>
  <c r="L58" i="25"/>
  <c r="J58" i="25"/>
  <c r="H58" i="25"/>
  <c r="F58" i="25"/>
  <c r="D58" i="25"/>
  <c r="Z57" i="25"/>
  <c r="X57" i="25"/>
  <c r="V57" i="25"/>
  <c r="T57" i="25"/>
  <c r="R57" i="25"/>
  <c r="P57" i="25"/>
  <c r="N57" i="25"/>
  <c r="L57" i="25"/>
  <c r="J57" i="25"/>
  <c r="H57" i="25"/>
  <c r="F57" i="25"/>
  <c r="D57" i="25"/>
  <c r="Z56" i="25"/>
  <c r="X56" i="25"/>
  <c r="V56" i="25"/>
  <c r="T56" i="25"/>
  <c r="R56" i="25"/>
  <c r="P56" i="25"/>
  <c r="N56" i="25"/>
  <c r="L56" i="25"/>
  <c r="J56" i="25"/>
  <c r="H56" i="25"/>
  <c r="F56" i="25"/>
  <c r="D56" i="25"/>
  <c r="Z55" i="25"/>
  <c r="X55" i="25"/>
  <c r="V55" i="25"/>
  <c r="T55" i="25"/>
  <c r="R55" i="25"/>
  <c r="P55" i="25"/>
  <c r="N55" i="25"/>
  <c r="L55" i="25"/>
  <c r="J55" i="25"/>
  <c r="H55" i="25"/>
  <c r="F55" i="25"/>
  <c r="D55" i="25"/>
  <c r="Z54" i="25"/>
  <c r="X54" i="25"/>
  <c r="V54" i="25"/>
  <c r="T54" i="25"/>
  <c r="R54" i="25"/>
  <c r="P54" i="25"/>
  <c r="N54" i="25"/>
  <c r="L54" i="25"/>
  <c r="J54" i="25"/>
  <c r="H54" i="25"/>
  <c r="F54" i="25"/>
  <c r="D54" i="25"/>
  <c r="Z53" i="25"/>
  <c r="X53" i="25"/>
  <c r="V53" i="25"/>
  <c r="T53" i="25"/>
  <c r="R53" i="25"/>
  <c r="P53" i="25"/>
  <c r="N53" i="25"/>
  <c r="L53" i="25"/>
  <c r="J53" i="25"/>
  <c r="H53" i="25"/>
  <c r="F53" i="25"/>
  <c r="D53" i="25"/>
  <c r="Z52" i="25"/>
  <c r="X52" i="25"/>
  <c r="V52" i="25"/>
  <c r="T52" i="25"/>
  <c r="R52" i="25"/>
  <c r="P52" i="25"/>
  <c r="N52" i="25"/>
  <c r="L52" i="25"/>
  <c r="J52" i="25"/>
  <c r="H52" i="25"/>
  <c r="F52" i="25"/>
  <c r="D52" i="25"/>
  <c r="Z51" i="25"/>
  <c r="X51" i="25"/>
  <c r="V51" i="25"/>
  <c r="T51" i="25"/>
  <c r="R51" i="25"/>
  <c r="P51" i="25"/>
  <c r="N51" i="25"/>
  <c r="L51" i="25"/>
  <c r="J51" i="25"/>
  <c r="H51" i="25"/>
  <c r="F51" i="25"/>
  <c r="D51" i="25"/>
  <c r="Z50" i="25"/>
  <c r="X50" i="25"/>
  <c r="V50" i="25"/>
  <c r="T50" i="25"/>
  <c r="R50" i="25"/>
  <c r="P50" i="25"/>
  <c r="N50" i="25"/>
  <c r="L50" i="25"/>
  <c r="J50" i="25"/>
  <c r="H50" i="25"/>
  <c r="F50" i="25"/>
  <c r="D50" i="25"/>
  <c r="Z49" i="25"/>
  <c r="X49" i="25"/>
  <c r="V49" i="25"/>
  <c r="T49" i="25"/>
  <c r="R49" i="25"/>
  <c r="P49" i="25"/>
  <c r="N49" i="25"/>
  <c r="L49" i="25"/>
  <c r="J49" i="25"/>
  <c r="H49" i="25"/>
  <c r="F49" i="25"/>
  <c r="D49" i="25"/>
  <c r="Z48" i="25"/>
  <c r="X48" i="25"/>
  <c r="V48" i="25"/>
  <c r="T48" i="25"/>
  <c r="R48" i="25"/>
  <c r="P48" i="25"/>
  <c r="N48" i="25"/>
  <c r="L48" i="25"/>
  <c r="J48" i="25"/>
  <c r="H48" i="25"/>
  <c r="F48" i="25"/>
  <c r="D48" i="25"/>
  <c r="Z47" i="25"/>
  <c r="X47" i="25"/>
  <c r="V47" i="25"/>
  <c r="T47" i="25"/>
  <c r="R47" i="25"/>
  <c r="P47" i="25"/>
  <c r="N47" i="25"/>
  <c r="L47" i="25"/>
  <c r="J47" i="25"/>
  <c r="H47" i="25"/>
  <c r="F47" i="25"/>
  <c r="D47" i="25"/>
  <c r="Z46" i="25"/>
  <c r="X46" i="25"/>
  <c r="V46" i="25"/>
  <c r="T46" i="25"/>
  <c r="R46" i="25"/>
  <c r="P46" i="25"/>
  <c r="N46" i="25"/>
  <c r="L46" i="25"/>
  <c r="J46" i="25"/>
  <c r="H46" i="25"/>
  <c r="F46" i="25"/>
  <c r="D46" i="25"/>
  <c r="Z45" i="25"/>
  <c r="X45" i="25"/>
  <c r="V45" i="25"/>
  <c r="T45" i="25"/>
  <c r="R45" i="25"/>
  <c r="P45" i="25"/>
  <c r="N45" i="25"/>
  <c r="L45" i="25"/>
  <c r="J45" i="25"/>
  <c r="H45" i="25"/>
  <c r="F45" i="25"/>
  <c r="D45" i="25"/>
  <c r="V43" i="25"/>
  <c r="T43" i="25"/>
  <c r="Z43" i="25" s="1"/>
  <c r="R43" i="25"/>
  <c r="X43" i="25" s="1"/>
  <c r="P43" i="25"/>
  <c r="N43" i="25"/>
  <c r="L43" i="25"/>
  <c r="J43" i="25"/>
  <c r="H43" i="25"/>
  <c r="F43" i="25"/>
  <c r="D43" i="25"/>
  <c r="Z41" i="25"/>
  <c r="X41" i="25"/>
  <c r="V41" i="25"/>
  <c r="T41" i="25"/>
  <c r="R41" i="25"/>
  <c r="P41" i="25"/>
  <c r="N41" i="25"/>
  <c r="L41" i="25"/>
  <c r="J41" i="25"/>
  <c r="H41" i="25"/>
  <c r="F41" i="25"/>
  <c r="D41" i="25"/>
  <c r="Z40" i="25"/>
  <c r="X40" i="25"/>
  <c r="V40" i="25"/>
  <c r="T40" i="25"/>
  <c r="R40" i="25"/>
  <c r="P40" i="25"/>
  <c r="N40" i="25"/>
  <c r="L40" i="25"/>
  <c r="J40" i="25"/>
  <c r="H40" i="25"/>
  <c r="F40" i="25"/>
  <c r="D40" i="25"/>
  <c r="Z37" i="25"/>
  <c r="X37" i="25"/>
  <c r="V37" i="25"/>
  <c r="T37" i="25"/>
  <c r="R37" i="25"/>
  <c r="P37" i="25"/>
  <c r="N37" i="25"/>
  <c r="L37" i="25"/>
  <c r="J37" i="25"/>
  <c r="H37" i="25"/>
  <c r="F37" i="25"/>
  <c r="Z36" i="25"/>
  <c r="X36" i="25"/>
  <c r="V36" i="25"/>
  <c r="T36" i="25"/>
  <c r="R36" i="25"/>
  <c r="P36" i="25"/>
  <c r="N36" i="25"/>
  <c r="L36" i="25"/>
  <c r="J36" i="25"/>
  <c r="H36" i="25"/>
  <c r="F36" i="25"/>
  <c r="Z35" i="25"/>
  <c r="X35" i="25"/>
  <c r="V35" i="25"/>
  <c r="T35" i="25"/>
  <c r="R35" i="25"/>
  <c r="P35" i="25"/>
  <c r="N35" i="25"/>
  <c r="L35" i="25"/>
  <c r="J35" i="25"/>
  <c r="H35" i="25"/>
  <c r="F35" i="25"/>
  <c r="Z34" i="25"/>
  <c r="X34" i="25"/>
  <c r="V34" i="25"/>
  <c r="T34" i="25"/>
  <c r="R34" i="25"/>
  <c r="P34" i="25"/>
  <c r="N34" i="25"/>
  <c r="L34" i="25"/>
  <c r="J34" i="25"/>
  <c r="H34" i="25"/>
  <c r="F34" i="25"/>
  <c r="Z33" i="25"/>
  <c r="X33" i="25"/>
  <c r="V33" i="25"/>
  <c r="T33" i="25"/>
  <c r="R33" i="25"/>
  <c r="P33" i="25"/>
  <c r="N33" i="25"/>
  <c r="L33" i="25"/>
  <c r="J33" i="25"/>
  <c r="H33" i="25"/>
  <c r="F33" i="25"/>
  <c r="Z32" i="25"/>
  <c r="X32" i="25"/>
  <c r="V32" i="25"/>
  <c r="T32" i="25"/>
  <c r="R32" i="25"/>
  <c r="P32" i="25"/>
  <c r="N32" i="25"/>
  <c r="L32" i="25"/>
  <c r="J32" i="25"/>
  <c r="H32" i="25"/>
  <c r="F32" i="25"/>
  <c r="V30" i="25"/>
  <c r="T30" i="25"/>
  <c r="R30" i="25"/>
  <c r="P30" i="25"/>
  <c r="N30" i="25"/>
  <c r="L30" i="25"/>
  <c r="J30" i="25"/>
  <c r="H30" i="25"/>
  <c r="F30" i="25"/>
  <c r="Z29" i="25"/>
  <c r="X29" i="25"/>
  <c r="V29" i="25"/>
  <c r="T29" i="25"/>
  <c r="R29" i="25"/>
  <c r="P29" i="25"/>
  <c r="N29" i="25"/>
  <c r="L29" i="25"/>
  <c r="J29" i="25"/>
  <c r="H29" i="25"/>
  <c r="F29" i="25"/>
  <c r="Z28" i="25"/>
  <c r="X28" i="25"/>
  <c r="V28" i="25"/>
  <c r="T28" i="25"/>
  <c r="R28" i="25"/>
  <c r="P28" i="25"/>
  <c r="N28" i="25"/>
  <c r="L28" i="25"/>
  <c r="J28" i="25"/>
  <c r="H28" i="25"/>
  <c r="F28" i="25"/>
  <c r="W25" i="25"/>
  <c r="Y21" i="25"/>
  <c r="Y25" i="25" s="1"/>
  <c r="U21" i="25"/>
  <c r="U25" i="25" s="1"/>
  <c r="S21" i="25"/>
  <c r="S25" i="25" s="1"/>
  <c r="Q21" i="25"/>
  <c r="Q25" i="25" s="1"/>
  <c r="O21" i="25"/>
  <c r="O25" i="25" s="1"/>
  <c r="M21" i="25"/>
  <c r="M25" i="25" s="1"/>
  <c r="K21" i="25"/>
  <c r="K25" i="25" s="1"/>
  <c r="I21" i="25"/>
  <c r="I25" i="25" s="1"/>
  <c r="G21" i="25"/>
  <c r="G25" i="25" s="1"/>
  <c r="E21" i="25"/>
  <c r="E25" i="25" s="1"/>
  <c r="C21" i="25"/>
  <c r="C25" i="25" s="1"/>
  <c r="Z19" i="25"/>
  <c r="X19" i="25"/>
  <c r="V19" i="25"/>
  <c r="T19" i="25"/>
  <c r="R19" i="25"/>
  <c r="P19" i="25"/>
  <c r="N19" i="25"/>
  <c r="L19" i="25"/>
  <c r="J19" i="25"/>
  <c r="H19" i="25"/>
  <c r="F19" i="25"/>
  <c r="D19" i="25"/>
  <c r="Z18" i="25"/>
  <c r="X18" i="25"/>
  <c r="V18" i="25"/>
  <c r="T18" i="25"/>
  <c r="R18" i="25"/>
  <c r="P18" i="25"/>
  <c r="N18" i="25"/>
  <c r="L18" i="25"/>
  <c r="J18" i="25"/>
  <c r="H18" i="25"/>
  <c r="F18" i="25"/>
  <c r="D18" i="25"/>
  <c r="Z17" i="25"/>
  <c r="X17" i="25"/>
  <c r="V17" i="25"/>
  <c r="T17" i="25"/>
  <c r="R17" i="25"/>
  <c r="P17" i="25"/>
  <c r="N17" i="25"/>
  <c r="L17" i="25"/>
  <c r="J17" i="25"/>
  <c r="H17" i="25"/>
  <c r="F17" i="25"/>
  <c r="D17" i="25"/>
  <c r="Z16" i="25"/>
  <c r="X16" i="25"/>
  <c r="V16" i="25"/>
  <c r="T16" i="25"/>
  <c r="R16" i="25"/>
  <c r="P16" i="25"/>
  <c r="N16" i="25"/>
  <c r="L16" i="25"/>
  <c r="J16" i="25"/>
  <c r="H16" i="25"/>
  <c r="F16" i="25"/>
  <c r="D16" i="25"/>
  <c r="Z15" i="25"/>
  <c r="X15" i="25"/>
  <c r="V15" i="25"/>
  <c r="T15" i="25"/>
  <c r="R15" i="25"/>
  <c r="P15" i="25"/>
  <c r="N15" i="25"/>
  <c r="L15" i="25"/>
  <c r="J15" i="25"/>
  <c r="H15" i="25"/>
  <c r="F15" i="25"/>
  <c r="D15" i="25"/>
  <c r="Z12" i="25"/>
  <c r="X12" i="25"/>
  <c r="V12" i="25"/>
  <c r="T12" i="25"/>
  <c r="R12" i="25"/>
  <c r="P12" i="25"/>
  <c r="N12" i="25"/>
  <c r="L12" i="25"/>
  <c r="J12" i="25"/>
  <c r="H12" i="25"/>
  <c r="F12" i="25"/>
  <c r="D12" i="25"/>
  <c r="Z11" i="25"/>
  <c r="X11" i="25"/>
  <c r="V11" i="25"/>
  <c r="T11" i="25"/>
  <c r="R11" i="25"/>
  <c r="P11" i="25"/>
  <c r="N11" i="25"/>
  <c r="L11" i="25"/>
  <c r="J11" i="25"/>
  <c r="H11" i="25"/>
  <c r="F11" i="25"/>
  <c r="D11" i="25"/>
  <c r="Z10" i="25"/>
  <c r="X10" i="25"/>
  <c r="V10" i="25"/>
  <c r="T10" i="25"/>
  <c r="R10" i="25"/>
  <c r="P10" i="25"/>
  <c r="N10" i="25"/>
  <c r="L10" i="25"/>
  <c r="J10" i="25"/>
  <c r="H10" i="25"/>
  <c r="F10" i="25"/>
  <c r="D10" i="25"/>
  <c r="Z9" i="25"/>
  <c r="Z21" i="25" s="1"/>
  <c r="X9" i="25"/>
  <c r="X21" i="25" s="1"/>
  <c r="V9" i="25"/>
  <c r="V21" i="25" s="1"/>
  <c r="T9" i="25"/>
  <c r="T21" i="25" s="1"/>
  <c r="R9" i="25"/>
  <c r="R21" i="25" s="1"/>
  <c r="P9" i="25"/>
  <c r="P21" i="25" s="1"/>
  <c r="N9" i="25"/>
  <c r="N21" i="25" s="1"/>
  <c r="L9" i="25"/>
  <c r="L21" i="25" s="1"/>
  <c r="J9" i="25"/>
  <c r="J21" i="25" s="1"/>
  <c r="H9" i="25"/>
  <c r="H21" i="25" s="1"/>
  <c r="F9" i="25"/>
  <c r="F21" i="25" s="1"/>
  <c r="D9" i="25"/>
  <c r="Z98" i="29" l="1"/>
  <c r="X102" i="28"/>
  <c r="Z102" i="28"/>
  <c r="Z103" i="28" s="1"/>
  <c r="Z104" i="28" s="1"/>
  <c r="X98" i="29"/>
  <c r="X99" i="29" s="1"/>
  <c r="X100" i="29" s="1"/>
  <c r="D97" i="25"/>
  <c r="J100" i="29"/>
  <c r="J102" i="29" s="1"/>
  <c r="J97" i="25"/>
  <c r="J98" i="25" s="1"/>
  <c r="J99" i="25" s="1"/>
  <c r="J100" i="25" s="1"/>
  <c r="R97" i="25"/>
  <c r="R98" i="25" s="1"/>
  <c r="R99" i="25" s="1"/>
  <c r="R100" i="25" s="1"/>
  <c r="D98" i="29"/>
  <c r="D99" i="29" s="1"/>
  <c r="D100" i="29" s="1"/>
  <c r="P104" i="29"/>
  <c r="P102" i="29"/>
  <c r="H104" i="29"/>
  <c r="H102" i="29"/>
  <c r="Z99" i="29"/>
  <c r="Z100" i="29" s="1"/>
  <c r="L104" i="29"/>
  <c r="L102" i="29"/>
  <c r="N104" i="29"/>
  <c r="N102" i="29"/>
  <c r="T102" i="29"/>
  <c r="T104" i="29"/>
  <c r="V104" i="29"/>
  <c r="V102" i="29"/>
  <c r="F104" i="29"/>
  <c r="F102" i="29"/>
  <c r="R104" i="29"/>
  <c r="R102" i="29"/>
  <c r="D102" i="28"/>
  <c r="D103" i="28" s="1"/>
  <c r="D104" i="28" s="1"/>
  <c r="P108" i="28"/>
  <c r="P106" i="28"/>
  <c r="H108" i="28"/>
  <c r="H106" i="28"/>
  <c r="X103" i="28"/>
  <c r="X104" i="28" s="1"/>
  <c r="V108" i="28"/>
  <c r="V106" i="28"/>
  <c r="F108" i="28"/>
  <c r="F106" i="28"/>
  <c r="J108" i="28"/>
  <c r="J106" i="28"/>
  <c r="L108" i="28"/>
  <c r="L106" i="28"/>
  <c r="N108" i="28"/>
  <c r="N106" i="28"/>
  <c r="T108" i="28"/>
  <c r="T106" i="28"/>
  <c r="R108" i="28"/>
  <c r="R106" i="28"/>
  <c r="Z97" i="25"/>
  <c r="L97" i="25"/>
  <c r="L98" i="25" s="1"/>
  <c r="L99" i="25" s="1"/>
  <c r="L100" i="25" s="1"/>
  <c r="T97" i="25"/>
  <c r="T98" i="25" s="1"/>
  <c r="H97" i="25"/>
  <c r="H98" i="25" s="1"/>
  <c r="H99" i="25" s="1"/>
  <c r="H100" i="25" s="1"/>
  <c r="P97" i="25"/>
  <c r="P98" i="25" s="1"/>
  <c r="P99" i="25" s="1"/>
  <c r="P100" i="25" s="1"/>
  <c r="F97" i="25"/>
  <c r="F98" i="25" s="1"/>
  <c r="F99" i="25" s="1"/>
  <c r="F100" i="25" s="1"/>
  <c r="N97" i="25"/>
  <c r="N98" i="25" s="1"/>
  <c r="N99" i="25" s="1"/>
  <c r="N100" i="25" s="1"/>
  <c r="V97" i="25"/>
  <c r="V98" i="25" s="1"/>
  <c r="V99" i="25" s="1"/>
  <c r="D21" i="25"/>
  <c r="D23" i="25" s="1"/>
  <c r="D25" i="25" s="1"/>
  <c r="X23" i="25"/>
  <c r="X25" i="25" s="1"/>
  <c r="T99" i="25"/>
  <c r="T100" i="25" s="1"/>
  <c r="J23" i="25"/>
  <c r="J25" i="25" s="1"/>
  <c r="R23" i="25"/>
  <c r="R25" i="25" s="1"/>
  <c r="Z23" i="25"/>
  <c r="Z25" i="25" s="1"/>
  <c r="X97" i="25"/>
  <c r="F23" i="25"/>
  <c r="F25" i="25" s="1"/>
  <c r="N23" i="25"/>
  <c r="N25" i="25" s="1"/>
  <c r="V23" i="25"/>
  <c r="V25" i="25" s="1"/>
  <c r="P23" i="25"/>
  <c r="P25" i="25" s="1"/>
  <c r="L23" i="25"/>
  <c r="L25" i="25" s="1"/>
  <c r="T23" i="25"/>
  <c r="T25" i="25" s="1"/>
  <c r="H23" i="25"/>
  <c r="H25" i="25" s="1"/>
  <c r="J104" i="29" l="1"/>
  <c r="D98" i="25"/>
  <c r="D99" i="25" s="1"/>
  <c r="D100" i="25" s="1"/>
  <c r="X110" i="29"/>
  <c r="X111" i="29" s="1"/>
  <c r="X112" i="29" s="1"/>
  <c r="X113" i="29" s="1"/>
  <c r="X102" i="29"/>
  <c r="X104" i="29" s="1"/>
  <c r="D102" i="29"/>
  <c r="D104" i="29" s="1"/>
  <c r="D110" i="29"/>
  <c r="D111" i="29" s="1"/>
  <c r="D113" i="29" s="1"/>
  <c r="A4" i="29" s="1"/>
  <c r="T106" i="29"/>
  <c r="T108" i="29"/>
  <c r="T110" i="29" s="1"/>
  <c r="R108" i="29"/>
  <c r="R110" i="29" s="1"/>
  <c r="R106" i="29"/>
  <c r="V108" i="29"/>
  <c r="V110" i="29" s="1"/>
  <c r="V106" i="29"/>
  <c r="Z110" i="29"/>
  <c r="Z111" i="29" s="1"/>
  <c r="Z112" i="29" s="1"/>
  <c r="Z113" i="29" s="1"/>
  <c r="Z102" i="29"/>
  <c r="Z104" i="29" s="1"/>
  <c r="F108" i="29"/>
  <c r="F110" i="29" s="1"/>
  <c r="F106" i="29"/>
  <c r="J108" i="29"/>
  <c r="J110" i="29" s="1"/>
  <c r="J106" i="29"/>
  <c r="N108" i="29"/>
  <c r="N110" i="29" s="1"/>
  <c r="N106" i="29"/>
  <c r="L108" i="29"/>
  <c r="L110" i="29" s="1"/>
  <c r="L106" i="29"/>
  <c r="H108" i="29"/>
  <c r="H110" i="29" s="1"/>
  <c r="H106" i="29"/>
  <c r="P108" i="29"/>
  <c r="P110" i="29" s="1"/>
  <c r="P106" i="29"/>
  <c r="Z114" i="28"/>
  <c r="Z115" i="28" s="1"/>
  <c r="Z116" i="28" s="1"/>
  <c r="Z117" i="28" s="1"/>
  <c r="Z106" i="28"/>
  <c r="Z108" i="28" s="1"/>
  <c r="X114" i="28"/>
  <c r="X115" i="28" s="1"/>
  <c r="X116" i="28" s="1"/>
  <c r="X117" i="28" s="1"/>
  <c r="X106" i="28"/>
  <c r="X108" i="28" s="1"/>
  <c r="T112" i="28"/>
  <c r="T114" i="28" s="1"/>
  <c r="T110" i="28"/>
  <c r="F112" i="28"/>
  <c r="F114" i="28" s="1"/>
  <c r="F110" i="28"/>
  <c r="L112" i="28"/>
  <c r="L114" i="28" s="1"/>
  <c r="L110" i="28"/>
  <c r="R112" i="28"/>
  <c r="R114" i="28" s="1"/>
  <c r="R110" i="28"/>
  <c r="J112" i="28"/>
  <c r="J114" i="28" s="1"/>
  <c r="J110" i="28"/>
  <c r="V112" i="28"/>
  <c r="V114" i="28" s="1"/>
  <c r="V110" i="28"/>
  <c r="D114" i="28"/>
  <c r="D115" i="28" s="1"/>
  <c r="D117" i="28" s="1"/>
  <c r="A4" i="28" s="1"/>
  <c r="D106" i="28"/>
  <c r="D108" i="28" s="1"/>
  <c r="N112" i="28"/>
  <c r="N114" i="28" s="1"/>
  <c r="N110" i="28"/>
  <c r="H112" i="28"/>
  <c r="H114" i="28" s="1"/>
  <c r="H110" i="28"/>
  <c r="P112" i="28"/>
  <c r="P114" i="28" s="1"/>
  <c r="P110" i="28"/>
  <c r="Z98" i="25"/>
  <c r="Z99" i="25" s="1"/>
  <c r="Z100" i="25" s="1"/>
  <c r="V100" i="25"/>
  <c r="V102" i="25" s="1"/>
  <c r="L104" i="25"/>
  <c r="L102" i="25"/>
  <c r="R104" i="25"/>
  <c r="R102" i="25"/>
  <c r="H104" i="25"/>
  <c r="H102" i="25"/>
  <c r="N102" i="25"/>
  <c r="N104" i="25"/>
  <c r="P104" i="25"/>
  <c r="P102" i="25"/>
  <c r="X98" i="25"/>
  <c r="J104" i="25"/>
  <c r="J102" i="25"/>
  <c r="F104" i="25"/>
  <c r="F102" i="25"/>
  <c r="T104" i="25"/>
  <c r="T102" i="25"/>
  <c r="V104" i="25" l="1"/>
  <c r="V108" i="25" s="1"/>
  <c r="V110" i="25" s="1"/>
  <c r="Z108" i="29"/>
  <c r="Z106" i="29"/>
  <c r="D106" i="29"/>
  <c r="D108" i="29"/>
  <c r="X108" i="29"/>
  <c r="X106" i="29"/>
  <c r="X112" i="28"/>
  <c r="X110" i="28"/>
  <c r="D112" i="28"/>
  <c r="D110" i="28"/>
  <c r="Z112" i="28"/>
  <c r="Z110" i="28"/>
  <c r="D110" i="25"/>
  <c r="D111" i="25" s="1"/>
  <c r="D113" i="25" s="1"/>
  <c r="D102" i="25"/>
  <c r="D104" i="25" s="1"/>
  <c r="Z110" i="25"/>
  <c r="Z111" i="25" s="1"/>
  <c r="Z112" i="25" s="1"/>
  <c r="Z113" i="25" s="1"/>
  <c r="Z102" i="25"/>
  <c r="Z104" i="25" s="1"/>
  <c r="F106" i="25"/>
  <c r="F108" i="25"/>
  <c r="F110" i="25" s="1"/>
  <c r="J108" i="25"/>
  <c r="J110" i="25" s="1"/>
  <c r="J106" i="25"/>
  <c r="N108" i="25"/>
  <c r="N110" i="25" s="1"/>
  <c r="N106" i="25"/>
  <c r="X99" i="25"/>
  <c r="X100" i="25" s="1"/>
  <c r="R108" i="25"/>
  <c r="R110" i="25" s="1"/>
  <c r="R106" i="25"/>
  <c r="T108" i="25"/>
  <c r="T110" i="25" s="1"/>
  <c r="T106" i="25"/>
  <c r="V106" i="25"/>
  <c r="P108" i="25"/>
  <c r="P110" i="25" s="1"/>
  <c r="P106" i="25"/>
  <c r="H108" i="25"/>
  <c r="H110" i="25" s="1"/>
  <c r="H106" i="25"/>
  <c r="L108" i="25"/>
  <c r="L110" i="25" s="1"/>
  <c r="L106" i="25"/>
  <c r="D112" i="23"/>
  <c r="Z96" i="23"/>
  <c r="X96" i="23"/>
  <c r="V96" i="23"/>
  <c r="T96" i="23"/>
  <c r="R96" i="23"/>
  <c r="P96" i="23"/>
  <c r="N96" i="23"/>
  <c r="L96" i="23"/>
  <c r="J96" i="23"/>
  <c r="H96" i="23"/>
  <c r="F96" i="23"/>
  <c r="D96" i="23"/>
  <c r="Z95" i="23"/>
  <c r="X95" i="23"/>
  <c r="V95" i="23"/>
  <c r="T95" i="23"/>
  <c r="R95" i="23"/>
  <c r="P95" i="23"/>
  <c r="N95" i="23"/>
  <c r="L95" i="23"/>
  <c r="J95" i="23"/>
  <c r="H95" i="23"/>
  <c r="F95" i="23"/>
  <c r="D95" i="23"/>
  <c r="Z94" i="23"/>
  <c r="X94" i="23"/>
  <c r="V94" i="23"/>
  <c r="T94" i="23"/>
  <c r="R94" i="23"/>
  <c r="P94" i="23"/>
  <c r="N94" i="23"/>
  <c r="L94" i="23"/>
  <c r="J94" i="23"/>
  <c r="H94" i="23"/>
  <c r="F94" i="23"/>
  <c r="D94" i="23"/>
  <c r="Z93" i="23"/>
  <c r="X93" i="23"/>
  <c r="V93" i="23"/>
  <c r="T93" i="23"/>
  <c r="R93" i="23"/>
  <c r="P93" i="23"/>
  <c r="N93" i="23"/>
  <c r="L93" i="23"/>
  <c r="J93" i="23"/>
  <c r="H93" i="23"/>
  <c r="F93" i="23"/>
  <c r="D93" i="23"/>
  <c r="Z92" i="23"/>
  <c r="X92" i="23"/>
  <c r="V92" i="23"/>
  <c r="T92" i="23"/>
  <c r="R92" i="23"/>
  <c r="P92" i="23"/>
  <c r="N92" i="23"/>
  <c r="L92" i="23"/>
  <c r="J92" i="23"/>
  <c r="H92" i="23"/>
  <c r="F92" i="23"/>
  <c r="D92" i="23"/>
  <c r="Z91" i="23"/>
  <c r="X91" i="23"/>
  <c r="V91" i="23"/>
  <c r="T91" i="23"/>
  <c r="R91" i="23"/>
  <c r="P91" i="23"/>
  <c r="N91" i="23"/>
  <c r="L91" i="23"/>
  <c r="J91" i="23"/>
  <c r="H91" i="23"/>
  <c r="F91" i="23"/>
  <c r="D91" i="23"/>
  <c r="Z90" i="23"/>
  <c r="X90" i="23"/>
  <c r="V90" i="23"/>
  <c r="T90" i="23"/>
  <c r="R90" i="23"/>
  <c r="P90" i="23"/>
  <c r="N90" i="23"/>
  <c r="L90" i="23"/>
  <c r="J90" i="23"/>
  <c r="H90" i="23"/>
  <c r="F90" i="23"/>
  <c r="D90" i="23"/>
  <c r="Z89" i="23"/>
  <c r="X89" i="23"/>
  <c r="V89" i="23"/>
  <c r="T89" i="23"/>
  <c r="R89" i="23"/>
  <c r="P89" i="23"/>
  <c r="N89" i="23"/>
  <c r="L89" i="23"/>
  <c r="J89" i="23"/>
  <c r="H89" i="23"/>
  <c r="F89" i="23"/>
  <c r="D89" i="23"/>
  <c r="Z88" i="23"/>
  <c r="X88" i="23"/>
  <c r="V88" i="23"/>
  <c r="T88" i="23"/>
  <c r="R88" i="23"/>
  <c r="P88" i="23"/>
  <c r="N88" i="23"/>
  <c r="L88" i="23"/>
  <c r="J88" i="23"/>
  <c r="H88" i="23"/>
  <c r="F88" i="23"/>
  <c r="D88" i="23"/>
  <c r="Z87" i="23"/>
  <c r="X87" i="23"/>
  <c r="V87" i="23"/>
  <c r="T87" i="23"/>
  <c r="R87" i="23"/>
  <c r="P87" i="23"/>
  <c r="N87" i="23"/>
  <c r="L87" i="23"/>
  <c r="J87" i="23"/>
  <c r="H87" i="23"/>
  <c r="F87" i="23"/>
  <c r="D87" i="23"/>
  <c r="Z86" i="23"/>
  <c r="X86" i="23"/>
  <c r="V86" i="23"/>
  <c r="T86" i="23"/>
  <c r="R86" i="23"/>
  <c r="P86" i="23"/>
  <c r="N86" i="23"/>
  <c r="L86" i="23"/>
  <c r="J86" i="23"/>
  <c r="H86" i="23"/>
  <c r="F86" i="23"/>
  <c r="D86" i="23"/>
  <c r="Z85" i="23"/>
  <c r="X85" i="23"/>
  <c r="V85" i="23"/>
  <c r="T85" i="23"/>
  <c r="R85" i="23"/>
  <c r="P85" i="23"/>
  <c r="N85" i="23"/>
  <c r="L85" i="23"/>
  <c r="J85" i="23"/>
  <c r="H85" i="23"/>
  <c r="F85" i="23"/>
  <c r="D85" i="23"/>
  <c r="Z84" i="23"/>
  <c r="X84" i="23"/>
  <c r="V84" i="23"/>
  <c r="T84" i="23"/>
  <c r="R84" i="23"/>
  <c r="P84" i="23"/>
  <c r="N84" i="23"/>
  <c r="L84" i="23"/>
  <c r="J84" i="23"/>
  <c r="H84" i="23"/>
  <c r="F84" i="23"/>
  <c r="D84" i="23"/>
  <c r="Z83" i="23"/>
  <c r="X83" i="23"/>
  <c r="V83" i="23"/>
  <c r="T83" i="23"/>
  <c r="R83" i="23"/>
  <c r="P83" i="23"/>
  <c r="N83" i="23"/>
  <c r="L83" i="23"/>
  <c r="J83" i="23"/>
  <c r="H83" i="23"/>
  <c r="F83" i="23"/>
  <c r="D83" i="23"/>
  <c r="Z82" i="23"/>
  <c r="X82" i="23"/>
  <c r="V82" i="23"/>
  <c r="T82" i="23"/>
  <c r="R82" i="23"/>
  <c r="P82" i="23"/>
  <c r="N82" i="23"/>
  <c r="L82" i="23"/>
  <c r="J82" i="23"/>
  <c r="H82" i="23"/>
  <c r="F82" i="23"/>
  <c r="D82" i="23"/>
  <c r="Z81" i="23"/>
  <c r="X81" i="23"/>
  <c r="V81" i="23"/>
  <c r="T81" i="23"/>
  <c r="R81" i="23"/>
  <c r="P81" i="23"/>
  <c r="N81" i="23"/>
  <c r="L81" i="23"/>
  <c r="J81" i="23"/>
  <c r="H81" i="23"/>
  <c r="F81" i="23"/>
  <c r="D81" i="23"/>
  <c r="Z80" i="23"/>
  <c r="X80" i="23"/>
  <c r="V80" i="23"/>
  <c r="T80" i="23"/>
  <c r="R80" i="23"/>
  <c r="P80" i="23"/>
  <c r="N80" i="23"/>
  <c r="L80" i="23"/>
  <c r="J80" i="23"/>
  <c r="H80" i="23"/>
  <c r="F80" i="23"/>
  <c r="D80" i="23"/>
  <c r="Z79" i="23"/>
  <c r="X79" i="23"/>
  <c r="V79" i="23"/>
  <c r="T79" i="23"/>
  <c r="R79" i="23"/>
  <c r="P79" i="23"/>
  <c r="N79" i="23"/>
  <c r="L79" i="23"/>
  <c r="J79" i="23"/>
  <c r="H79" i="23"/>
  <c r="F79" i="23"/>
  <c r="D79" i="23"/>
  <c r="Z78" i="23"/>
  <c r="X78" i="23"/>
  <c r="V78" i="23"/>
  <c r="T78" i="23"/>
  <c r="R78" i="23"/>
  <c r="P78" i="23"/>
  <c r="N78" i="23"/>
  <c r="L78" i="23"/>
  <c r="J78" i="23"/>
  <c r="H78" i="23"/>
  <c r="F78" i="23"/>
  <c r="D78" i="23"/>
  <c r="Z77" i="23"/>
  <c r="X77" i="23"/>
  <c r="V77" i="23"/>
  <c r="T77" i="23"/>
  <c r="R77" i="23"/>
  <c r="P77" i="23"/>
  <c r="N77" i="23"/>
  <c r="L77" i="23"/>
  <c r="J77" i="23"/>
  <c r="H77" i="23"/>
  <c r="F77" i="23"/>
  <c r="D77" i="23"/>
  <c r="Z76" i="23"/>
  <c r="X76" i="23"/>
  <c r="V76" i="23"/>
  <c r="T76" i="23"/>
  <c r="R76" i="23"/>
  <c r="P76" i="23"/>
  <c r="N76" i="23"/>
  <c r="L76" i="23"/>
  <c r="J76" i="23"/>
  <c r="H76" i="23"/>
  <c r="F76" i="23"/>
  <c r="D76" i="23"/>
  <c r="Z75" i="23"/>
  <c r="X75" i="23"/>
  <c r="V75" i="23"/>
  <c r="T75" i="23"/>
  <c r="R75" i="23"/>
  <c r="P75" i="23"/>
  <c r="N75" i="23"/>
  <c r="L75" i="23"/>
  <c r="J75" i="23"/>
  <c r="H75" i="23"/>
  <c r="F75" i="23"/>
  <c r="D75" i="23"/>
  <c r="Z74" i="23"/>
  <c r="X74" i="23"/>
  <c r="V74" i="23"/>
  <c r="T74" i="23"/>
  <c r="R74" i="23"/>
  <c r="P74" i="23"/>
  <c r="N74" i="23"/>
  <c r="L74" i="23"/>
  <c r="J74" i="23"/>
  <c r="H74" i="23"/>
  <c r="F74" i="23"/>
  <c r="D74" i="23"/>
  <c r="Z73" i="23"/>
  <c r="X73" i="23"/>
  <c r="V73" i="23"/>
  <c r="T73" i="23"/>
  <c r="R73" i="23"/>
  <c r="P73" i="23"/>
  <c r="N73" i="23"/>
  <c r="L73" i="23"/>
  <c r="J73" i="23"/>
  <c r="H73" i="23"/>
  <c r="F73" i="23"/>
  <c r="D73" i="23"/>
  <c r="Z72" i="23"/>
  <c r="X72" i="23"/>
  <c r="V72" i="23"/>
  <c r="T72" i="23"/>
  <c r="R72" i="23"/>
  <c r="P72" i="23"/>
  <c r="N72" i="23"/>
  <c r="L72" i="23"/>
  <c r="J72" i="23"/>
  <c r="H72" i="23"/>
  <c r="F72" i="23"/>
  <c r="D72" i="23"/>
  <c r="Z71" i="23"/>
  <c r="X71" i="23"/>
  <c r="V71" i="23"/>
  <c r="T71" i="23"/>
  <c r="R71" i="23"/>
  <c r="P71" i="23"/>
  <c r="N71" i="23"/>
  <c r="L71" i="23"/>
  <c r="J71" i="23"/>
  <c r="H71" i="23"/>
  <c r="F71" i="23"/>
  <c r="D71" i="23"/>
  <c r="Z70" i="23"/>
  <c r="X70" i="23"/>
  <c r="V70" i="23"/>
  <c r="T70" i="23"/>
  <c r="R70" i="23"/>
  <c r="P70" i="23"/>
  <c r="N70" i="23"/>
  <c r="L70" i="23"/>
  <c r="J70" i="23"/>
  <c r="H70" i="23"/>
  <c r="F70" i="23"/>
  <c r="D70" i="23"/>
  <c r="Z69" i="23"/>
  <c r="X69" i="23"/>
  <c r="V69" i="23"/>
  <c r="T69" i="23"/>
  <c r="R69" i="23"/>
  <c r="P69" i="23"/>
  <c r="N69" i="23"/>
  <c r="L69" i="23"/>
  <c r="J69" i="23"/>
  <c r="H69" i="23"/>
  <c r="F69" i="23"/>
  <c r="D69" i="23"/>
  <c r="Z68" i="23"/>
  <c r="X68" i="23"/>
  <c r="V68" i="23"/>
  <c r="T68" i="23"/>
  <c r="R68" i="23"/>
  <c r="P68" i="23"/>
  <c r="N68" i="23"/>
  <c r="L68" i="23"/>
  <c r="J68" i="23"/>
  <c r="H68" i="23"/>
  <c r="F68" i="23"/>
  <c r="D68" i="23"/>
  <c r="Z67" i="23"/>
  <c r="X67" i="23"/>
  <c r="V67" i="23"/>
  <c r="T67" i="23"/>
  <c r="R67" i="23"/>
  <c r="P67" i="23"/>
  <c r="N67" i="23"/>
  <c r="L67" i="23"/>
  <c r="J67" i="23"/>
  <c r="H67" i="23"/>
  <c r="F67" i="23"/>
  <c r="D67" i="23"/>
  <c r="Z66" i="23"/>
  <c r="X66" i="23"/>
  <c r="V66" i="23"/>
  <c r="T66" i="23"/>
  <c r="R66" i="23"/>
  <c r="P66" i="23"/>
  <c r="N66" i="23"/>
  <c r="L66" i="23"/>
  <c r="J66" i="23"/>
  <c r="H66" i="23"/>
  <c r="F66" i="23"/>
  <c r="Z65" i="23"/>
  <c r="X65" i="23"/>
  <c r="V65" i="23"/>
  <c r="T65" i="23"/>
  <c r="R65" i="23"/>
  <c r="P65" i="23"/>
  <c r="N65" i="23"/>
  <c r="L65" i="23"/>
  <c r="J65" i="23"/>
  <c r="H65" i="23"/>
  <c r="F65" i="23"/>
  <c r="D65" i="23"/>
  <c r="Z64" i="23"/>
  <c r="X64" i="23"/>
  <c r="V64" i="23"/>
  <c r="T64" i="23"/>
  <c r="R64" i="23"/>
  <c r="P64" i="23"/>
  <c r="N64" i="23"/>
  <c r="L64" i="23"/>
  <c r="J64" i="23"/>
  <c r="H64" i="23"/>
  <c r="F64" i="23"/>
  <c r="D64" i="23"/>
  <c r="Z63" i="23"/>
  <c r="X63" i="23"/>
  <c r="V63" i="23"/>
  <c r="T63" i="23"/>
  <c r="R63" i="23"/>
  <c r="P63" i="23"/>
  <c r="N63" i="23"/>
  <c r="L63" i="23"/>
  <c r="J63" i="23"/>
  <c r="H63" i="23"/>
  <c r="F63" i="23"/>
  <c r="D63" i="23"/>
  <c r="Z62" i="23"/>
  <c r="X62" i="23"/>
  <c r="V62" i="23"/>
  <c r="T62" i="23"/>
  <c r="R62" i="23"/>
  <c r="P62" i="23"/>
  <c r="N62" i="23"/>
  <c r="L62" i="23"/>
  <c r="J62" i="23"/>
  <c r="H62" i="23"/>
  <c r="F62" i="23"/>
  <c r="D62" i="23"/>
  <c r="Z61" i="23"/>
  <c r="X61" i="23"/>
  <c r="V61" i="23"/>
  <c r="T61" i="23"/>
  <c r="R61" i="23"/>
  <c r="P61" i="23"/>
  <c r="N61" i="23"/>
  <c r="L61" i="23"/>
  <c r="J61" i="23"/>
  <c r="H61" i="23"/>
  <c r="F61" i="23"/>
  <c r="D61" i="23"/>
  <c r="Z60" i="23"/>
  <c r="X60" i="23"/>
  <c r="V60" i="23"/>
  <c r="T60" i="23"/>
  <c r="R60" i="23"/>
  <c r="P60" i="23"/>
  <c r="N60" i="23"/>
  <c r="L60" i="23"/>
  <c r="J60" i="23"/>
  <c r="H60" i="23"/>
  <c r="F60" i="23"/>
  <c r="D60" i="23"/>
  <c r="Z59" i="23"/>
  <c r="X59" i="23"/>
  <c r="V59" i="23"/>
  <c r="T59" i="23"/>
  <c r="R59" i="23"/>
  <c r="P59" i="23"/>
  <c r="N59" i="23"/>
  <c r="L59" i="23"/>
  <c r="J59" i="23"/>
  <c r="H59" i="23"/>
  <c r="F59" i="23"/>
  <c r="D59" i="23"/>
  <c r="Z58" i="23"/>
  <c r="X58" i="23"/>
  <c r="V58" i="23"/>
  <c r="T58" i="23"/>
  <c r="R58" i="23"/>
  <c r="P58" i="23"/>
  <c r="N58" i="23"/>
  <c r="L58" i="23"/>
  <c r="J58" i="23"/>
  <c r="H58" i="23"/>
  <c r="F58" i="23"/>
  <c r="D58" i="23"/>
  <c r="Z57" i="23"/>
  <c r="X57" i="23"/>
  <c r="V57" i="23"/>
  <c r="T57" i="23"/>
  <c r="R57" i="23"/>
  <c r="P57" i="23"/>
  <c r="N57" i="23"/>
  <c r="L57" i="23"/>
  <c r="J57" i="23"/>
  <c r="H57" i="23"/>
  <c r="F57" i="23"/>
  <c r="D57" i="23"/>
  <c r="Z56" i="23"/>
  <c r="X56" i="23"/>
  <c r="V56" i="23"/>
  <c r="T56" i="23"/>
  <c r="R56" i="23"/>
  <c r="P56" i="23"/>
  <c r="N56" i="23"/>
  <c r="L56" i="23"/>
  <c r="J56" i="23"/>
  <c r="H56" i="23"/>
  <c r="F56" i="23"/>
  <c r="D56" i="23"/>
  <c r="Z55" i="23"/>
  <c r="X55" i="23"/>
  <c r="V55" i="23"/>
  <c r="T55" i="23"/>
  <c r="R55" i="23"/>
  <c r="P55" i="23"/>
  <c r="N55" i="23"/>
  <c r="L55" i="23"/>
  <c r="J55" i="23"/>
  <c r="H55" i="23"/>
  <c r="F55" i="23"/>
  <c r="D55" i="23"/>
  <c r="Z54" i="23"/>
  <c r="X54" i="23"/>
  <c r="V54" i="23"/>
  <c r="T54" i="23"/>
  <c r="R54" i="23"/>
  <c r="P54" i="23"/>
  <c r="N54" i="23"/>
  <c r="L54" i="23"/>
  <c r="J54" i="23"/>
  <c r="H54" i="23"/>
  <c r="F54" i="23"/>
  <c r="D54" i="23"/>
  <c r="Z53" i="23"/>
  <c r="X53" i="23"/>
  <c r="V53" i="23"/>
  <c r="T53" i="23"/>
  <c r="R53" i="23"/>
  <c r="P53" i="23"/>
  <c r="N53" i="23"/>
  <c r="L53" i="23"/>
  <c r="J53" i="23"/>
  <c r="H53" i="23"/>
  <c r="F53" i="23"/>
  <c r="D53" i="23"/>
  <c r="Z52" i="23"/>
  <c r="X52" i="23"/>
  <c r="V52" i="23"/>
  <c r="T52" i="23"/>
  <c r="R52" i="23"/>
  <c r="P52" i="23"/>
  <c r="N52" i="23"/>
  <c r="L52" i="23"/>
  <c r="J52" i="23"/>
  <c r="H52" i="23"/>
  <c r="F52" i="23"/>
  <c r="D52" i="23"/>
  <c r="Z51" i="23"/>
  <c r="X51" i="23"/>
  <c r="V51" i="23"/>
  <c r="T51" i="23"/>
  <c r="R51" i="23"/>
  <c r="P51" i="23"/>
  <c r="N51" i="23"/>
  <c r="L51" i="23"/>
  <c r="J51" i="23"/>
  <c r="H51" i="23"/>
  <c r="F51" i="23"/>
  <c r="D51" i="23"/>
  <c r="Z50" i="23"/>
  <c r="X50" i="23"/>
  <c r="V50" i="23"/>
  <c r="T50" i="23"/>
  <c r="R50" i="23"/>
  <c r="P50" i="23"/>
  <c r="N50" i="23"/>
  <c r="L50" i="23"/>
  <c r="J50" i="23"/>
  <c r="H50" i="23"/>
  <c r="F50" i="23"/>
  <c r="D50" i="23"/>
  <c r="Z49" i="23"/>
  <c r="X49" i="23"/>
  <c r="V49" i="23"/>
  <c r="T49" i="23"/>
  <c r="R49" i="23"/>
  <c r="P49" i="23"/>
  <c r="N49" i="23"/>
  <c r="L49" i="23"/>
  <c r="J49" i="23"/>
  <c r="H49" i="23"/>
  <c r="F49" i="23"/>
  <c r="D49" i="23"/>
  <c r="Z48" i="23"/>
  <c r="X48" i="23"/>
  <c r="V48" i="23"/>
  <c r="T48" i="23"/>
  <c r="R48" i="23"/>
  <c r="P48" i="23"/>
  <c r="N48" i="23"/>
  <c r="L48" i="23"/>
  <c r="J48" i="23"/>
  <c r="H48" i="23"/>
  <c r="F48" i="23"/>
  <c r="D48" i="23"/>
  <c r="Z47" i="23"/>
  <c r="X47" i="23"/>
  <c r="V47" i="23"/>
  <c r="T47" i="23"/>
  <c r="R47" i="23"/>
  <c r="P47" i="23"/>
  <c r="N47" i="23"/>
  <c r="L47" i="23"/>
  <c r="J47" i="23"/>
  <c r="H47" i="23"/>
  <c r="F47" i="23"/>
  <c r="D47" i="23"/>
  <c r="Z46" i="23"/>
  <c r="X46" i="23"/>
  <c r="V46" i="23"/>
  <c r="T46" i="23"/>
  <c r="R46" i="23"/>
  <c r="P46" i="23"/>
  <c r="N46" i="23"/>
  <c r="L46" i="23"/>
  <c r="J46" i="23"/>
  <c r="H46" i="23"/>
  <c r="F46" i="23"/>
  <c r="D46" i="23"/>
  <c r="Z45" i="23"/>
  <c r="X45" i="23"/>
  <c r="V45" i="23"/>
  <c r="T45" i="23"/>
  <c r="R45" i="23"/>
  <c r="P45" i="23"/>
  <c r="N45" i="23"/>
  <c r="L45" i="23"/>
  <c r="J45" i="23"/>
  <c r="H45" i="23"/>
  <c r="F45" i="23"/>
  <c r="D45" i="23"/>
  <c r="V43" i="23"/>
  <c r="T43" i="23"/>
  <c r="Z43" i="23" s="1"/>
  <c r="R43" i="23"/>
  <c r="X43" i="23" s="1"/>
  <c r="P43" i="23"/>
  <c r="N43" i="23"/>
  <c r="L43" i="23"/>
  <c r="J43" i="23"/>
  <c r="H43" i="23"/>
  <c r="F43" i="23"/>
  <c r="D43" i="23"/>
  <c r="Z41" i="23"/>
  <c r="X41" i="23"/>
  <c r="V41" i="23"/>
  <c r="T41" i="23"/>
  <c r="R41" i="23"/>
  <c r="P41" i="23"/>
  <c r="N41" i="23"/>
  <c r="L41" i="23"/>
  <c r="J41" i="23"/>
  <c r="H41" i="23"/>
  <c r="F41" i="23"/>
  <c r="D41" i="23"/>
  <c r="Z40" i="23"/>
  <c r="X40" i="23"/>
  <c r="V40" i="23"/>
  <c r="T40" i="23"/>
  <c r="R40" i="23"/>
  <c r="P40" i="23"/>
  <c r="N40" i="23"/>
  <c r="L40" i="23"/>
  <c r="J40" i="23"/>
  <c r="H40" i="23"/>
  <c r="F40" i="23"/>
  <c r="D40" i="23"/>
  <c r="Z37" i="23"/>
  <c r="X37" i="23"/>
  <c r="V37" i="23"/>
  <c r="T37" i="23"/>
  <c r="R37" i="23"/>
  <c r="P37" i="23"/>
  <c r="N37" i="23"/>
  <c r="L37" i="23"/>
  <c r="J37" i="23"/>
  <c r="H37" i="23"/>
  <c r="F37" i="23"/>
  <c r="D37" i="23"/>
  <c r="Z36" i="23"/>
  <c r="X36" i="23"/>
  <c r="V36" i="23"/>
  <c r="T36" i="23"/>
  <c r="R36" i="23"/>
  <c r="P36" i="23"/>
  <c r="N36" i="23"/>
  <c r="L36" i="23"/>
  <c r="J36" i="23"/>
  <c r="H36" i="23"/>
  <c r="F36" i="23"/>
  <c r="D36" i="23"/>
  <c r="Z35" i="23"/>
  <c r="X35" i="23"/>
  <c r="V35" i="23"/>
  <c r="T35" i="23"/>
  <c r="R35" i="23"/>
  <c r="P35" i="23"/>
  <c r="N35" i="23"/>
  <c r="L35" i="23"/>
  <c r="J35" i="23"/>
  <c r="H35" i="23"/>
  <c r="F35" i="23"/>
  <c r="D35" i="23"/>
  <c r="Z34" i="23"/>
  <c r="X34" i="23"/>
  <c r="V34" i="23"/>
  <c r="T34" i="23"/>
  <c r="R34" i="23"/>
  <c r="P34" i="23"/>
  <c r="N34" i="23"/>
  <c r="L34" i="23"/>
  <c r="J34" i="23"/>
  <c r="H34" i="23"/>
  <c r="F34" i="23"/>
  <c r="D34" i="23"/>
  <c r="Z33" i="23"/>
  <c r="X33" i="23"/>
  <c r="V33" i="23"/>
  <c r="T33" i="23"/>
  <c r="R33" i="23"/>
  <c r="P33" i="23"/>
  <c r="N33" i="23"/>
  <c r="L33" i="23"/>
  <c r="J33" i="23"/>
  <c r="H33" i="23"/>
  <c r="F33" i="23"/>
  <c r="D33" i="23"/>
  <c r="Z32" i="23"/>
  <c r="X32" i="23"/>
  <c r="V32" i="23"/>
  <c r="T32" i="23"/>
  <c r="R32" i="23"/>
  <c r="P32" i="23"/>
  <c r="N32" i="23"/>
  <c r="L32" i="23"/>
  <c r="J32" i="23"/>
  <c r="H32" i="23"/>
  <c r="F32" i="23"/>
  <c r="D32" i="23"/>
  <c r="V30" i="23"/>
  <c r="T30" i="23"/>
  <c r="R30" i="23"/>
  <c r="P30" i="23"/>
  <c r="N30" i="23"/>
  <c r="L30" i="23"/>
  <c r="J30" i="23"/>
  <c r="H30" i="23"/>
  <c r="F30" i="23"/>
  <c r="Z29" i="23"/>
  <c r="X29" i="23"/>
  <c r="V29" i="23"/>
  <c r="T29" i="23"/>
  <c r="R29" i="23"/>
  <c r="P29" i="23"/>
  <c r="N29" i="23"/>
  <c r="L29" i="23"/>
  <c r="J29" i="23"/>
  <c r="H29" i="23"/>
  <c r="F29" i="23"/>
  <c r="D29" i="23"/>
  <c r="Z28" i="23"/>
  <c r="X28" i="23"/>
  <c r="V28" i="23"/>
  <c r="V97" i="23" s="1"/>
  <c r="V98" i="23" s="1"/>
  <c r="T28" i="23"/>
  <c r="R28" i="23"/>
  <c r="R97" i="23" s="1"/>
  <c r="R98" i="23" s="1"/>
  <c r="P28" i="23"/>
  <c r="N28" i="23"/>
  <c r="N97" i="23" s="1"/>
  <c r="N98" i="23" s="1"/>
  <c r="L28" i="23"/>
  <c r="J28" i="23"/>
  <c r="J97" i="23" s="1"/>
  <c r="J98" i="23" s="1"/>
  <c r="H28" i="23"/>
  <c r="F28" i="23"/>
  <c r="F97" i="23" s="1"/>
  <c r="F98" i="23" s="1"/>
  <c r="D28" i="23"/>
  <c r="W25" i="23"/>
  <c r="Y21" i="23"/>
  <c r="Y25" i="23" s="1"/>
  <c r="U21" i="23"/>
  <c r="U25" i="23" s="1"/>
  <c r="S21" i="23"/>
  <c r="S25" i="23" s="1"/>
  <c r="Q21" i="23"/>
  <c r="Q25" i="23" s="1"/>
  <c r="O21" i="23"/>
  <c r="O25" i="23" s="1"/>
  <c r="M21" i="23"/>
  <c r="M25" i="23" s="1"/>
  <c r="K21" i="23"/>
  <c r="K25" i="23" s="1"/>
  <c r="I21" i="23"/>
  <c r="I25" i="23" s="1"/>
  <c r="G21" i="23"/>
  <c r="G25" i="23" s="1"/>
  <c r="E21" i="23"/>
  <c r="E25" i="23" s="1"/>
  <c r="C21" i="23"/>
  <c r="C25" i="23" s="1"/>
  <c r="Z19" i="23"/>
  <c r="X19" i="23"/>
  <c r="V19" i="23"/>
  <c r="T19" i="23"/>
  <c r="R19" i="23"/>
  <c r="P19" i="23"/>
  <c r="N19" i="23"/>
  <c r="L19" i="23"/>
  <c r="J19" i="23"/>
  <c r="H19" i="23"/>
  <c r="F19" i="23"/>
  <c r="D19" i="23"/>
  <c r="Z18" i="23"/>
  <c r="X18" i="23"/>
  <c r="V18" i="23"/>
  <c r="T18" i="23"/>
  <c r="R18" i="23"/>
  <c r="P18" i="23"/>
  <c r="N18" i="23"/>
  <c r="L18" i="23"/>
  <c r="J18" i="23"/>
  <c r="H18" i="23"/>
  <c r="F18" i="23"/>
  <c r="D18" i="23"/>
  <c r="Z17" i="23"/>
  <c r="X17" i="23"/>
  <c r="V17" i="23"/>
  <c r="T17" i="23"/>
  <c r="R17" i="23"/>
  <c r="P17" i="23"/>
  <c r="N17" i="23"/>
  <c r="L17" i="23"/>
  <c r="J17" i="23"/>
  <c r="H17" i="23"/>
  <c r="F17" i="23"/>
  <c r="D17" i="23"/>
  <c r="Z16" i="23"/>
  <c r="X16" i="23"/>
  <c r="V16" i="23"/>
  <c r="T16" i="23"/>
  <c r="R16" i="23"/>
  <c r="P16" i="23"/>
  <c r="N16" i="23"/>
  <c r="L16" i="23"/>
  <c r="J16" i="23"/>
  <c r="H16" i="23"/>
  <c r="F16" i="23"/>
  <c r="D16" i="23"/>
  <c r="Z15" i="23"/>
  <c r="X15" i="23"/>
  <c r="V15" i="23"/>
  <c r="T15" i="23"/>
  <c r="R15" i="23"/>
  <c r="P15" i="23"/>
  <c r="N15" i="23"/>
  <c r="L15" i="23"/>
  <c r="J15" i="23"/>
  <c r="H15" i="23"/>
  <c r="F15" i="23"/>
  <c r="D15" i="23"/>
  <c r="Z12" i="23"/>
  <c r="X12" i="23"/>
  <c r="V12" i="23"/>
  <c r="T12" i="23"/>
  <c r="R12" i="23"/>
  <c r="P12" i="23"/>
  <c r="N12" i="23"/>
  <c r="L12" i="23"/>
  <c r="J12" i="23"/>
  <c r="H12" i="23"/>
  <c r="F12" i="23"/>
  <c r="D12" i="23"/>
  <c r="Z11" i="23"/>
  <c r="X11" i="23"/>
  <c r="V11" i="23"/>
  <c r="T11" i="23"/>
  <c r="R11" i="23"/>
  <c r="P11" i="23"/>
  <c r="N11" i="23"/>
  <c r="L11" i="23"/>
  <c r="J11" i="23"/>
  <c r="H11" i="23"/>
  <c r="F11" i="23"/>
  <c r="D11" i="23"/>
  <c r="Z10" i="23"/>
  <c r="X10" i="23"/>
  <c r="V10" i="23"/>
  <c r="T10" i="23"/>
  <c r="R10" i="23"/>
  <c r="P10" i="23"/>
  <c r="N10" i="23"/>
  <c r="L10" i="23"/>
  <c r="J10" i="23"/>
  <c r="H10" i="23"/>
  <c r="F10" i="23"/>
  <c r="D10" i="23"/>
  <c r="Z9" i="23"/>
  <c r="Z21" i="23" s="1"/>
  <c r="X9" i="23"/>
  <c r="X21" i="23" s="1"/>
  <c r="X23" i="23" s="1"/>
  <c r="V9" i="23"/>
  <c r="V21" i="23" s="1"/>
  <c r="T9" i="23"/>
  <c r="T21" i="23" s="1"/>
  <c r="R9" i="23"/>
  <c r="R21" i="23" s="1"/>
  <c r="P9" i="23"/>
  <c r="P21" i="23" s="1"/>
  <c r="N9" i="23"/>
  <c r="N21" i="23" s="1"/>
  <c r="L9" i="23"/>
  <c r="L21" i="23" s="1"/>
  <c r="J9" i="23"/>
  <c r="J21" i="23" s="1"/>
  <c r="H9" i="23"/>
  <c r="H21" i="23" s="1"/>
  <c r="F9" i="23"/>
  <c r="F21" i="23" s="1"/>
  <c r="D9" i="23"/>
  <c r="D21" i="23" s="1"/>
  <c r="D112" i="20"/>
  <c r="Z96" i="20"/>
  <c r="X96" i="20"/>
  <c r="V96" i="20"/>
  <c r="T96" i="20"/>
  <c r="R96" i="20"/>
  <c r="P96" i="20"/>
  <c r="N96" i="20"/>
  <c r="L96" i="20"/>
  <c r="J96" i="20"/>
  <c r="H96" i="20"/>
  <c r="F96" i="20"/>
  <c r="D96" i="20"/>
  <c r="Z95" i="20"/>
  <c r="X95" i="20"/>
  <c r="V95" i="20"/>
  <c r="T95" i="20"/>
  <c r="R95" i="20"/>
  <c r="P95" i="20"/>
  <c r="N95" i="20"/>
  <c r="L95" i="20"/>
  <c r="J95" i="20"/>
  <c r="H95" i="20"/>
  <c r="F95" i="20"/>
  <c r="D95" i="20"/>
  <c r="Z94" i="20"/>
  <c r="X94" i="20"/>
  <c r="V94" i="20"/>
  <c r="T94" i="20"/>
  <c r="R94" i="20"/>
  <c r="P94" i="20"/>
  <c r="N94" i="20"/>
  <c r="L94" i="20"/>
  <c r="J94" i="20"/>
  <c r="H94" i="20"/>
  <c r="F94" i="20"/>
  <c r="D94" i="20"/>
  <c r="Z93" i="20"/>
  <c r="X93" i="20"/>
  <c r="V93" i="20"/>
  <c r="T93" i="20"/>
  <c r="R93" i="20"/>
  <c r="P93" i="20"/>
  <c r="N93" i="20"/>
  <c r="L93" i="20"/>
  <c r="J93" i="20"/>
  <c r="H93" i="20"/>
  <c r="F93" i="20"/>
  <c r="D93" i="20"/>
  <c r="Z92" i="20"/>
  <c r="X92" i="20"/>
  <c r="V92" i="20"/>
  <c r="T92" i="20"/>
  <c r="R92" i="20"/>
  <c r="P92" i="20"/>
  <c r="N92" i="20"/>
  <c r="L92" i="20"/>
  <c r="J92" i="20"/>
  <c r="H92" i="20"/>
  <c r="F92" i="20"/>
  <c r="D92" i="20"/>
  <c r="Z91" i="20"/>
  <c r="X91" i="20"/>
  <c r="V91" i="20"/>
  <c r="T91" i="20"/>
  <c r="R91" i="20"/>
  <c r="P91" i="20"/>
  <c r="N91" i="20"/>
  <c r="L91" i="20"/>
  <c r="J91" i="20"/>
  <c r="H91" i="20"/>
  <c r="F91" i="20"/>
  <c r="D91" i="20"/>
  <c r="Z90" i="20"/>
  <c r="X90" i="20"/>
  <c r="V90" i="20"/>
  <c r="T90" i="20"/>
  <c r="R90" i="20"/>
  <c r="P90" i="20"/>
  <c r="N90" i="20"/>
  <c r="L90" i="20"/>
  <c r="J90" i="20"/>
  <c r="H90" i="20"/>
  <c r="F90" i="20"/>
  <c r="D90" i="20"/>
  <c r="Z89" i="20"/>
  <c r="X89" i="20"/>
  <c r="V89" i="20"/>
  <c r="T89" i="20"/>
  <c r="R89" i="20"/>
  <c r="P89" i="20"/>
  <c r="N89" i="20"/>
  <c r="L89" i="20"/>
  <c r="J89" i="20"/>
  <c r="H89" i="20"/>
  <c r="F89" i="20"/>
  <c r="D89" i="20"/>
  <c r="Z88" i="20"/>
  <c r="X88" i="20"/>
  <c r="V88" i="20"/>
  <c r="T88" i="20"/>
  <c r="R88" i="20"/>
  <c r="P88" i="20"/>
  <c r="N88" i="20"/>
  <c r="L88" i="20"/>
  <c r="J88" i="20"/>
  <c r="H88" i="20"/>
  <c r="F88" i="20"/>
  <c r="D88" i="20"/>
  <c r="Z87" i="20"/>
  <c r="X87" i="20"/>
  <c r="V87" i="20"/>
  <c r="T87" i="20"/>
  <c r="R87" i="20"/>
  <c r="P87" i="20"/>
  <c r="N87" i="20"/>
  <c r="L87" i="20"/>
  <c r="J87" i="20"/>
  <c r="H87" i="20"/>
  <c r="F87" i="20"/>
  <c r="D87" i="20"/>
  <c r="Z86" i="20"/>
  <c r="X86" i="20"/>
  <c r="V86" i="20"/>
  <c r="T86" i="20"/>
  <c r="R86" i="20"/>
  <c r="P86" i="20"/>
  <c r="N86" i="20"/>
  <c r="L86" i="20"/>
  <c r="J86" i="20"/>
  <c r="H86" i="20"/>
  <c r="F86" i="20"/>
  <c r="D86" i="20"/>
  <c r="Z85" i="20"/>
  <c r="X85" i="20"/>
  <c r="V85" i="20"/>
  <c r="T85" i="20"/>
  <c r="R85" i="20"/>
  <c r="P85" i="20"/>
  <c r="N85" i="20"/>
  <c r="L85" i="20"/>
  <c r="J85" i="20"/>
  <c r="H85" i="20"/>
  <c r="F85" i="20"/>
  <c r="D85" i="20"/>
  <c r="Z84" i="20"/>
  <c r="X84" i="20"/>
  <c r="V84" i="20"/>
  <c r="T84" i="20"/>
  <c r="R84" i="20"/>
  <c r="P84" i="20"/>
  <c r="N84" i="20"/>
  <c r="L84" i="20"/>
  <c r="J84" i="20"/>
  <c r="H84" i="20"/>
  <c r="F84" i="20"/>
  <c r="D84" i="20"/>
  <c r="Z83" i="20"/>
  <c r="X83" i="20"/>
  <c r="V83" i="20"/>
  <c r="T83" i="20"/>
  <c r="R83" i="20"/>
  <c r="P83" i="20"/>
  <c r="N83" i="20"/>
  <c r="L83" i="20"/>
  <c r="J83" i="20"/>
  <c r="H83" i="20"/>
  <c r="F83" i="20"/>
  <c r="D83" i="20"/>
  <c r="Z82" i="20"/>
  <c r="X82" i="20"/>
  <c r="V82" i="20"/>
  <c r="T82" i="20"/>
  <c r="R82" i="20"/>
  <c r="P82" i="20"/>
  <c r="N82" i="20"/>
  <c r="L82" i="20"/>
  <c r="J82" i="20"/>
  <c r="H82" i="20"/>
  <c r="F82" i="20"/>
  <c r="D82" i="20"/>
  <c r="Z81" i="20"/>
  <c r="X81" i="20"/>
  <c r="V81" i="20"/>
  <c r="T81" i="20"/>
  <c r="R81" i="20"/>
  <c r="P81" i="20"/>
  <c r="N81" i="20"/>
  <c r="L81" i="20"/>
  <c r="J81" i="20"/>
  <c r="H81" i="20"/>
  <c r="F81" i="20"/>
  <c r="D81" i="20"/>
  <c r="Z80" i="20"/>
  <c r="X80" i="20"/>
  <c r="V80" i="20"/>
  <c r="T80" i="20"/>
  <c r="R80" i="20"/>
  <c r="P80" i="20"/>
  <c r="N80" i="20"/>
  <c r="L80" i="20"/>
  <c r="J80" i="20"/>
  <c r="H80" i="20"/>
  <c r="F80" i="20"/>
  <c r="D80" i="20"/>
  <c r="Z79" i="20"/>
  <c r="X79" i="20"/>
  <c r="V79" i="20"/>
  <c r="T79" i="20"/>
  <c r="R79" i="20"/>
  <c r="P79" i="20"/>
  <c r="N79" i="20"/>
  <c r="L79" i="20"/>
  <c r="J79" i="20"/>
  <c r="H79" i="20"/>
  <c r="F79" i="20"/>
  <c r="D79" i="20"/>
  <c r="Z78" i="20"/>
  <c r="X78" i="20"/>
  <c r="V78" i="20"/>
  <c r="T78" i="20"/>
  <c r="R78" i="20"/>
  <c r="P78" i="20"/>
  <c r="N78" i="20"/>
  <c r="L78" i="20"/>
  <c r="J78" i="20"/>
  <c r="H78" i="20"/>
  <c r="F78" i="20"/>
  <c r="D78" i="20"/>
  <c r="Z77" i="20"/>
  <c r="X77" i="20"/>
  <c r="V77" i="20"/>
  <c r="T77" i="20"/>
  <c r="R77" i="20"/>
  <c r="P77" i="20"/>
  <c r="N77" i="20"/>
  <c r="L77" i="20"/>
  <c r="J77" i="20"/>
  <c r="H77" i="20"/>
  <c r="F77" i="20"/>
  <c r="D77" i="20"/>
  <c r="Z76" i="20"/>
  <c r="X76" i="20"/>
  <c r="V76" i="20"/>
  <c r="T76" i="20"/>
  <c r="R76" i="20"/>
  <c r="P76" i="20"/>
  <c r="N76" i="20"/>
  <c r="L76" i="20"/>
  <c r="J76" i="20"/>
  <c r="H76" i="20"/>
  <c r="F76" i="20"/>
  <c r="D76" i="20"/>
  <c r="Z75" i="20"/>
  <c r="X75" i="20"/>
  <c r="V75" i="20"/>
  <c r="T75" i="20"/>
  <c r="R75" i="20"/>
  <c r="P75" i="20"/>
  <c r="N75" i="20"/>
  <c r="L75" i="20"/>
  <c r="J75" i="20"/>
  <c r="H75" i="20"/>
  <c r="F75" i="20"/>
  <c r="D75" i="20"/>
  <c r="Z74" i="20"/>
  <c r="X74" i="20"/>
  <c r="V74" i="20"/>
  <c r="T74" i="20"/>
  <c r="R74" i="20"/>
  <c r="P74" i="20"/>
  <c r="N74" i="20"/>
  <c r="L74" i="20"/>
  <c r="J74" i="20"/>
  <c r="H74" i="20"/>
  <c r="F74" i="20"/>
  <c r="D74" i="20"/>
  <c r="Z73" i="20"/>
  <c r="X73" i="20"/>
  <c r="V73" i="20"/>
  <c r="T73" i="20"/>
  <c r="R73" i="20"/>
  <c r="P73" i="20"/>
  <c r="N73" i="20"/>
  <c r="L73" i="20"/>
  <c r="J73" i="20"/>
  <c r="H73" i="20"/>
  <c r="F73" i="20"/>
  <c r="D73" i="20"/>
  <c r="Z72" i="20"/>
  <c r="X72" i="20"/>
  <c r="V72" i="20"/>
  <c r="T72" i="20"/>
  <c r="R72" i="20"/>
  <c r="P72" i="20"/>
  <c r="N72" i="20"/>
  <c r="L72" i="20"/>
  <c r="J72" i="20"/>
  <c r="H72" i="20"/>
  <c r="F72" i="20"/>
  <c r="D72" i="20"/>
  <c r="Z71" i="20"/>
  <c r="X71" i="20"/>
  <c r="V71" i="20"/>
  <c r="T71" i="20"/>
  <c r="R71" i="20"/>
  <c r="P71" i="20"/>
  <c r="N71" i="20"/>
  <c r="L71" i="20"/>
  <c r="J71" i="20"/>
  <c r="H71" i="20"/>
  <c r="F71" i="20"/>
  <c r="D71" i="20"/>
  <c r="Z70" i="20"/>
  <c r="X70" i="20"/>
  <c r="V70" i="20"/>
  <c r="T70" i="20"/>
  <c r="R70" i="20"/>
  <c r="P70" i="20"/>
  <c r="N70" i="20"/>
  <c r="L70" i="20"/>
  <c r="J70" i="20"/>
  <c r="H70" i="20"/>
  <c r="F70" i="20"/>
  <c r="D70" i="20"/>
  <c r="Z69" i="20"/>
  <c r="X69" i="20"/>
  <c r="V69" i="20"/>
  <c r="T69" i="20"/>
  <c r="R69" i="20"/>
  <c r="P69" i="20"/>
  <c r="N69" i="20"/>
  <c r="L69" i="20"/>
  <c r="J69" i="20"/>
  <c r="H69" i="20"/>
  <c r="F69" i="20"/>
  <c r="D69" i="20"/>
  <c r="Z68" i="20"/>
  <c r="X68" i="20"/>
  <c r="V68" i="20"/>
  <c r="T68" i="20"/>
  <c r="R68" i="20"/>
  <c r="P68" i="20"/>
  <c r="N68" i="20"/>
  <c r="L68" i="20"/>
  <c r="J68" i="20"/>
  <c r="H68" i="20"/>
  <c r="F68" i="20"/>
  <c r="D68" i="20"/>
  <c r="Z67" i="20"/>
  <c r="X67" i="20"/>
  <c r="V67" i="20"/>
  <c r="T67" i="20"/>
  <c r="R67" i="20"/>
  <c r="P67" i="20"/>
  <c r="N67" i="20"/>
  <c r="L67" i="20"/>
  <c r="J67" i="20"/>
  <c r="H67" i="20"/>
  <c r="F67" i="20"/>
  <c r="D67" i="20"/>
  <c r="Z66" i="20"/>
  <c r="X66" i="20"/>
  <c r="V66" i="20"/>
  <c r="T66" i="20"/>
  <c r="R66" i="20"/>
  <c r="P66" i="20"/>
  <c r="N66" i="20"/>
  <c r="L66" i="20"/>
  <c r="J66" i="20"/>
  <c r="H66" i="20"/>
  <c r="F66" i="20"/>
  <c r="Z65" i="20"/>
  <c r="X65" i="20"/>
  <c r="V65" i="20"/>
  <c r="T65" i="20"/>
  <c r="R65" i="20"/>
  <c r="P65" i="20"/>
  <c r="N65" i="20"/>
  <c r="L65" i="20"/>
  <c r="J65" i="20"/>
  <c r="H65" i="20"/>
  <c r="F65" i="20"/>
  <c r="D65" i="20"/>
  <c r="Z64" i="20"/>
  <c r="X64" i="20"/>
  <c r="V64" i="20"/>
  <c r="T64" i="20"/>
  <c r="R64" i="20"/>
  <c r="P64" i="20"/>
  <c r="N64" i="20"/>
  <c r="L64" i="20"/>
  <c r="J64" i="20"/>
  <c r="H64" i="20"/>
  <c r="F64" i="20"/>
  <c r="D64" i="20"/>
  <c r="Z63" i="20"/>
  <c r="X63" i="20"/>
  <c r="V63" i="20"/>
  <c r="T63" i="20"/>
  <c r="R63" i="20"/>
  <c r="P63" i="20"/>
  <c r="N63" i="20"/>
  <c r="L63" i="20"/>
  <c r="J63" i="20"/>
  <c r="H63" i="20"/>
  <c r="F63" i="20"/>
  <c r="D63" i="20"/>
  <c r="Z62" i="20"/>
  <c r="X62" i="20"/>
  <c r="V62" i="20"/>
  <c r="T62" i="20"/>
  <c r="R62" i="20"/>
  <c r="P62" i="20"/>
  <c r="N62" i="20"/>
  <c r="L62" i="20"/>
  <c r="J62" i="20"/>
  <c r="H62" i="20"/>
  <c r="F62" i="20"/>
  <c r="D62" i="20"/>
  <c r="Z61" i="20"/>
  <c r="X61" i="20"/>
  <c r="V61" i="20"/>
  <c r="T61" i="20"/>
  <c r="R61" i="20"/>
  <c r="P61" i="20"/>
  <c r="N61" i="20"/>
  <c r="L61" i="20"/>
  <c r="J61" i="20"/>
  <c r="H61" i="20"/>
  <c r="F61" i="20"/>
  <c r="D61" i="20"/>
  <c r="Z60" i="20"/>
  <c r="X60" i="20"/>
  <c r="V60" i="20"/>
  <c r="T60" i="20"/>
  <c r="R60" i="20"/>
  <c r="P60" i="20"/>
  <c r="N60" i="20"/>
  <c r="L60" i="20"/>
  <c r="J60" i="20"/>
  <c r="H60" i="20"/>
  <c r="F60" i="20"/>
  <c r="D60" i="20"/>
  <c r="Z59" i="20"/>
  <c r="X59" i="20"/>
  <c r="V59" i="20"/>
  <c r="T59" i="20"/>
  <c r="R59" i="20"/>
  <c r="P59" i="20"/>
  <c r="N59" i="20"/>
  <c r="L59" i="20"/>
  <c r="J59" i="20"/>
  <c r="H59" i="20"/>
  <c r="F59" i="20"/>
  <c r="D59" i="20"/>
  <c r="Z58" i="20"/>
  <c r="X58" i="20"/>
  <c r="V58" i="20"/>
  <c r="T58" i="20"/>
  <c r="R58" i="20"/>
  <c r="P58" i="20"/>
  <c r="N58" i="20"/>
  <c r="L58" i="20"/>
  <c r="J58" i="20"/>
  <c r="H58" i="20"/>
  <c r="F58" i="20"/>
  <c r="D58" i="20"/>
  <c r="Z57" i="20"/>
  <c r="X57" i="20"/>
  <c r="V57" i="20"/>
  <c r="T57" i="20"/>
  <c r="R57" i="20"/>
  <c r="P57" i="20"/>
  <c r="N57" i="20"/>
  <c r="L57" i="20"/>
  <c r="J57" i="20"/>
  <c r="H57" i="20"/>
  <c r="F57" i="20"/>
  <c r="D57" i="20"/>
  <c r="Z56" i="20"/>
  <c r="X56" i="20"/>
  <c r="V56" i="20"/>
  <c r="T56" i="20"/>
  <c r="R56" i="20"/>
  <c r="P56" i="20"/>
  <c r="N56" i="20"/>
  <c r="L56" i="20"/>
  <c r="J56" i="20"/>
  <c r="H56" i="20"/>
  <c r="F56" i="20"/>
  <c r="D56" i="20"/>
  <c r="Z55" i="20"/>
  <c r="X55" i="20"/>
  <c r="V55" i="20"/>
  <c r="T55" i="20"/>
  <c r="R55" i="20"/>
  <c r="P55" i="20"/>
  <c r="N55" i="20"/>
  <c r="L55" i="20"/>
  <c r="J55" i="20"/>
  <c r="H55" i="20"/>
  <c r="F55" i="20"/>
  <c r="D55" i="20"/>
  <c r="Z54" i="20"/>
  <c r="X54" i="20"/>
  <c r="V54" i="20"/>
  <c r="T54" i="20"/>
  <c r="R54" i="20"/>
  <c r="P54" i="20"/>
  <c r="N54" i="20"/>
  <c r="L54" i="20"/>
  <c r="J54" i="20"/>
  <c r="H54" i="20"/>
  <c r="F54" i="20"/>
  <c r="D54" i="20"/>
  <c r="Z53" i="20"/>
  <c r="X53" i="20"/>
  <c r="V53" i="20"/>
  <c r="T53" i="20"/>
  <c r="R53" i="20"/>
  <c r="P53" i="20"/>
  <c r="N53" i="20"/>
  <c r="L53" i="20"/>
  <c r="J53" i="20"/>
  <c r="H53" i="20"/>
  <c r="F53" i="20"/>
  <c r="D53" i="20"/>
  <c r="Z52" i="20"/>
  <c r="X52" i="20"/>
  <c r="V52" i="20"/>
  <c r="T52" i="20"/>
  <c r="R52" i="20"/>
  <c r="P52" i="20"/>
  <c r="N52" i="20"/>
  <c r="L52" i="20"/>
  <c r="J52" i="20"/>
  <c r="H52" i="20"/>
  <c r="F52" i="20"/>
  <c r="D52" i="20"/>
  <c r="Z51" i="20"/>
  <c r="X51" i="20"/>
  <c r="V51" i="20"/>
  <c r="T51" i="20"/>
  <c r="R51" i="20"/>
  <c r="P51" i="20"/>
  <c r="N51" i="20"/>
  <c r="L51" i="20"/>
  <c r="J51" i="20"/>
  <c r="H51" i="20"/>
  <c r="F51" i="20"/>
  <c r="D51" i="20"/>
  <c r="Z50" i="20"/>
  <c r="X50" i="20"/>
  <c r="V50" i="20"/>
  <c r="T50" i="20"/>
  <c r="R50" i="20"/>
  <c r="P50" i="20"/>
  <c r="N50" i="20"/>
  <c r="L50" i="20"/>
  <c r="J50" i="20"/>
  <c r="H50" i="20"/>
  <c r="F50" i="20"/>
  <c r="D50" i="20"/>
  <c r="Z49" i="20"/>
  <c r="X49" i="20"/>
  <c r="V49" i="20"/>
  <c r="T49" i="20"/>
  <c r="R49" i="20"/>
  <c r="P49" i="20"/>
  <c r="N49" i="20"/>
  <c r="L49" i="20"/>
  <c r="J49" i="20"/>
  <c r="H49" i="20"/>
  <c r="F49" i="20"/>
  <c r="D49" i="20"/>
  <c r="Z48" i="20"/>
  <c r="X48" i="20"/>
  <c r="V48" i="20"/>
  <c r="T48" i="20"/>
  <c r="R48" i="20"/>
  <c r="P48" i="20"/>
  <c r="N48" i="20"/>
  <c r="L48" i="20"/>
  <c r="J48" i="20"/>
  <c r="H48" i="20"/>
  <c r="F48" i="20"/>
  <c r="D48" i="20"/>
  <c r="Z47" i="20"/>
  <c r="X47" i="20"/>
  <c r="V47" i="20"/>
  <c r="T47" i="20"/>
  <c r="R47" i="20"/>
  <c r="P47" i="20"/>
  <c r="N47" i="20"/>
  <c r="L47" i="20"/>
  <c r="J47" i="20"/>
  <c r="H47" i="20"/>
  <c r="F47" i="20"/>
  <c r="D47" i="20"/>
  <c r="Z46" i="20"/>
  <c r="X46" i="20"/>
  <c r="V46" i="20"/>
  <c r="T46" i="20"/>
  <c r="R46" i="20"/>
  <c r="P46" i="20"/>
  <c r="N46" i="20"/>
  <c r="L46" i="20"/>
  <c r="J46" i="20"/>
  <c r="H46" i="20"/>
  <c r="F46" i="20"/>
  <c r="D46" i="20"/>
  <c r="Z45" i="20"/>
  <c r="X45" i="20"/>
  <c r="V45" i="20"/>
  <c r="T45" i="20"/>
  <c r="R45" i="20"/>
  <c r="P45" i="20"/>
  <c r="N45" i="20"/>
  <c r="L45" i="20"/>
  <c r="J45" i="20"/>
  <c r="H45" i="20"/>
  <c r="F45" i="20"/>
  <c r="D45" i="20"/>
  <c r="V43" i="20"/>
  <c r="T43" i="20"/>
  <c r="Z43" i="20" s="1"/>
  <c r="R43" i="20"/>
  <c r="X43" i="20" s="1"/>
  <c r="P43" i="20"/>
  <c r="N43" i="20"/>
  <c r="L43" i="20"/>
  <c r="J43" i="20"/>
  <c r="H43" i="20"/>
  <c r="F43" i="20"/>
  <c r="D43" i="20"/>
  <c r="Z41" i="20"/>
  <c r="X41" i="20"/>
  <c r="V41" i="20"/>
  <c r="T41" i="20"/>
  <c r="R41" i="20"/>
  <c r="P41" i="20"/>
  <c r="N41" i="20"/>
  <c r="L41" i="20"/>
  <c r="J41" i="20"/>
  <c r="H41" i="20"/>
  <c r="F41" i="20"/>
  <c r="D41" i="20"/>
  <c r="Z40" i="20"/>
  <c r="X40" i="20"/>
  <c r="V40" i="20"/>
  <c r="T40" i="20"/>
  <c r="R40" i="20"/>
  <c r="P40" i="20"/>
  <c r="N40" i="20"/>
  <c r="L40" i="20"/>
  <c r="J40" i="20"/>
  <c r="H40" i="20"/>
  <c r="F40" i="20"/>
  <c r="D40" i="20"/>
  <c r="Z37" i="20"/>
  <c r="X37" i="20"/>
  <c r="V37" i="20"/>
  <c r="T37" i="20"/>
  <c r="R37" i="20"/>
  <c r="P37" i="20"/>
  <c r="N37" i="20"/>
  <c r="L37" i="20"/>
  <c r="J37" i="20"/>
  <c r="H37" i="20"/>
  <c r="F37" i="20"/>
  <c r="D37" i="20"/>
  <c r="Z36" i="20"/>
  <c r="X36" i="20"/>
  <c r="V36" i="20"/>
  <c r="T36" i="20"/>
  <c r="R36" i="20"/>
  <c r="P36" i="20"/>
  <c r="N36" i="20"/>
  <c r="L36" i="20"/>
  <c r="J36" i="20"/>
  <c r="H36" i="20"/>
  <c r="F36" i="20"/>
  <c r="D36" i="20"/>
  <c r="Z35" i="20"/>
  <c r="X35" i="20"/>
  <c r="V35" i="20"/>
  <c r="T35" i="20"/>
  <c r="R35" i="20"/>
  <c r="P35" i="20"/>
  <c r="N35" i="20"/>
  <c r="L35" i="20"/>
  <c r="J35" i="20"/>
  <c r="H35" i="20"/>
  <c r="F35" i="20"/>
  <c r="D35" i="20"/>
  <c r="Z34" i="20"/>
  <c r="X34" i="20"/>
  <c r="V34" i="20"/>
  <c r="T34" i="20"/>
  <c r="R34" i="20"/>
  <c r="P34" i="20"/>
  <c r="N34" i="20"/>
  <c r="L34" i="20"/>
  <c r="J34" i="20"/>
  <c r="H34" i="20"/>
  <c r="F34" i="20"/>
  <c r="D34" i="20"/>
  <c r="Z33" i="20"/>
  <c r="X33" i="20"/>
  <c r="V33" i="20"/>
  <c r="T33" i="20"/>
  <c r="R33" i="20"/>
  <c r="P33" i="20"/>
  <c r="N33" i="20"/>
  <c r="L33" i="20"/>
  <c r="J33" i="20"/>
  <c r="H33" i="20"/>
  <c r="F33" i="20"/>
  <c r="D33" i="20"/>
  <c r="Z32" i="20"/>
  <c r="X32" i="20"/>
  <c r="V32" i="20"/>
  <c r="T32" i="20"/>
  <c r="R32" i="20"/>
  <c r="P32" i="20"/>
  <c r="N32" i="20"/>
  <c r="L32" i="20"/>
  <c r="J32" i="20"/>
  <c r="H32" i="20"/>
  <c r="F32" i="20"/>
  <c r="D32" i="20"/>
  <c r="V30" i="20"/>
  <c r="T30" i="20"/>
  <c r="R30" i="20"/>
  <c r="P30" i="20"/>
  <c r="N30" i="20"/>
  <c r="L30" i="20"/>
  <c r="J30" i="20"/>
  <c r="H30" i="20"/>
  <c r="F30" i="20"/>
  <c r="Z29" i="20"/>
  <c r="X29" i="20"/>
  <c r="V29" i="20"/>
  <c r="T29" i="20"/>
  <c r="R29" i="20"/>
  <c r="P29" i="20"/>
  <c r="N29" i="20"/>
  <c r="L29" i="20"/>
  <c r="J29" i="20"/>
  <c r="H29" i="20"/>
  <c r="F29" i="20"/>
  <c r="D29" i="20"/>
  <c r="Z28" i="20"/>
  <c r="X28" i="20"/>
  <c r="V28" i="20"/>
  <c r="T28" i="20"/>
  <c r="T97" i="20" s="1"/>
  <c r="T98" i="20" s="1"/>
  <c r="R28" i="20"/>
  <c r="P28" i="20"/>
  <c r="P97" i="20" s="1"/>
  <c r="P98" i="20" s="1"/>
  <c r="N28" i="20"/>
  <c r="L28" i="20"/>
  <c r="L97" i="20" s="1"/>
  <c r="L98" i="20" s="1"/>
  <c r="J28" i="20"/>
  <c r="H28" i="20"/>
  <c r="H97" i="20" s="1"/>
  <c r="H98" i="20" s="1"/>
  <c r="F28" i="20"/>
  <c r="D28" i="20"/>
  <c r="W25" i="20"/>
  <c r="Y21" i="20"/>
  <c r="Y25" i="20" s="1"/>
  <c r="U21" i="20"/>
  <c r="U25" i="20" s="1"/>
  <c r="S21" i="20"/>
  <c r="S25" i="20" s="1"/>
  <c r="Q21" i="20"/>
  <c r="Q25" i="20" s="1"/>
  <c r="O21" i="20"/>
  <c r="O25" i="20" s="1"/>
  <c r="M21" i="20"/>
  <c r="M25" i="20" s="1"/>
  <c r="K21" i="20"/>
  <c r="K25" i="20" s="1"/>
  <c r="I21" i="20"/>
  <c r="I25" i="20" s="1"/>
  <c r="G21" i="20"/>
  <c r="G25" i="20" s="1"/>
  <c r="E21" i="20"/>
  <c r="E25" i="20" s="1"/>
  <c r="C21" i="20"/>
  <c r="C25" i="20" s="1"/>
  <c r="Z19" i="20"/>
  <c r="X19" i="20"/>
  <c r="V19" i="20"/>
  <c r="T19" i="20"/>
  <c r="R19" i="20"/>
  <c r="P19" i="20"/>
  <c r="N19" i="20"/>
  <c r="L19" i="20"/>
  <c r="J19" i="20"/>
  <c r="H19" i="20"/>
  <c r="F19" i="20"/>
  <c r="D19" i="20"/>
  <c r="Z18" i="20"/>
  <c r="X18" i="20"/>
  <c r="V18" i="20"/>
  <c r="T18" i="20"/>
  <c r="R18" i="20"/>
  <c r="P18" i="20"/>
  <c r="N18" i="20"/>
  <c r="L18" i="20"/>
  <c r="J18" i="20"/>
  <c r="H18" i="20"/>
  <c r="F18" i="20"/>
  <c r="D18" i="20"/>
  <c r="Z17" i="20"/>
  <c r="X17" i="20"/>
  <c r="V17" i="20"/>
  <c r="T17" i="20"/>
  <c r="R17" i="20"/>
  <c r="P17" i="20"/>
  <c r="N17" i="20"/>
  <c r="L17" i="20"/>
  <c r="J17" i="20"/>
  <c r="H17" i="20"/>
  <c r="F17" i="20"/>
  <c r="D17" i="20"/>
  <c r="Z16" i="20"/>
  <c r="X16" i="20"/>
  <c r="V16" i="20"/>
  <c r="T16" i="20"/>
  <c r="R16" i="20"/>
  <c r="P16" i="20"/>
  <c r="N16" i="20"/>
  <c r="L16" i="20"/>
  <c r="J16" i="20"/>
  <c r="H16" i="20"/>
  <c r="F16" i="20"/>
  <c r="D16" i="20"/>
  <c r="Z15" i="20"/>
  <c r="X15" i="20"/>
  <c r="V15" i="20"/>
  <c r="T15" i="20"/>
  <c r="R15" i="20"/>
  <c r="P15" i="20"/>
  <c r="N15" i="20"/>
  <c r="L15" i="20"/>
  <c r="J15" i="20"/>
  <c r="H15" i="20"/>
  <c r="F15" i="20"/>
  <c r="D15" i="20"/>
  <c r="Z12" i="20"/>
  <c r="X12" i="20"/>
  <c r="V12" i="20"/>
  <c r="T12" i="20"/>
  <c r="R12" i="20"/>
  <c r="P12" i="20"/>
  <c r="N12" i="20"/>
  <c r="L12" i="20"/>
  <c r="J12" i="20"/>
  <c r="H12" i="20"/>
  <c r="F12" i="20"/>
  <c r="D12" i="20"/>
  <c r="Z11" i="20"/>
  <c r="X11" i="20"/>
  <c r="V11" i="20"/>
  <c r="T11" i="20"/>
  <c r="R11" i="20"/>
  <c r="P11" i="20"/>
  <c r="N11" i="20"/>
  <c r="L11" i="20"/>
  <c r="J11" i="20"/>
  <c r="H11" i="20"/>
  <c r="F11" i="20"/>
  <c r="D11" i="20"/>
  <c r="Z10" i="20"/>
  <c r="X10" i="20"/>
  <c r="V10" i="20"/>
  <c r="T10" i="20"/>
  <c r="R10" i="20"/>
  <c r="P10" i="20"/>
  <c r="N10" i="20"/>
  <c r="L10" i="20"/>
  <c r="J10" i="20"/>
  <c r="H10" i="20"/>
  <c r="F10" i="20"/>
  <c r="D10" i="20"/>
  <c r="Z9" i="20"/>
  <c r="Z21" i="20" s="1"/>
  <c r="X9" i="20"/>
  <c r="X21" i="20" s="1"/>
  <c r="V9" i="20"/>
  <c r="V21" i="20" s="1"/>
  <c r="T9" i="20"/>
  <c r="T21" i="20" s="1"/>
  <c r="R9" i="20"/>
  <c r="R21" i="20" s="1"/>
  <c r="P9" i="20"/>
  <c r="P21" i="20" s="1"/>
  <c r="N9" i="20"/>
  <c r="N21" i="20" s="1"/>
  <c r="L9" i="20"/>
  <c r="L21" i="20" s="1"/>
  <c r="J9" i="20"/>
  <c r="J21" i="20" s="1"/>
  <c r="H9" i="20"/>
  <c r="H21" i="20" s="1"/>
  <c r="F9" i="20"/>
  <c r="F21" i="20" s="1"/>
  <c r="D9" i="20"/>
  <c r="D21" i="20" s="1"/>
  <c r="Z97" i="23" l="1"/>
  <c r="J97" i="20"/>
  <c r="J98" i="20" s="1"/>
  <c r="R97" i="20"/>
  <c r="R98" i="20" s="1"/>
  <c r="R99" i="20" s="1"/>
  <c r="R100" i="20" s="1"/>
  <c r="Z97" i="20"/>
  <c r="L97" i="23"/>
  <c r="L98" i="23" s="1"/>
  <c r="T97" i="23"/>
  <c r="T98" i="23" s="1"/>
  <c r="F97" i="20"/>
  <c r="F98" i="20" s="1"/>
  <c r="F99" i="20" s="1"/>
  <c r="F100" i="20" s="1"/>
  <c r="N97" i="20"/>
  <c r="N98" i="20" s="1"/>
  <c r="V97" i="20"/>
  <c r="V98" i="20" s="1"/>
  <c r="H97" i="23"/>
  <c r="H98" i="23" s="1"/>
  <c r="P97" i="23"/>
  <c r="P98" i="23" s="1"/>
  <c r="P99" i="23" s="1"/>
  <c r="P100" i="23" s="1"/>
  <c r="A4" i="25"/>
  <c r="Z108" i="25"/>
  <c r="Z106" i="25"/>
  <c r="D108" i="25"/>
  <c r="D106" i="25"/>
  <c r="X110" i="25"/>
  <c r="X111" i="25" s="1"/>
  <c r="X112" i="25" s="1"/>
  <c r="X113" i="25" s="1"/>
  <c r="X102" i="25"/>
  <c r="X104" i="25" s="1"/>
  <c r="D97" i="23"/>
  <c r="X97" i="23"/>
  <c r="D23" i="23"/>
  <c r="D25" i="23" s="1"/>
  <c r="D98" i="23" s="1"/>
  <c r="L23" i="23"/>
  <c r="L25" i="23" s="1"/>
  <c r="T23" i="23"/>
  <c r="T25" i="23"/>
  <c r="J99" i="23"/>
  <c r="J100" i="23" s="1"/>
  <c r="R99" i="23"/>
  <c r="R100" i="23" s="1"/>
  <c r="F23" i="23"/>
  <c r="F25" i="23" s="1"/>
  <c r="N25" i="23"/>
  <c r="N23" i="23"/>
  <c r="V23" i="23"/>
  <c r="V25" i="23" s="1"/>
  <c r="L99" i="23"/>
  <c r="L100" i="23" s="1"/>
  <c r="T99" i="23"/>
  <c r="T100" i="23" s="1"/>
  <c r="H23" i="23"/>
  <c r="H25" i="23" s="1"/>
  <c r="P23" i="23"/>
  <c r="P25" i="23"/>
  <c r="F99" i="23"/>
  <c r="F100" i="23" s="1"/>
  <c r="N99" i="23"/>
  <c r="N100" i="23" s="1"/>
  <c r="V99" i="23"/>
  <c r="V100" i="23" s="1"/>
  <c r="J23" i="23"/>
  <c r="J25" i="23" s="1"/>
  <c r="R23" i="23"/>
  <c r="R25" i="23" s="1"/>
  <c r="Z23" i="23"/>
  <c r="Z25" i="23" s="1"/>
  <c r="Z98" i="23" s="1"/>
  <c r="H99" i="23"/>
  <c r="H100" i="23" s="1"/>
  <c r="X25" i="23"/>
  <c r="X97" i="20"/>
  <c r="D97" i="20"/>
  <c r="D23" i="20"/>
  <c r="D25" i="20"/>
  <c r="T23" i="20"/>
  <c r="T25" i="20" s="1"/>
  <c r="F23" i="20"/>
  <c r="F25" i="20" s="1"/>
  <c r="N23" i="20"/>
  <c r="N25" i="20" s="1"/>
  <c r="V23" i="20"/>
  <c r="V25" i="20" s="1"/>
  <c r="L99" i="20"/>
  <c r="L100" i="20" s="1"/>
  <c r="T99" i="20"/>
  <c r="T100" i="20" s="1"/>
  <c r="L23" i="20"/>
  <c r="L25" i="20" s="1"/>
  <c r="J99" i="20"/>
  <c r="J100" i="20" s="1"/>
  <c r="H23" i="20"/>
  <c r="H25" i="20" s="1"/>
  <c r="P23" i="20"/>
  <c r="P25" i="20" s="1"/>
  <c r="N99" i="20"/>
  <c r="N100" i="20" s="1"/>
  <c r="V99" i="20"/>
  <c r="V100" i="20" s="1"/>
  <c r="J23" i="20"/>
  <c r="J25" i="20" s="1"/>
  <c r="R25" i="20"/>
  <c r="R23" i="20"/>
  <c r="Z23" i="20"/>
  <c r="Z25" i="20" s="1"/>
  <c r="Z98" i="20" s="1"/>
  <c r="H99" i="20"/>
  <c r="H100" i="20" s="1"/>
  <c r="P99" i="20"/>
  <c r="P100" i="20" s="1"/>
  <c r="X23" i="20"/>
  <c r="X25" i="20" s="1"/>
  <c r="D98" i="20" l="1"/>
  <c r="X98" i="23"/>
  <c r="X108" i="25"/>
  <c r="X106" i="25"/>
  <c r="X98" i="20"/>
  <c r="H104" i="23"/>
  <c r="H102" i="23"/>
  <c r="V104" i="23"/>
  <c r="V102" i="23"/>
  <c r="L104" i="23"/>
  <c r="L102" i="23"/>
  <c r="R104" i="23"/>
  <c r="R102" i="23"/>
  <c r="Z99" i="23"/>
  <c r="Z100" i="23" s="1"/>
  <c r="N104" i="23"/>
  <c r="N102" i="23"/>
  <c r="J104" i="23"/>
  <c r="J102" i="23"/>
  <c r="F104" i="23"/>
  <c r="F102" i="23"/>
  <c r="P104" i="23"/>
  <c r="P102" i="23"/>
  <c r="T104" i="23"/>
  <c r="T102" i="23"/>
  <c r="X99" i="23"/>
  <c r="X100" i="23" s="1"/>
  <c r="D99" i="23"/>
  <c r="D100" i="23" s="1"/>
  <c r="Z99" i="20"/>
  <c r="Z100" i="20" s="1"/>
  <c r="V104" i="20"/>
  <c r="V102" i="20"/>
  <c r="T104" i="20"/>
  <c r="T102" i="20"/>
  <c r="X99" i="20"/>
  <c r="X100" i="20" s="1"/>
  <c r="L104" i="20"/>
  <c r="L102" i="20"/>
  <c r="J104" i="20"/>
  <c r="J102" i="20"/>
  <c r="H104" i="20"/>
  <c r="H102" i="20"/>
  <c r="F104" i="20"/>
  <c r="F102" i="20"/>
  <c r="D99" i="20"/>
  <c r="D100" i="20" s="1"/>
  <c r="P104" i="20"/>
  <c r="P102" i="20"/>
  <c r="N104" i="20"/>
  <c r="N102" i="20"/>
  <c r="R104" i="20"/>
  <c r="R102" i="20"/>
  <c r="X110" i="23" l="1"/>
  <c r="X111" i="23" s="1"/>
  <c r="X112" i="23" s="1"/>
  <c r="X113" i="23" s="1"/>
  <c r="X102" i="23"/>
  <c r="X104" i="23" s="1"/>
  <c r="Z110" i="23"/>
  <c r="Z111" i="23" s="1"/>
  <c r="Z112" i="23" s="1"/>
  <c r="Z113" i="23" s="1"/>
  <c r="Z102" i="23"/>
  <c r="Z104" i="23" s="1"/>
  <c r="D110" i="23"/>
  <c r="D111" i="23" s="1"/>
  <c r="D113" i="23" s="1"/>
  <c r="A4" i="23" s="1"/>
  <c r="D102" i="23"/>
  <c r="D104" i="23" s="1"/>
  <c r="T108" i="23"/>
  <c r="T110" i="23" s="1"/>
  <c r="T106" i="23"/>
  <c r="F108" i="23"/>
  <c r="F110" i="23" s="1"/>
  <c r="F106" i="23"/>
  <c r="N108" i="23"/>
  <c r="N110" i="23" s="1"/>
  <c r="N106" i="23"/>
  <c r="R108" i="23"/>
  <c r="R110" i="23" s="1"/>
  <c r="R106" i="23"/>
  <c r="V108" i="23"/>
  <c r="V110" i="23" s="1"/>
  <c r="V106" i="23"/>
  <c r="P108" i="23"/>
  <c r="P110" i="23" s="1"/>
  <c r="P106" i="23"/>
  <c r="J108" i="23"/>
  <c r="J110" i="23" s="1"/>
  <c r="J106" i="23"/>
  <c r="L108" i="23"/>
  <c r="L110" i="23" s="1"/>
  <c r="L106" i="23"/>
  <c r="H108" i="23"/>
  <c r="H110" i="23" s="1"/>
  <c r="H106" i="23"/>
  <c r="D110" i="20"/>
  <c r="D111" i="20" s="1"/>
  <c r="D113" i="20" s="1"/>
  <c r="A4" i="20" s="1"/>
  <c r="D102" i="20"/>
  <c r="D104" i="20" s="1"/>
  <c r="X110" i="20"/>
  <c r="X111" i="20" s="1"/>
  <c r="X112" i="20" s="1"/>
  <c r="X113" i="20" s="1"/>
  <c r="X102" i="20"/>
  <c r="X104" i="20" s="1"/>
  <c r="Z110" i="20"/>
  <c r="Z111" i="20" s="1"/>
  <c r="Z112" i="20" s="1"/>
  <c r="Z113" i="20" s="1"/>
  <c r="Z102" i="20"/>
  <c r="Z104" i="20" s="1"/>
  <c r="R108" i="20"/>
  <c r="R110" i="20" s="1"/>
  <c r="R106" i="20"/>
  <c r="P108" i="20"/>
  <c r="P110" i="20" s="1"/>
  <c r="P106" i="20"/>
  <c r="F108" i="20"/>
  <c r="F110" i="20" s="1"/>
  <c r="F106" i="20"/>
  <c r="J108" i="20"/>
  <c r="J110" i="20" s="1"/>
  <c r="J106" i="20"/>
  <c r="V108" i="20"/>
  <c r="V110" i="20" s="1"/>
  <c r="V106" i="20"/>
  <c r="N106" i="20"/>
  <c r="N108" i="20"/>
  <c r="N110" i="20" s="1"/>
  <c r="H108" i="20"/>
  <c r="H110" i="20" s="1"/>
  <c r="H106" i="20"/>
  <c r="L108" i="20"/>
  <c r="L110" i="20" s="1"/>
  <c r="L106" i="20"/>
  <c r="T108" i="20"/>
  <c r="T110" i="20" s="1"/>
  <c r="T106" i="20"/>
  <c r="X108" i="23" l="1"/>
  <c r="X106" i="23"/>
  <c r="D108" i="23"/>
  <c r="D106" i="23"/>
  <c r="Z108" i="23"/>
  <c r="Z106" i="23"/>
  <c r="Z108" i="20"/>
  <c r="Z106" i="20"/>
  <c r="D108" i="20"/>
  <c r="D106" i="20"/>
  <c r="X108" i="20"/>
  <c r="X106" i="20"/>
</calcChain>
</file>

<file path=xl/sharedStrings.xml><?xml version="1.0" encoding="utf-8"?>
<sst xmlns="http://schemas.openxmlformats.org/spreadsheetml/2006/main" count="603" uniqueCount="107">
  <si>
    <t xml:space="preserve"> </t>
  </si>
  <si>
    <t>Category</t>
  </si>
  <si>
    <t>RATE</t>
  </si>
  <si>
    <t>$/Hour</t>
  </si>
  <si>
    <t>Hours</t>
  </si>
  <si>
    <t>$</t>
  </si>
  <si>
    <t>Installation Crew</t>
  </si>
  <si>
    <t xml:space="preserve">Operator </t>
  </si>
  <si>
    <t>TOTAL DIRECT "L" LABOR</t>
  </si>
  <si>
    <t>Total Labor Costs</t>
  </si>
  <si>
    <t>Equipment</t>
  </si>
  <si>
    <t>Travel &amp; Per Diem</t>
  </si>
  <si>
    <t>Materials</t>
  </si>
  <si>
    <t>TOTAL OTHER DIRECT COSTS</t>
  </si>
  <si>
    <t>TOTAL DIRECT PLUS ODCs</t>
  </si>
  <si>
    <t>G &amp; A</t>
  </si>
  <si>
    <t>TOTAL COST W/O FEE</t>
  </si>
  <si>
    <t>TOTAL COST PLUS FEE</t>
  </si>
  <si>
    <t>(Lump Sum)</t>
  </si>
  <si>
    <t>HOME OFFICE (L) LABOR OVERHEAD</t>
  </si>
  <si>
    <t>Bond Costs</t>
  </si>
  <si>
    <t>New CLIN - Hide if Not Used</t>
  </si>
  <si>
    <t>0003 -- Architectural Finishes</t>
  </si>
  <si>
    <t>0004 -- Repairs To Overhead Crane</t>
  </si>
  <si>
    <t>0005 -- Mechanical</t>
  </si>
  <si>
    <t>0006 -- Plumbing</t>
  </si>
  <si>
    <t>0007 -- Electrical</t>
  </si>
  <si>
    <t>0008 -- Communications</t>
  </si>
  <si>
    <t>0009 -- Roofing Repairs</t>
  </si>
  <si>
    <t>0010 -- Design</t>
  </si>
  <si>
    <t>Bonds</t>
  </si>
  <si>
    <t>Fee</t>
  </si>
  <si>
    <t>TOTAL COST With Fee</t>
  </si>
  <si>
    <t>TOTAL COST WITH BONDS</t>
  </si>
  <si>
    <r>
      <t xml:space="preserve">Fee - </t>
    </r>
    <r>
      <rPr>
        <sz val="11"/>
        <color rgb="FFFF0000"/>
        <rFont val="Arial"/>
        <family val="2"/>
      </rPr>
      <t>Reduced from 7.5%</t>
    </r>
  </si>
  <si>
    <r>
      <t xml:space="preserve">State Taxes -- </t>
    </r>
    <r>
      <rPr>
        <b/>
        <sz val="11"/>
        <rFont val="Arial"/>
        <family val="2"/>
      </rPr>
      <t>None In North Carolina</t>
    </r>
  </si>
  <si>
    <t xml:space="preserve">Administrative Assistant </t>
  </si>
  <si>
    <t>Car Rental/day</t>
  </si>
  <si>
    <t>Project Controls/CADD/Submittals</t>
  </si>
  <si>
    <t>CLINS and Options from Subcontractors</t>
  </si>
  <si>
    <t>CLIN 0004 - Install overhead power in Room 120</t>
  </si>
  <si>
    <t>CLIN 0004 - To Remove the existing Cooler/Freezer</t>
  </si>
  <si>
    <t>Per Diem -- Room</t>
  </si>
  <si>
    <t>Per Diem - Meals - for PM</t>
  </si>
  <si>
    <t>This cost is for PM to fly home every other week 4 trips</t>
  </si>
  <si>
    <t>Renovation 503 Room 2E13 and 2E18 to support Nuclear Magnetic Resonance (NMR)</t>
  </si>
  <si>
    <t>Bid Notes</t>
  </si>
  <si>
    <t xml:space="preserve">Project Manager </t>
  </si>
  <si>
    <t>Crew Leader</t>
  </si>
  <si>
    <t>Misc Expendable Field Supplies Ice/Water - per field day</t>
  </si>
  <si>
    <t>Airfare from Miami, FL to Silver Springs Maryland - Based on Delta 2 wk ahead fare (Project Manager)</t>
  </si>
  <si>
    <t>The cost is for lodging 6 weeks @ rate of $129/night per 2 person Crew</t>
  </si>
  <si>
    <t>Per Diem -- Room (PM)</t>
  </si>
  <si>
    <t>The cost for lodging of PM per night @ $159/night + taxes for field and site visits</t>
  </si>
  <si>
    <t>Per Diem - Meals - for Crew</t>
  </si>
  <si>
    <t xml:space="preserve">This is the Perdiem rate of $35.00 for 6 guys @ 42 days  </t>
  </si>
  <si>
    <t>This is the Perdiem rate of $55.00 for 45 days</t>
  </si>
  <si>
    <t>Skilled Labor</t>
  </si>
  <si>
    <t>Labor</t>
  </si>
  <si>
    <t>The PM cost is based on 15 hours per week for 6 months</t>
  </si>
  <si>
    <t xml:space="preserve">The Project Controls are based on administering the submittals </t>
  </si>
  <si>
    <t>The Certified Payroll Administrator cost is based on 2 hrs a week for 6 weeks of construction time and 2 weeks of close out as required.</t>
  </si>
  <si>
    <t>Payroll Admin</t>
  </si>
  <si>
    <t xml:space="preserve">This cost is based on $75 a day for 42 working days for a truck for company use. </t>
  </si>
  <si>
    <t>Rental Boom Lift</t>
  </si>
  <si>
    <t>Pre-fabricated metal wall panels</t>
  </si>
  <si>
    <t>Crew team member for metal panel installation</t>
  </si>
  <si>
    <t>Crew Leader for metal wall panel installation crew</t>
  </si>
  <si>
    <t>Laborer/Machine operator</t>
  </si>
  <si>
    <t>Crew team member for metal panel installation / Operator</t>
  </si>
  <si>
    <t>Skilled Labor / Operator</t>
  </si>
  <si>
    <t>Monthly rate of standard straight 60' Boomlift by United Rentals (2 machines per CLIN)</t>
  </si>
  <si>
    <t>Machines Rental</t>
  </si>
  <si>
    <t>Hallway Project USCG Richmond Heights</t>
  </si>
  <si>
    <t>MJ Global</t>
  </si>
  <si>
    <t>Sub- Door Installer</t>
  </si>
  <si>
    <t>USCG CEU - Clear Impact Door</t>
  </si>
  <si>
    <t>Stucco</t>
  </si>
  <si>
    <t>USCG CEU - Glass Partition  Frosted</t>
  </si>
  <si>
    <t>Acid Etched</t>
  </si>
  <si>
    <t xml:space="preserve">storefront doors silver frame clear </t>
  </si>
  <si>
    <t xml:space="preserve">Stucco </t>
  </si>
  <si>
    <t>Parking Bumber</t>
  </si>
  <si>
    <t xml:space="preserve">Reseal </t>
  </si>
  <si>
    <t>Restripe</t>
  </si>
  <si>
    <t>Tree Cutting</t>
  </si>
  <si>
    <t>sq ft</t>
  </si>
  <si>
    <t>Asphault Patching</t>
  </si>
  <si>
    <t>Portable Facility</t>
  </si>
  <si>
    <t>MOT</t>
  </si>
  <si>
    <t>Option 2: Repair all roads highlighted in orange and light blue on attached drawing</t>
  </si>
  <si>
    <t>Option 2</t>
  </si>
  <si>
    <t xml:space="preserve">Restripe - Bumbers </t>
  </si>
  <si>
    <t>Road Undulations</t>
  </si>
  <si>
    <t xml:space="preserve">Road Crack Patching </t>
  </si>
  <si>
    <t>Base Bid Option 1: Parking lots for B89 and B28.</t>
  </si>
  <si>
    <t xml:space="preserve">Line Item 1 - Parking Lot </t>
  </si>
  <si>
    <t>Option 3: Repair all roads highlighted in light blue on attached drawing only.</t>
  </si>
  <si>
    <t xml:space="preserve">Option 3 (Light Blue) </t>
  </si>
  <si>
    <t xml:space="preserve">Greenland Construction &amp; Engineering </t>
  </si>
  <si>
    <t>Reseal per sqaure feet</t>
  </si>
  <si>
    <t>Reseal Green area per sq ft</t>
  </si>
  <si>
    <t>Reseal pink area per sq ft</t>
  </si>
  <si>
    <t>Reseal light blue area per sq ft</t>
  </si>
  <si>
    <t>Edging ofpink (per linear feet)</t>
  </si>
  <si>
    <t>Edging oflight blue (per linear feet)</t>
  </si>
  <si>
    <t>Edging of Green (per linear 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</si>
</sst>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00_);\(&quot;$&quot;#,##0.000\)"/>
    <numFmt numFmtId="166" formatCode="0.0000%"/>
  </numFmts>
  <fonts count="7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6"/>
      <name val="Arial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04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 applyProtection="1">
      <protection locked="0"/>
    </xf>
    <xf numFmtId="2" fontId="2" fillId="2" borderId="0" xfId="0" applyNumberFormat="1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7" fontId="2" fillId="0" borderId="6" xfId="0" applyNumberFormat="1" applyFont="1" applyFill="1" applyBorder="1" applyAlignment="1" applyProtection="1">
      <alignment horizontal="center" vertical="center"/>
      <protection locked="0"/>
    </xf>
    <xf numFmtId="7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11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7" fontId="2" fillId="0" borderId="18" xfId="0" applyNumberFormat="1" applyFont="1" applyBorder="1" applyAlignment="1" applyProtection="1">
      <alignment horizontal="left"/>
      <protection locked="0"/>
    </xf>
    <xf numFmtId="7" fontId="2" fillId="0" borderId="18" xfId="0" applyNumberFormat="1" applyFont="1" applyFill="1" applyBorder="1" applyAlignment="1" applyProtection="1">
      <alignment horizontal="right"/>
    </xf>
    <xf numFmtId="0" fontId="2" fillId="0" borderId="15" xfId="0" applyNumberFormat="1" applyFont="1" applyFill="1" applyBorder="1" applyAlignment="1">
      <alignment horizontal="center" vertical="center"/>
    </xf>
    <xf numFmtId="7" fontId="2" fillId="0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18" xfId="0" applyFont="1" applyBorder="1" applyAlignment="1" applyProtection="1">
      <alignment horizontal="left"/>
      <protection locked="0"/>
    </xf>
    <xf numFmtId="7" fontId="2" fillId="0" borderId="18" xfId="0" applyNumberFormat="1" applyFont="1" applyFill="1" applyBorder="1" applyAlignment="1" applyProtection="1">
      <alignment horizontal="right"/>
      <protection locked="0"/>
    </xf>
    <xf numFmtId="0" fontId="2" fillId="0" borderId="18" xfId="0" applyFont="1" applyFill="1" applyBorder="1" applyAlignment="1" applyProtection="1">
      <alignment horizontal="left"/>
      <protection locked="0"/>
    </xf>
    <xf numFmtId="0" fontId="2" fillId="0" borderId="19" xfId="0" applyNumberFormat="1" applyFont="1" applyFill="1" applyBorder="1" applyAlignment="1">
      <alignment horizontal="center" vertical="center"/>
    </xf>
    <xf numFmtId="0" fontId="2" fillId="0" borderId="18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7" fontId="2" fillId="3" borderId="18" xfId="0" applyNumberFormat="1" applyFont="1" applyFill="1" applyBorder="1" applyAlignment="1" applyProtection="1">
      <alignment horizontal="right"/>
      <protection locked="0"/>
    </xf>
    <xf numFmtId="0" fontId="2" fillId="3" borderId="19" xfId="0" applyNumberFormat="1" applyFont="1" applyFill="1" applyBorder="1" applyAlignment="1">
      <alignment horizontal="center" vertical="center"/>
    </xf>
    <xf numFmtId="7" fontId="2" fillId="3" borderId="16" xfId="0" applyNumberFormat="1" applyFont="1" applyFill="1" applyBorder="1" applyAlignment="1" applyProtection="1">
      <alignment horizontal="right" vertical="center"/>
      <protection locked="0"/>
    </xf>
    <xf numFmtId="7" fontId="2" fillId="3" borderId="17" xfId="0" applyNumberFormat="1" applyFont="1" applyFill="1" applyBorder="1" applyAlignment="1" applyProtection="1">
      <alignment horizontal="right" vertical="center"/>
      <protection locked="0"/>
    </xf>
    <xf numFmtId="0" fontId="2" fillId="0" borderId="20" xfId="0" applyNumberFormat="1" applyFont="1" applyFill="1" applyBorder="1" applyAlignment="1">
      <alignment horizontal="center" vertical="center"/>
    </xf>
    <xf numFmtId="7" fontId="2" fillId="2" borderId="17" xfId="0" applyNumberFormat="1" applyFont="1" applyFill="1" applyBorder="1" applyAlignment="1" applyProtection="1">
      <alignment horizontal="right" vertical="center"/>
      <protection locked="0"/>
    </xf>
    <xf numFmtId="0" fontId="2" fillId="0" borderId="18" xfId="0" applyFont="1" applyFill="1" applyBorder="1" applyAlignment="1" applyProtection="1">
      <alignment horizontal="left" indent="1"/>
      <protection locked="0"/>
    </xf>
    <xf numFmtId="7" fontId="2" fillId="2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21" xfId="0" applyFont="1" applyFill="1" applyBorder="1" applyAlignment="1">
      <alignment vertical="center"/>
    </xf>
    <xf numFmtId="164" fontId="2" fillId="0" borderId="21" xfId="1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horizontal="center" vertical="center"/>
    </xf>
    <xf numFmtId="7" fontId="2" fillId="0" borderId="22" xfId="0" applyNumberFormat="1" applyFont="1" applyFill="1" applyBorder="1" applyAlignment="1" applyProtection="1">
      <alignment horizontal="right" vertical="center"/>
      <protection locked="0"/>
    </xf>
    <xf numFmtId="0" fontId="2" fillId="0" borderId="47" xfId="0" applyNumberFormat="1" applyFont="1" applyFill="1" applyBorder="1" applyAlignment="1">
      <alignment horizontal="center" vertical="center"/>
    </xf>
    <xf numFmtId="7" fontId="2" fillId="0" borderId="24" xfId="0" applyNumberFormat="1" applyFont="1" applyFill="1" applyBorder="1" applyAlignment="1" applyProtection="1">
      <alignment horizontal="right" vertical="center"/>
      <protection locked="0"/>
    </xf>
    <xf numFmtId="0" fontId="2" fillId="0" borderId="25" xfId="0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horizontal="center" vertical="center"/>
    </xf>
    <xf numFmtId="164" fontId="2" fillId="0" borderId="27" xfId="0" applyNumberFormat="1" applyFont="1" applyFill="1" applyBorder="1" applyAlignment="1">
      <alignment horizontal="right" vertical="center"/>
    </xf>
    <xf numFmtId="164" fontId="2" fillId="0" borderId="30" xfId="0" applyNumberFormat="1" applyFont="1" applyFill="1" applyBorder="1" applyAlignment="1">
      <alignment horizontal="right" vertical="center"/>
    </xf>
    <xf numFmtId="0" fontId="2" fillId="3" borderId="28" xfId="0" applyFont="1" applyFill="1" applyBorder="1" applyAlignment="1">
      <alignment vertical="center"/>
    </xf>
    <xf numFmtId="164" fontId="2" fillId="3" borderId="29" xfId="0" applyNumberFormat="1" applyFont="1" applyFill="1" applyBorder="1" applyAlignment="1" applyProtection="1">
      <alignment vertical="center"/>
      <protection locked="0"/>
    </xf>
    <xf numFmtId="0" fontId="2" fillId="3" borderId="26" xfId="0" applyNumberFormat="1" applyFont="1" applyFill="1" applyBorder="1" applyAlignment="1">
      <alignment horizontal="center" vertical="center"/>
    </xf>
    <xf numFmtId="164" fontId="2" fillId="3" borderId="31" xfId="0" applyNumberFormat="1" applyFont="1" applyFill="1" applyBorder="1" applyAlignment="1">
      <alignment horizontal="right" vertical="center"/>
    </xf>
    <xf numFmtId="164" fontId="2" fillId="3" borderId="30" xfId="0" applyNumberFormat="1" applyFont="1" applyFill="1" applyBorder="1" applyAlignment="1">
      <alignment horizontal="right" vertical="center"/>
    </xf>
    <xf numFmtId="0" fontId="2" fillId="0" borderId="28" xfId="0" applyFont="1" applyFill="1" applyBorder="1" applyAlignment="1">
      <alignment vertical="center"/>
    </xf>
    <xf numFmtId="10" fontId="2" fillId="0" borderId="38" xfId="0" applyNumberFormat="1" applyFont="1" applyFill="1" applyBorder="1" applyAlignment="1" applyProtection="1">
      <alignment vertical="center"/>
      <protection locked="0"/>
    </xf>
    <xf numFmtId="7" fontId="2" fillId="0" borderId="26" xfId="0" applyNumberFormat="1" applyFont="1" applyFill="1" applyBorder="1" applyAlignment="1" applyProtection="1">
      <alignment horizontal="right" vertical="center"/>
      <protection locked="0"/>
    </xf>
    <xf numFmtId="7" fontId="2" fillId="0" borderId="30" xfId="0" applyNumberFormat="1" applyFont="1" applyFill="1" applyBorder="1" applyAlignment="1" applyProtection="1">
      <alignment horizontal="right" vertical="center"/>
      <protection locked="0"/>
    </xf>
    <xf numFmtId="10" fontId="2" fillId="3" borderId="32" xfId="0" applyNumberFormat="1" applyFont="1" applyFill="1" applyBorder="1" applyAlignment="1" applyProtection="1">
      <alignment vertical="center"/>
      <protection locked="0"/>
    </xf>
    <xf numFmtId="0" fontId="2" fillId="3" borderId="33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Protection="1">
      <protection locked="0"/>
    </xf>
    <xf numFmtId="0" fontId="2" fillId="0" borderId="35" xfId="0" applyFont="1" applyFill="1" applyBorder="1" applyAlignment="1" applyProtection="1">
      <alignment vertical="center"/>
      <protection locked="0"/>
    </xf>
    <xf numFmtId="10" fontId="3" fillId="0" borderId="6" xfId="0" applyNumberFormat="1" applyFont="1" applyFill="1" applyBorder="1" applyAlignment="1" applyProtection="1">
      <alignment vertical="center"/>
      <protection locked="0"/>
    </xf>
    <xf numFmtId="3" fontId="2" fillId="0" borderId="36" xfId="0" applyNumberFormat="1" applyFont="1" applyFill="1" applyBorder="1" applyAlignment="1" applyProtection="1">
      <alignment horizontal="center" vertical="center"/>
      <protection locked="0"/>
    </xf>
    <xf numFmtId="7" fontId="2" fillId="0" borderId="37" xfId="0" applyNumberFormat="1" applyFont="1" applyFill="1" applyBorder="1" applyAlignment="1" applyProtection="1">
      <alignment horizontal="right" vertical="center"/>
      <protection locked="0"/>
    </xf>
    <xf numFmtId="0" fontId="2" fillId="3" borderId="35" xfId="0" applyFont="1" applyFill="1" applyBorder="1" applyAlignment="1" applyProtection="1">
      <alignment vertical="center"/>
      <protection locked="0"/>
    </xf>
    <xf numFmtId="7" fontId="2" fillId="3" borderId="35" xfId="0" applyNumberFormat="1" applyFont="1" applyFill="1" applyBorder="1" applyAlignment="1" applyProtection="1">
      <alignment vertical="center"/>
      <protection locked="0"/>
    </xf>
    <xf numFmtId="0" fontId="2" fillId="3" borderId="44" xfId="0" applyFont="1" applyFill="1" applyBorder="1" applyAlignment="1" applyProtection="1">
      <alignment horizontal="center" vertical="center"/>
      <protection locked="0"/>
    </xf>
    <xf numFmtId="7" fontId="2" fillId="3" borderId="45" xfId="0" applyNumberFormat="1" applyFont="1" applyFill="1" applyBorder="1" applyAlignment="1" applyProtection="1">
      <alignment horizontal="right" vertical="center"/>
      <protection locked="0"/>
    </xf>
    <xf numFmtId="0" fontId="2" fillId="0" borderId="14" xfId="0" applyFont="1" applyFill="1" applyBorder="1" applyAlignment="1" applyProtection="1">
      <alignment vertical="center"/>
      <protection locked="0"/>
    </xf>
    <xf numFmtId="165" fontId="2" fillId="0" borderId="50" xfId="0" applyNumberFormat="1" applyFont="1" applyFill="1" applyBorder="1" applyAlignment="1" applyProtection="1">
      <alignment vertical="center"/>
      <protection locked="0"/>
    </xf>
    <xf numFmtId="0" fontId="2" fillId="0" borderId="39" xfId="0" applyFont="1" applyFill="1" applyBorder="1" applyAlignment="1" applyProtection="1">
      <alignment horizontal="center" vertical="center"/>
      <protection locked="0"/>
    </xf>
    <xf numFmtId="0" fontId="2" fillId="0" borderId="38" xfId="0" applyFont="1" applyBorder="1" applyAlignment="1">
      <alignment horizontal="left" indent="1"/>
    </xf>
    <xf numFmtId="164" fontId="2" fillId="0" borderId="25" xfId="0" applyNumberFormat="1" applyFont="1" applyBorder="1"/>
    <xf numFmtId="0" fontId="2" fillId="0" borderId="29" xfId="0" applyFont="1" applyBorder="1" applyAlignment="1">
      <alignment horizontal="left" indent="1"/>
    </xf>
    <xf numFmtId="164" fontId="2" fillId="0" borderId="28" xfId="0" applyNumberFormat="1" applyFont="1" applyBorder="1"/>
    <xf numFmtId="0" fontId="2" fillId="0" borderId="10" xfId="0" applyFont="1" applyFill="1" applyBorder="1" applyAlignment="1" applyProtection="1">
      <alignment horizontal="center" vertical="center"/>
      <protection locked="0"/>
    </xf>
    <xf numFmtId="7" fontId="2" fillId="2" borderId="42" xfId="0" applyNumberFormat="1" applyFont="1" applyFill="1" applyBorder="1" applyAlignment="1" applyProtection="1">
      <alignment horizontal="right" vertical="center"/>
      <protection locked="0"/>
    </xf>
    <xf numFmtId="0" fontId="3" fillId="4" borderId="49" xfId="0" applyFont="1" applyFill="1" applyBorder="1"/>
    <xf numFmtId="43" fontId="2" fillId="4" borderId="35" xfId="0" applyNumberFormat="1" applyFont="1" applyFill="1" applyBorder="1"/>
    <xf numFmtId="0" fontId="2" fillId="4" borderId="44" xfId="0" applyFont="1" applyFill="1" applyBorder="1" applyAlignment="1" applyProtection="1">
      <alignment horizontal="center" vertical="center"/>
      <protection locked="0"/>
    </xf>
    <xf numFmtId="7" fontId="2" fillId="4" borderId="45" xfId="0" applyNumberFormat="1" applyFont="1" applyFill="1" applyBorder="1" applyAlignment="1" applyProtection="1">
      <alignment horizontal="right" vertical="center"/>
      <protection locked="0"/>
    </xf>
    <xf numFmtId="2" fontId="2" fillId="4" borderId="44" xfId="0" applyNumberFormat="1" applyFont="1" applyFill="1" applyBorder="1" applyAlignment="1" applyProtection="1">
      <alignment horizontal="center" vertical="center"/>
      <protection locked="0"/>
    </xf>
    <xf numFmtId="43" fontId="2" fillId="0" borderId="25" xfId="0" applyNumberFormat="1" applyFont="1" applyBorder="1"/>
    <xf numFmtId="0" fontId="2" fillId="5" borderId="35" xfId="0" applyFont="1" applyFill="1" applyBorder="1" applyAlignment="1" applyProtection="1">
      <alignment vertical="center"/>
      <protection locked="0"/>
    </xf>
    <xf numFmtId="7" fontId="2" fillId="5" borderId="48" xfId="0" applyNumberFormat="1" applyFont="1" applyFill="1" applyBorder="1" applyAlignment="1" applyProtection="1">
      <alignment vertical="center"/>
      <protection locked="0"/>
    </xf>
    <xf numFmtId="1" fontId="2" fillId="5" borderId="44" xfId="0" applyNumberFormat="1" applyFont="1" applyFill="1" applyBorder="1" applyAlignment="1" applyProtection="1">
      <alignment horizontal="center" vertical="center"/>
      <protection locked="0"/>
    </xf>
    <xf numFmtId="7" fontId="2" fillId="5" borderId="45" xfId="0" applyNumberFormat="1" applyFont="1" applyFill="1" applyBorder="1" applyAlignment="1" applyProtection="1">
      <alignment horizontal="right" vertical="center"/>
      <protection locked="0"/>
    </xf>
    <xf numFmtId="2" fontId="2" fillId="5" borderId="44" xfId="0" applyNumberFormat="1" applyFont="1" applyFill="1" applyBorder="1" applyAlignment="1" applyProtection="1">
      <alignment horizontal="center" vertical="center"/>
      <protection locked="0"/>
    </xf>
    <xf numFmtId="0" fontId="2" fillId="0" borderId="14" xfId="0" applyFont="1" applyFill="1" applyBorder="1" applyAlignment="1" applyProtection="1">
      <alignment vertical="center" wrapText="1"/>
      <protection locked="0"/>
    </xf>
    <xf numFmtId="7" fontId="2" fillId="0" borderId="50" xfId="0" applyNumberFormat="1" applyFont="1" applyFill="1" applyBorder="1" applyAlignment="1" applyProtection="1">
      <alignment vertical="center"/>
      <protection locked="0"/>
    </xf>
    <xf numFmtId="0" fontId="2" fillId="0" borderId="4" xfId="0" applyFont="1" applyFill="1" applyBorder="1" applyAlignment="1" applyProtection="1">
      <alignment vertical="center" wrapText="1"/>
      <protection locked="0"/>
    </xf>
    <xf numFmtId="7" fontId="2" fillId="0" borderId="5" xfId="0" applyNumberFormat="1" applyFont="1" applyFill="1" applyBorder="1" applyAlignment="1" applyProtection="1">
      <alignment vertical="center"/>
      <protection locked="0"/>
    </xf>
    <xf numFmtId="0" fontId="2" fillId="0" borderId="46" xfId="0" applyFont="1" applyFill="1" applyBorder="1" applyAlignment="1" applyProtection="1">
      <alignment horizontal="left" vertical="center" wrapText="1" indent="1"/>
      <protection locked="0"/>
    </xf>
    <xf numFmtId="7" fontId="2" fillId="0" borderId="40" xfId="0" applyNumberFormat="1" applyFont="1" applyFill="1" applyBorder="1" applyAlignment="1" applyProtection="1">
      <alignment vertical="center"/>
      <protection locked="0"/>
    </xf>
    <xf numFmtId="7" fontId="2" fillId="0" borderId="42" xfId="0" applyNumberFormat="1" applyFont="1" applyFill="1" applyBorder="1" applyAlignment="1" applyProtection="1">
      <alignment horizontal="right" vertical="center"/>
      <protection locked="0"/>
    </xf>
    <xf numFmtId="2" fontId="2" fillId="0" borderId="10" xfId="0" applyNumberFormat="1" applyFont="1" applyFill="1" applyBorder="1" applyAlignment="1" applyProtection="1">
      <alignment horizontal="center" vertical="center"/>
      <protection locked="0"/>
    </xf>
    <xf numFmtId="7" fontId="2" fillId="0" borderId="16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Protection="1">
      <protection locked="0"/>
    </xf>
    <xf numFmtId="164" fontId="0" fillId="0" borderId="0" xfId="0" applyNumberFormat="1"/>
    <xf numFmtId="9" fontId="2" fillId="0" borderId="0" xfId="0" applyNumberFormat="1" applyFont="1" applyFill="1" applyProtection="1">
      <protection locked="0"/>
    </xf>
    <xf numFmtId="43" fontId="2" fillId="0" borderId="25" xfId="0" applyNumberFormat="1" applyFont="1" applyBorder="1" applyAlignment="1">
      <alignment vertical="center"/>
    </xf>
    <xf numFmtId="7" fontId="0" fillId="0" borderId="0" xfId="0" applyNumberFormat="1"/>
    <xf numFmtId="0" fontId="2" fillId="0" borderId="51" xfId="0" applyFont="1" applyBorder="1" applyAlignment="1">
      <alignment horizontal="left" wrapText="1"/>
    </xf>
    <xf numFmtId="0" fontId="2" fillId="0" borderId="38" xfId="0" applyFont="1" applyBorder="1" applyAlignment="1">
      <alignment horizontal="left"/>
    </xf>
    <xf numFmtId="0" fontId="2" fillId="7" borderId="38" xfId="0" applyFont="1" applyFill="1" applyBorder="1" applyAlignment="1">
      <alignment horizontal="left"/>
    </xf>
    <xf numFmtId="0" fontId="2" fillId="0" borderId="38" xfId="0" applyFont="1" applyBorder="1" applyAlignment="1">
      <alignment horizontal="left" vertical="center" wrapText="1"/>
    </xf>
    <xf numFmtId="0" fontId="2" fillId="6" borderId="1" xfId="0" applyFont="1" applyFill="1" applyBorder="1" applyAlignment="1" applyProtection="1">
      <alignment horizontal="left" vertical="center"/>
      <protection locked="0"/>
    </xf>
    <xf numFmtId="7" fontId="2" fillId="6" borderId="3" xfId="0" applyNumberFormat="1" applyFont="1" applyFill="1" applyBorder="1" applyAlignment="1" applyProtection="1">
      <alignment vertical="center"/>
      <protection locked="0"/>
    </xf>
    <xf numFmtId="0" fontId="2" fillId="6" borderId="11" xfId="0" applyFont="1" applyFill="1" applyBorder="1" applyAlignment="1" applyProtection="1">
      <alignment horizontal="center" vertical="center"/>
      <protection locked="0"/>
    </xf>
    <xf numFmtId="7" fontId="2" fillId="6" borderId="53" xfId="0" applyNumberFormat="1" applyFont="1" applyFill="1" applyBorder="1" applyAlignment="1" applyProtection="1">
      <alignment horizontal="right" vertical="center"/>
      <protection locked="0"/>
    </xf>
    <xf numFmtId="2" fontId="2" fillId="6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54" xfId="0" applyNumberFormat="1" applyFont="1" applyFill="1" applyBorder="1" applyAlignment="1" applyProtection="1">
      <alignment vertical="center" wrapText="1"/>
      <protection locked="0"/>
    </xf>
    <xf numFmtId="0" fontId="2" fillId="0" borderId="54" xfId="0" applyFont="1" applyFill="1" applyBorder="1" applyAlignment="1" applyProtection="1">
      <alignment horizontal="center" vertical="center"/>
      <protection locked="0"/>
    </xf>
    <xf numFmtId="7" fontId="2" fillId="0" borderId="54" xfId="0" applyNumberFormat="1" applyFont="1" applyFill="1" applyBorder="1" applyAlignment="1" applyProtection="1">
      <alignment horizontal="right" vertical="center"/>
      <protection locked="0"/>
    </xf>
    <xf numFmtId="1" fontId="2" fillId="0" borderId="54" xfId="0" applyNumberFormat="1" applyFont="1" applyFill="1" applyBorder="1" applyAlignment="1" applyProtection="1">
      <alignment horizontal="center" vertical="center"/>
      <protection locked="0"/>
    </xf>
    <xf numFmtId="49" fontId="2" fillId="0" borderId="54" xfId="0" applyNumberFormat="1" applyFont="1" applyFill="1" applyBorder="1" applyAlignment="1" applyProtection="1">
      <alignment vertical="center"/>
      <protection locked="0"/>
    </xf>
    <xf numFmtId="7" fontId="2" fillId="0" borderId="54" xfId="0" applyNumberFormat="1" applyFont="1" applyFill="1" applyBorder="1" applyAlignment="1" applyProtection="1">
      <alignment vertical="center"/>
      <protection locked="0"/>
    </xf>
    <xf numFmtId="49" fontId="2" fillId="0" borderId="54" xfId="0" applyNumberFormat="1" applyFont="1" applyBorder="1"/>
    <xf numFmtId="49" fontId="2" fillId="0" borderId="54" xfId="0" applyNumberFormat="1" applyFont="1" applyBorder="1" applyAlignment="1"/>
    <xf numFmtId="0" fontId="2" fillId="0" borderId="55" xfId="0" applyFont="1" applyFill="1" applyBorder="1" applyAlignment="1" applyProtection="1">
      <alignment horizontal="center" vertical="center"/>
      <protection locked="0"/>
    </xf>
    <xf numFmtId="7" fontId="2" fillId="0" borderId="55" xfId="0" applyNumberFormat="1" applyFont="1" applyFill="1" applyBorder="1" applyAlignment="1" applyProtection="1">
      <alignment horizontal="right" vertical="center"/>
      <protection locked="0"/>
    </xf>
    <xf numFmtId="44" fontId="0" fillId="0" borderId="0" xfId="2" applyFont="1"/>
    <xf numFmtId="44" fontId="0" fillId="0" borderId="0" xfId="2" applyFont="1" applyAlignment="1"/>
    <xf numFmtId="7" fontId="0" fillId="0" borderId="0" xfId="2" applyNumberFormat="1" applyFont="1"/>
    <xf numFmtId="164" fontId="0" fillId="0" borderId="0" xfId="2" applyNumberFormat="1" applyFont="1"/>
    <xf numFmtId="0" fontId="2" fillId="0" borderId="58" xfId="0" applyFont="1" applyFill="1" applyBorder="1" applyAlignment="1" applyProtection="1">
      <alignment horizontal="center" vertical="center"/>
      <protection locked="0"/>
    </xf>
    <xf numFmtId="7" fontId="2" fillId="0" borderId="58" xfId="0" applyNumberFormat="1" applyFont="1" applyFill="1" applyBorder="1" applyAlignment="1" applyProtection="1">
      <alignment horizontal="right" vertical="center"/>
      <protection locked="0"/>
    </xf>
    <xf numFmtId="49" fontId="2" fillId="0" borderId="46" xfId="0" applyNumberFormat="1" applyFont="1" applyBorder="1" applyAlignment="1"/>
    <xf numFmtId="164" fontId="2" fillId="0" borderId="46" xfId="0" applyNumberFormat="1" applyFont="1" applyFill="1" applyBorder="1" applyAlignment="1" applyProtection="1">
      <alignment vertical="center"/>
      <protection locked="0"/>
    </xf>
    <xf numFmtId="7" fontId="2" fillId="0" borderId="42" xfId="0" applyNumberFormat="1" applyFont="1" applyFill="1" applyBorder="1" applyAlignment="1" applyProtection="1">
      <alignment vertical="center"/>
      <protection locked="0"/>
    </xf>
    <xf numFmtId="1" fontId="2" fillId="0" borderId="59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Fill="1" applyBorder="1" applyAlignment="1" applyProtection="1">
      <alignment vertical="center"/>
      <protection locked="0"/>
    </xf>
    <xf numFmtId="10" fontId="2" fillId="0" borderId="54" xfId="0" applyNumberFormat="1" applyFont="1" applyFill="1" applyBorder="1" applyAlignment="1" applyProtection="1">
      <alignment vertical="center"/>
      <protection locked="0"/>
    </xf>
    <xf numFmtId="0" fontId="2" fillId="0" borderId="41" xfId="0" applyFont="1" applyFill="1" applyBorder="1" applyAlignment="1" applyProtection="1">
      <alignment vertical="center"/>
      <protection locked="0"/>
    </xf>
    <xf numFmtId="0" fontId="2" fillId="0" borderId="55" xfId="0" applyFont="1" applyFill="1" applyBorder="1" applyAlignment="1" applyProtection="1">
      <alignment vertical="center"/>
      <protection locked="0"/>
    </xf>
    <xf numFmtId="0" fontId="2" fillId="0" borderId="26" xfId="0" applyFont="1" applyFill="1" applyBorder="1" applyAlignment="1" applyProtection="1">
      <alignment vertical="center"/>
      <protection locked="0"/>
    </xf>
    <xf numFmtId="0" fontId="2" fillId="0" borderId="57" xfId="0" applyFont="1" applyFill="1" applyBorder="1" applyAlignment="1" applyProtection="1">
      <alignment vertical="center"/>
      <protection locked="0"/>
    </xf>
    <xf numFmtId="10" fontId="2" fillId="0" borderId="58" xfId="0" applyNumberFormat="1" applyFont="1" applyFill="1" applyBorder="1" applyAlignment="1" applyProtection="1">
      <alignment vertical="center"/>
      <protection locked="0"/>
    </xf>
    <xf numFmtId="10" fontId="2" fillId="3" borderId="54" xfId="0" applyNumberFormat="1" applyFont="1" applyFill="1" applyBorder="1" applyAlignment="1" applyProtection="1">
      <alignment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7" fontId="2" fillId="3" borderId="54" xfId="0" applyNumberFormat="1" applyFont="1" applyFill="1" applyBorder="1" applyAlignment="1" applyProtection="1">
      <alignment horizontal="right" vertical="center"/>
      <protection locked="0"/>
    </xf>
    <xf numFmtId="5" fontId="2" fillId="0" borderId="54" xfId="0" applyNumberFormat="1" applyFont="1" applyFill="1" applyBorder="1" applyAlignment="1" applyProtection="1">
      <alignment horizontal="right" vertical="center"/>
      <protection locked="0"/>
    </xf>
    <xf numFmtId="5" fontId="2" fillId="0" borderId="54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Fill="1" applyBorder="1" applyAlignment="1" applyProtection="1">
      <alignment horizontal="center"/>
      <protection locked="0"/>
    </xf>
    <xf numFmtId="164" fontId="2" fillId="0" borderId="54" xfId="0" applyNumberFormat="1" applyFont="1" applyFill="1" applyBorder="1" applyAlignment="1" applyProtection="1">
      <alignment horizontal="right"/>
      <protection locked="0"/>
    </xf>
    <xf numFmtId="164" fontId="2" fillId="0" borderId="54" xfId="0" applyNumberFormat="1" applyFont="1" applyFill="1" applyBorder="1" applyProtection="1">
      <protection locked="0"/>
    </xf>
    <xf numFmtId="10" fontId="2" fillId="0" borderId="54" xfId="0" applyNumberFormat="1" applyFont="1" applyFill="1" applyBorder="1" applyAlignment="1" applyProtection="1">
      <alignment horizontal="right"/>
      <protection locked="0"/>
    </xf>
    <xf numFmtId="0" fontId="2" fillId="0" borderId="54" xfId="0" applyFont="1" applyFill="1" applyBorder="1" applyProtection="1">
      <protection locked="0"/>
    </xf>
    <xf numFmtId="164" fontId="2" fillId="0" borderId="54" xfId="0" applyNumberFormat="1" applyFont="1" applyFill="1" applyBorder="1" applyAlignment="1" applyProtection="1">
      <alignment horizontal="center"/>
      <protection locked="0"/>
    </xf>
    <xf numFmtId="10" fontId="2" fillId="0" borderId="54" xfId="0" applyNumberFormat="1" applyFont="1" applyFill="1" applyBorder="1" applyProtection="1">
      <protection locked="0"/>
    </xf>
    <xf numFmtId="0" fontId="3" fillId="0" borderId="55" xfId="0" applyFont="1" applyFill="1" applyBorder="1" applyAlignment="1" applyProtection="1">
      <alignment vertical="center"/>
      <protection locked="0"/>
    </xf>
    <xf numFmtId="0" fontId="2" fillId="3" borderId="26" xfId="0" applyFont="1" applyFill="1" applyBorder="1" applyAlignment="1" applyProtection="1">
      <alignment vertical="center"/>
      <protection locked="0"/>
    </xf>
    <xf numFmtId="0" fontId="2" fillId="0" borderId="26" xfId="0" applyFont="1" applyFill="1" applyBorder="1" applyAlignment="1" applyProtection="1">
      <protection locked="0"/>
    </xf>
    <xf numFmtId="0" fontId="2" fillId="0" borderId="26" xfId="0" applyFont="1" applyFill="1" applyBorder="1" applyProtection="1">
      <protection locked="0"/>
    </xf>
    <xf numFmtId="0" fontId="3" fillId="0" borderId="26" xfId="0" applyFont="1" applyFill="1" applyBorder="1" applyProtection="1">
      <protection locked="0"/>
    </xf>
    <xf numFmtId="0" fontId="2" fillId="0" borderId="57" xfId="0" applyFont="1" applyFill="1" applyBorder="1" applyProtection="1">
      <protection locked="0"/>
    </xf>
    <xf numFmtId="0" fontId="2" fillId="0" borderId="58" xfId="0" applyFont="1" applyFill="1" applyBorder="1" applyProtection="1">
      <protection locked="0"/>
    </xf>
    <xf numFmtId="164" fontId="2" fillId="0" borderId="58" xfId="0" applyNumberFormat="1" applyFont="1" applyFill="1" applyBorder="1" applyProtection="1">
      <protection locked="0"/>
    </xf>
    <xf numFmtId="2" fontId="2" fillId="0" borderId="58" xfId="0" applyNumberFormat="1" applyFont="1" applyFill="1" applyBorder="1" applyProtection="1">
      <protection locked="0"/>
    </xf>
    <xf numFmtId="0" fontId="2" fillId="0" borderId="41" xfId="0" applyFont="1" applyFill="1" applyBorder="1" applyProtection="1">
      <protection locked="0"/>
    </xf>
    <xf numFmtId="166" fontId="2" fillId="0" borderId="55" xfId="0" applyNumberFormat="1" applyFont="1" applyBorder="1"/>
    <xf numFmtId="0" fontId="2" fillId="0" borderId="55" xfId="0" applyFont="1" applyBorder="1"/>
    <xf numFmtId="164" fontId="2" fillId="0" borderId="55" xfId="0" applyNumberFormat="1" applyFont="1" applyBorder="1"/>
    <xf numFmtId="0" fontId="3" fillId="0" borderId="33" xfId="0" applyFont="1" applyBorder="1"/>
    <xf numFmtId="9" fontId="2" fillId="0" borderId="56" xfId="0" applyNumberFormat="1" applyFont="1" applyBorder="1"/>
    <xf numFmtId="0" fontId="2" fillId="0" borderId="56" xfId="0" applyFont="1" applyBorder="1"/>
    <xf numFmtId="164" fontId="2" fillId="0" borderId="56" xfId="0" applyNumberFormat="1" applyFont="1" applyBorder="1"/>
    <xf numFmtId="164" fontId="1" fillId="0" borderId="0" xfId="0" applyNumberFormat="1" applyFont="1"/>
    <xf numFmtId="0" fontId="2" fillId="0" borderId="0" xfId="0" applyFont="1" applyFill="1" applyBorder="1" applyAlignment="1" applyProtection="1">
      <alignment vertical="center" wrapText="1"/>
      <protection locked="0"/>
    </xf>
    <xf numFmtId="164" fontId="2" fillId="0" borderId="54" xfId="2" applyNumberFormat="1" applyFont="1" applyFill="1" applyBorder="1" applyAlignment="1" applyProtection="1">
      <alignment horizontal="right"/>
      <protection locked="0"/>
    </xf>
    <xf numFmtId="164" fontId="2" fillId="0" borderId="54" xfId="2" applyNumberFormat="1" applyFont="1" applyFill="1" applyBorder="1" applyAlignment="1" applyProtection="1">
      <alignment horizontal="center"/>
      <protection locked="0"/>
    </xf>
    <xf numFmtId="0" fontId="2" fillId="7" borderId="14" xfId="0" applyFont="1" applyFill="1" applyBorder="1" applyAlignment="1" applyProtection="1">
      <alignment vertical="center" wrapText="1"/>
      <protection locked="0"/>
    </xf>
    <xf numFmtId="7" fontId="2" fillId="7" borderId="50" xfId="0" applyNumberFormat="1" applyFont="1" applyFill="1" applyBorder="1" applyAlignment="1" applyProtection="1">
      <alignment vertical="center"/>
      <protection locked="0"/>
    </xf>
    <xf numFmtId="1" fontId="2" fillId="7" borderId="39" xfId="0" applyNumberFormat="1" applyFont="1" applyFill="1" applyBorder="1" applyAlignment="1" applyProtection="1">
      <alignment horizontal="center" vertical="center"/>
      <protection locked="0"/>
    </xf>
    <xf numFmtId="7" fontId="2" fillId="7" borderId="16" xfId="0" applyNumberFormat="1" applyFont="1" applyFill="1" applyBorder="1" applyAlignment="1" applyProtection="1">
      <alignment horizontal="right" vertical="center"/>
      <protection locked="0"/>
    </xf>
    <xf numFmtId="0" fontId="2" fillId="7" borderId="39" xfId="0" applyFont="1" applyFill="1" applyBorder="1" applyAlignment="1" applyProtection="1">
      <alignment horizontal="center" vertical="center"/>
      <protection locked="0"/>
    </xf>
    <xf numFmtId="164" fontId="1" fillId="7" borderId="0" xfId="0" applyNumberFormat="1" applyFont="1" applyFill="1"/>
    <xf numFmtId="49" fontId="2" fillId="0" borderId="7" xfId="0" applyNumberFormat="1" applyFont="1" applyFill="1" applyBorder="1" applyAlignment="1" applyProtection="1">
      <alignment vertical="center" wrapText="1"/>
      <protection locked="0"/>
    </xf>
    <xf numFmtId="49" fontId="2" fillId="0" borderId="5" xfId="0" applyNumberFormat="1" applyFont="1" applyFill="1" applyBorder="1" applyAlignment="1" applyProtection="1">
      <alignment vertical="center" wrapText="1"/>
      <protection locked="0"/>
    </xf>
    <xf numFmtId="49" fontId="2" fillId="0" borderId="15" xfId="0" applyNumberFormat="1" applyFont="1" applyFill="1" applyBorder="1" applyAlignment="1" applyProtection="1">
      <alignment vertical="center" wrapText="1"/>
      <protection locked="0"/>
    </xf>
    <xf numFmtId="49" fontId="2" fillId="0" borderId="50" xfId="0" applyNumberFormat="1" applyFont="1" applyFill="1" applyBorder="1" applyAlignment="1" applyProtection="1">
      <alignment vertical="center" wrapText="1"/>
      <protection locked="0"/>
    </xf>
    <xf numFmtId="44" fontId="2" fillId="0" borderId="54" xfId="2" applyNumberFormat="1" applyFont="1" applyFill="1" applyBorder="1" applyAlignment="1" applyProtection="1">
      <alignment vertical="center" wrapText="1"/>
      <protection locked="0"/>
    </xf>
    <xf numFmtId="164" fontId="0" fillId="0" borderId="0" xfId="0" applyNumberFormat="1" applyAlignment="1">
      <alignment horizontal="left"/>
    </xf>
    <xf numFmtId="44" fontId="2" fillId="0" borderId="0" xfId="2" applyFont="1"/>
    <xf numFmtId="164" fontId="0" fillId="0" borderId="0" xfId="0" applyNumberFormat="1" applyAlignment="1">
      <alignment wrapText="1"/>
    </xf>
    <xf numFmtId="7" fontId="0" fillId="0" borderId="0" xfId="0" applyNumberFormat="1" applyAlignment="1">
      <alignment wrapText="1"/>
    </xf>
    <xf numFmtId="7" fontId="0" fillId="7" borderId="0" xfId="0" applyNumberFormat="1" applyFill="1" applyAlignment="1">
      <alignment wrapText="1"/>
    </xf>
    <xf numFmtId="43" fontId="2" fillId="0" borderId="52" xfId="0" applyNumberFormat="1" applyFont="1" applyBorder="1" applyAlignment="1">
      <alignment vertical="center"/>
    </xf>
    <xf numFmtId="7" fontId="2" fillId="0" borderId="18" xfId="0" applyNumberFormat="1" applyFont="1" applyFill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/>
    </xf>
    <xf numFmtId="0" fontId="2" fillId="0" borderId="21" xfId="0" applyFont="1" applyFill="1" applyBorder="1" applyAlignment="1" applyProtection="1">
      <alignment vertical="center" wrapText="1"/>
      <protection locked="0"/>
    </xf>
    <xf numFmtId="164" fontId="6" fillId="8" borderId="35" xfId="0" applyNumberFormat="1" applyFont="1" applyFill="1" applyBorder="1" applyAlignment="1" applyProtection="1">
      <alignment horizontal="center" vertical="center"/>
      <protection locked="0"/>
    </xf>
    <xf numFmtId="3" fontId="2" fillId="0" borderId="54" xfId="0" applyNumberFormat="1" applyFont="1" applyFill="1" applyBorder="1" applyAlignment="1" applyProtection="1">
      <alignment horizontal="center" vertical="center"/>
      <protection locked="0"/>
    </xf>
    <xf numFmtId="49" fontId="2" fillId="0" borderId="54" xfId="0" applyNumberFormat="1" applyFont="1" applyBorder="1" applyAlignment="1" applyProtection="1">
      <alignment vertical="center" wrapText="1"/>
      <protection locked="0"/>
    </xf>
    <xf numFmtId="14" fontId="2" fillId="0" borderId="43" xfId="0" applyNumberFormat="1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3" xfId="0" applyFont="1" applyFill="1" applyBorder="1" applyAlignment="1" applyProtection="1">
      <alignment horizontal="center" vertical="center"/>
      <protection locked="0"/>
    </xf>
    <xf numFmtId="7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7" fontId="3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4">
    <cellStyle name="Comma" xfId="1" builtinId="3"/>
    <cellStyle name="Currency" xfId="2" builtinId="4"/>
    <cellStyle name="Normal" xfId="0" builtinId="0"/>
    <cellStyle name="Normal 2" xfId="3" xr:uid="{12E61823-054E-2143-A594-1D0B8FAB85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254000</xdr:colOff>
      <xdr:row>12</xdr:row>
      <xdr:rowOff>0</xdr:rowOff>
    </xdr:from>
    <xdr:to>
      <xdr:col>37</xdr:col>
      <xdr:colOff>38100</xdr:colOff>
      <xdr:row>98</xdr:row>
      <xdr:rowOff>128850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4EBB71-62DC-C044-84E2-2CEFCA6F1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2870200"/>
          <a:ext cx="7772400" cy="603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215A-73A8-5B49-8CEB-F094C8AFB008}">
  <sheetPr>
    <pageSetUpPr fitToPage="1"/>
  </sheetPr>
  <dimension ref="A1:AC149"/>
  <sheetViews>
    <sheetView topLeftCell="A15" workbookViewId="0">
      <selection activeCell="C45" sqref="C45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12.664062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16.5" style="122" customWidth="1"/>
  </cols>
  <sheetData>
    <row r="1" spans="1:26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6" ht="13.5" customHeight="1" x14ac:dyDescent="0.15">
      <c r="A2" s="202" t="s">
        <v>95</v>
      </c>
      <c r="B2" s="7"/>
      <c r="C2" s="197" t="s">
        <v>96</v>
      </c>
      <c r="D2" s="198"/>
      <c r="E2" s="197" t="s">
        <v>22</v>
      </c>
      <c r="F2" s="198"/>
      <c r="G2" s="197" t="s">
        <v>23</v>
      </c>
      <c r="H2" s="198"/>
      <c r="I2" s="197" t="s">
        <v>24</v>
      </c>
      <c r="J2" s="198"/>
      <c r="K2" s="197" t="s">
        <v>25</v>
      </c>
      <c r="L2" s="198"/>
      <c r="M2" s="197" t="s">
        <v>26</v>
      </c>
      <c r="N2" s="198"/>
      <c r="O2" s="197" t="s">
        <v>27</v>
      </c>
      <c r="P2" s="198"/>
      <c r="Q2" s="197" t="s">
        <v>28</v>
      </c>
      <c r="R2" s="198"/>
      <c r="S2" s="197" t="s">
        <v>29</v>
      </c>
      <c r="T2" s="198"/>
      <c r="U2" s="197" t="s">
        <v>21</v>
      </c>
      <c r="V2" s="198"/>
      <c r="W2" s="197" t="s">
        <v>40</v>
      </c>
      <c r="X2" s="198"/>
      <c r="Y2" s="197" t="s">
        <v>41</v>
      </c>
      <c r="Z2" s="198"/>
    </row>
    <row r="3" spans="1:26" ht="45.75" customHeight="1" thickBot="1" x14ac:dyDescent="0.2">
      <c r="A3" s="203"/>
      <c r="B3" s="8" t="s">
        <v>0</v>
      </c>
      <c r="C3" s="199"/>
      <c r="D3" s="200"/>
      <c r="E3" s="199"/>
      <c r="F3" s="200"/>
      <c r="G3" s="199"/>
      <c r="H3" s="200"/>
      <c r="I3" s="199"/>
      <c r="J3" s="200"/>
      <c r="K3" s="199"/>
      <c r="L3" s="200"/>
      <c r="M3" s="199"/>
      <c r="N3" s="200"/>
      <c r="O3" s="199"/>
      <c r="P3" s="200"/>
      <c r="Q3" s="199"/>
      <c r="R3" s="200"/>
      <c r="S3" s="199"/>
      <c r="T3" s="200"/>
      <c r="U3" s="199"/>
      <c r="V3" s="200"/>
      <c r="W3" s="199"/>
      <c r="X3" s="200"/>
      <c r="Y3" s="199"/>
      <c r="Z3" s="200"/>
    </row>
    <row r="4" spans="1:26" ht="19" thickBot="1" x14ac:dyDescent="0.2">
      <c r="A4" s="192">
        <f>D113</f>
        <v>12734.231684372</v>
      </c>
      <c r="B4" s="8" t="s">
        <v>0</v>
      </c>
      <c r="C4" s="199"/>
      <c r="D4" s="200"/>
      <c r="E4" s="199"/>
      <c r="F4" s="200"/>
      <c r="G4" s="199"/>
      <c r="H4" s="200"/>
      <c r="I4" s="199"/>
      <c r="J4" s="200"/>
      <c r="K4" s="199"/>
      <c r="L4" s="200"/>
      <c r="M4" s="199"/>
      <c r="N4" s="200"/>
      <c r="O4" s="199"/>
      <c r="P4" s="200"/>
      <c r="Q4" s="199"/>
      <c r="R4" s="200"/>
      <c r="S4" s="199"/>
      <c r="T4" s="200"/>
      <c r="U4" s="199"/>
      <c r="V4" s="200"/>
      <c r="W4" s="199"/>
      <c r="X4" s="200"/>
      <c r="Y4" s="199"/>
      <c r="Z4" s="200"/>
    </row>
    <row r="5" spans="1:26" ht="21.75" customHeight="1" thickBot="1" x14ac:dyDescent="0.2">
      <c r="A5" s="9"/>
      <c r="B5" s="8" t="s">
        <v>0</v>
      </c>
      <c r="C5" s="199"/>
      <c r="D5" s="200"/>
      <c r="E5" s="199"/>
      <c r="F5" s="200"/>
      <c r="G5" s="199"/>
      <c r="H5" s="200"/>
      <c r="I5" s="199"/>
      <c r="J5" s="200"/>
      <c r="K5" s="199"/>
      <c r="L5" s="200"/>
      <c r="M5" s="199"/>
      <c r="N5" s="200"/>
      <c r="O5" s="199"/>
      <c r="P5" s="200"/>
      <c r="Q5" s="199"/>
      <c r="R5" s="200"/>
      <c r="S5" s="199"/>
      <c r="T5" s="200"/>
      <c r="U5" s="199"/>
      <c r="V5" s="200"/>
      <c r="W5" s="199"/>
      <c r="X5" s="200"/>
      <c r="Y5" s="199"/>
      <c r="Z5" s="200"/>
    </row>
    <row r="6" spans="1:26" ht="15" thickBot="1" x14ac:dyDescent="0.2">
      <c r="A6" s="10" t="s">
        <v>99</v>
      </c>
      <c r="B6" s="11" t="s">
        <v>0</v>
      </c>
      <c r="C6" s="195" t="s">
        <v>18</v>
      </c>
      <c r="D6" s="196"/>
      <c r="E6" s="195" t="s">
        <v>18</v>
      </c>
      <c r="F6" s="196"/>
      <c r="G6" s="195" t="s">
        <v>18</v>
      </c>
      <c r="H6" s="196"/>
      <c r="I6" s="201" t="s">
        <v>18</v>
      </c>
      <c r="J6" s="196"/>
      <c r="K6" s="201" t="s">
        <v>18</v>
      </c>
      <c r="L6" s="196"/>
      <c r="M6" s="195" t="s">
        <v>18</v>
      </c>
      <c r="N6" s="196"/>
      <c r="O6" s="195" t="s">
        <v>18</v>
      </c>
      <c r="P6" s="196"/>
      <c r="Q6" s="195" t="s">
        <v>18</v>
      </c>
      <c r="R6" s="196"/>
      <c r="S6" s="195" t="s">
        <v>18</v>
      </c>
      <c r="T6" s="196"/>
      <c r="U6" s="195" t="s">
        <v>18</v>
      </c>
      <c r="V6" s="196"/>
      <c r="W6" s="195" t="s">
        <v>18</v>
      </c>
      <c r="X6" s="196"/>
      <c r="Y6" s="195" t="s">
        <v>18</v>
      </c>
      <c r="Z6" s="196"/>
    </row>
    <row r="7" spans="1:26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6" ht="15" thickBot="1" x14ac:dyDescent="0.2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</row>
    <row r="9" spans="1:26" ht="14" x14ac:dyDescent="0.15">
      <c r="A9" s="21" t="s">
        <v>47</v>
      </c>
      <c r="B9" s="22">
        <v>41</v>
      </c>
      <c r="C9" s="23">
        <v>24</v>
      </c>
      <c r="D9" s="24">
        <f>C9*$B$9</f>
        <v>984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</row>
    <row r="10" spans="1:26" ht="22.25" customHeight="1" x14ac:dyDescent="0.15">
      <c r="A10" s="25" t="s">
        <v>36</v>
      </c>
      <c r="B10" s="189">
        <v>28.85</v>
      </c>
      <c r="C10" s="23">
        <v>8</v>
      </c>
      <c r="D10" s="24">
        <f>C10*$B$10</f>
        <v>230.8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</row>
    <row r="11" spans="1:26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</row>
    <row r="12" spans="1:26" ht="14" x14ac:dyDescent="0.15">
      <c r="A12" s="27" t="s">
        <v>62</v>
      </c>
      <c r="B12" s="26">
        <v>16</v>
      </c>
      <c r="C12" s="28">
        <v>0</v>
      </c>
      <c r="D12" s="24">
        <f>C12*$B$12</f>
        <v>0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</row>
    <row r="13" spans="1:26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</row>
    <row r="14" spans="1:26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6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6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6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6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6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</row>
    <row r="20" spans="1:26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6" ht="14" x14ac:dyDescent="0.15">
      <c r="A21" s="45" t="s">
        <v>8</v>
      </c>
      <c r="B21" s="26"/>
      <c r="C21" s="46">
        <f t="shared" ref="C21:D21" si="1">SUM(C9:C20)</f>
        <v>32</v>
      </c>
      <c r="D21" s="48">
        <f t="shared" si="1"/>
        <v>1214.8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</row>
    <row r="22" spans="1:26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</row>
    <row r="23" spans="1:26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8.1391600000000004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</row>
    <row r="24" spans="1:26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</row>
    <row r="25" spans="1:26" ht="15" thickBot="1" x14ac:dyDescent="0.2">
      <c r="A25" s="61" t="s">
        <v>9</v>
      </c>
      <c r="B25" s="62"/>
      <c r="C25" s="63">
        <f>SUM(C21:C21)</f>
        <v>32</v>
      </c>
      <c r="D25" s="64">
        <f>SUM(D21:D21, D23)</f>
        <v>1222.9391599999999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</row>
    <row r="26" spans="1:26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</row>
    <row r="27" spans="1:26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</row>
    <row r="28" spans="1:26" ht="14" x14ac:dyDescent="0.15">
      <c r="A28" s="72" t="s">
        <v>88</v>
      </c>
      <c r="B28" s="73">
        <v>200</v>
      </c>
      <c r="C28" s="71">
        <v>1</v>
      </c>
      <c r="D28" s="38">
        <f>C28*$B$28</f>
        <v>200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</row>
    <row r="29" spans="1:26" ht="14" x14ac:dyDescent="0.15">
      <c r="A29" s="72"/>
      <c r="B29" s="73"/>
      <c r="C29" s="71"/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</row>
    <row r="30" spans="1:26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</row>
    <row r="31" spans="1:26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</row>
    <row r="32" spans="1:26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</row>
    <row r="33" spans="1:26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</row>
    <row r="34" spans="1:26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</row>
    <row r="35" spans="1:26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</row>
    <row r="36" spans="1:26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</row>
    <row r="37" spans="1:26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</row>
    <row r="38" spans="1:26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</row>
    <row r="39" spans="1:26" ht="15" x14ac:dyDescent="0.15">
      <c r="A39" s="172" t="s">
        <v>82</v>
      </c>
      <c r="B39" s="173">
        <v>150</v>
      </c>
      <c r="C39" s="174">
        <v>1</v>
      </c>
      <c r="D39" s="175">
        <f>B39*C39</f>
        <v>150</v>
      </c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</row>
    <row r="40" spans="1:26" ht="15" x14ac:dyDescent="0.15">
      <c r="A40" s="89" t="s">
        <v>89</v>
      </c>
      <c r="B40" s="90">
        <v>550</v>
      </c>
      <c r="C40" s="71">
        <v>1</v>
      </c>
      <c r="D40" s="38">
        <f>C40*$B$40</f>
        <v>550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</row>
    <row r="41" spans="1:26" ht="14" x14ac:dyDescent="0.15">
      <c r="A41" s="191"/>
      <c r="B41" s="90"/>
      <c r="C41" s="71"/>
      <c r="D41" s="38">
        <f>C41*B41</f>
        <v>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</row>
    <row r="42" spans="1:26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</row>
    <row r="43" spans="1:26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</row>
    <row r="44" spans="1:26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</row>
    <row r="45" spans="1:26" ht="18.75" customHeight="1" x14ac:dyDescent="0.15">
      <c r="A45" s="112" t="s">
        <v>100</v>
      </c>
      <c r="B45" s="182">
        <v>0.3</v>
      </c>
      <c r="C45" s="193">
        <v>13950</v>
      </c>
      <c r="D45" s="114">
        <f>C45*$B$45</f>
        <v>4185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</row>
    <row r="46" spans="1:26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</row>
    <row r="47" spans="1:26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</row>
    <row r="48" spans="1:26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</row>
    <row r="49" spans="1:29" ht="15" x14ac:dyDescent="0.15">
      <c r="A49" s="112" t="s">
        <v>84</v>
      </c>
      <c r="B49" s="182">
        <v>1395</v>
      </c>
      <c r="C49" s="113">
        <v>1</v>
      </c>
      <c r="D49" s="114">
        <f>C49*$B$49</f>
        <v>1395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C49" s="99"/>
    </row>
    <row r="50" spans="1:29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</row>
    <row r="51" spans="1:29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</row>
    <row r="52" spans="1:29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</row>
    <row r="53" spans="1:29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</row>
    <row r="54" spans="1:29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</row>
    <row r="55" spans="1:29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</row>
    <row r="56" spans="1:29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</row>
    <row r="57" spans="1:29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</row>
    <row r="58" spans="1:29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</row>
    <row r="59" spans="1:29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</row>
    <row r="60" spans="1:29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A60" s="123"/>
    </row>
    <row r="61" spans="1:29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A61" s="123"/>
    </row>
    <row r="62" spans="1:29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A62" s="123"/>
    </row>
    <row r="63" spans="1:29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A63" s="123"/>
    </row>
    <row r="64" spans="1:29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A64" s="123"/>
    </row>
    <row r="65" spans="1:29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A65" s="123"/>
    </row>
    <row r="66" spans="1:29" s="1" customFormat="1" ht="18" customHeight="1" x14ac:dyDescent="0.15">
      <c r="A66" s="112" t="s">
        <v>85</v>
      </c>
      <c r="B66" s="182">
        <v>1100</v>
      </c>
      <c r="C66" s="113">
        <v>1</v>
      </c>
      <c r="D66" s="114">
        <f>B66*C66</f>
        <v>1100</v>
      </c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A66" s="123"/>
    </row>
    <row r="67" spans="1:29" s="1" customFormat="1" ht="17.25" customHeight="1" x14ac:dyDescent="0.15">
      <c r="A67" s="112" t="s">
        <v>87</v>
      </c>
      <c r="B67" s="182">
        <v>1750</v>
      </c>
      <c r="C67" s="113">
        <v>1</v>
      </c>
      <c r="D67" s="114">
        <f>B67*C67</f>
        <v>1750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A67" s="123"/>
    </row>
    <row r="68" spans="1:29" s="1" customFormat="1" ht="17.25" hidden="1" customHeight="1" x14ac:dyDescent="0.15">
      <c r="A68" s="112"/>
      <c r="B68" s="182"/>
      <c r="C68" s="113">
        <v>0</v>
      </c>
      <c r="D68" s="114">
        <f t="shared" ref="D68" si="15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A68" s="123"/>
    </row>
    <row r="69" spans="1:29" s="1" customFormat="1" ht="13.5" hidden="1" customHeight="1" thickBot="1" x14ac:dyDescent="0.2">
      <c r="A69" s="178"/>
      <c r="B69" s="179"/>
      <c r="C69" s="113">
        <v>0</v>
      </c>
      <c r="D69" s="114">
        <f t="shared" ref="D69" si="16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A69" s="123"/>
    </row>
    <row r="70" spans="1:29" s="1" customFormat="1" ht="13.5" hidden="1" customHeight="1" thickBot="1" x14ac:dyDescent="0.2">
      <c r="A70" s="178"/>
      <c r="B70" s="179"/>
      <c r="C70" s="113">
        <v>0</v>
      </c>
      <c r="D70" s="114">
        <f t="shared" ref="D70" si="17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A70" s="123"/>
    </row>
    <row r="71" spans="1:29" s="1" customFormat="1" ht="13.5" hidden="1" customHeight="1" thickBot="1" x14ac:dyDescent="0.2">
      <c r="A71" s="180"/>
      <c r="B71" s="181"/>
      <c r="C71" s="113">
        <v>0</v>
      </c>
      <c r="D71" s="114">
        <f t="shared" ref="D71" si="18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A71" s="123"/>
    </row>
    <row r="72" spans="1:29" s="1" customFormat="1" ht="13.5" hidden="1" customHeight="1" thickBot="1" x14ac:dyDescent="0.2">
      <c r="A72" s="128"/>
      <c r="B72" s="129"/>
      <c r="C72" s="113">
        <v>0</v>
      </c>
      <c r="D72" s="114">
        <f t="shared" ref="D72:D73" si="19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A72" s="123"/>
    </row>
    <row r="73" spans="1:29" ht="18.75" hidden="1" customHeight="1" x14ac:dyDescent="0.15">
      <c r="A73" s="112"/>
      <c r="B73" s="182"/>
      <c r="C73" s="113">
        <v>0</v>
      </c>
      <c r="D73" s="114">
        <f t="shared" si="19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</row>
    <row r="74" spans="1:29" ht="18.75" hidden="1" customHeight="1" x14ac:dyDescent="0.15">
      <c r="A74" s="112"/>
      <c r="B74" s="182"/>
      <c r="C74" s="113">
        <v>0</v>
      </c>
      <c r="D74" s="114">
        <f t="shared" ref="D74" si="20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</row>
    <row r="75" spans="1:29" ht="18.75" hidden="1" customHeight="1" x14ac:dyDescent="0.15">
      <c r="A75" s="112"/>
      <c r="B75" s="182"/>
      <c r="C75" s="113">
        <v>0</v>
      </c>
      <c r="D75" s="114">
        <f t="shared" ref="D75" si="21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</row>
    <row r="76" spans="1:29" ht="18.75" hidden="1" customHeight="1" x14ac:dyDescent="0.15">
      <c r="A76" s="112"/>
      <c r="B76" s="182"/>
      <c r="C76" s="113">
        <v>0</v>
      </c>
      <c r="D76" s="114">
        <f t="shared" ref="D76" si="22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</row>
    <row r="77" spans="1:29" ht="14" hidden="1" x14ac:dyDescent="0.15">
      <c r="A77" s="112"/>
      <c r="B77" s="182"/>
      <c r="C77" s="113">
        <v>0</v>
      </c>
      <c r="D77" s="114">
        <f t="shared" ref="D77" si="23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C77" s="99"/>
    </row>
    <row r="78" spans="1:29" ht="15" hidden="1" customHeight="1" x14ac:dyDescent="0.15">
      <c r="A78" s="112"/>
      <c r="B78" s="182"/>
      <c r="C78" s="113">
        <v>0</v>
      </c>
      <c r="D78" s="117">
        <f t="shared" ref="D78" si="24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</row>
    <row r="79" spans="1:29" ht="15" hidden="1" customHeight="1" x14ac:dyDescent="0.15">
      <c r="A79" s="112"/>
      <c r="B79" s="182"/>
      <c r="C79" s="113">
        <v>0</v>
      </c>
      <c r="D79" s="114">
        <f t="shared" ref="D79" si="25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</row>
    <row r="80" spans="1:29" ht="15" hidden="1" customHeight="1" x14ac:dyDescent="0.15">
      <c r="A80" s="112"/>
      <c r="B80" s="182"/>
      <c r="C80" s="113">
        <v>0</v>
      </c>
      <c r="D80" s="117">
        <f t="shared" ref="D80" si="26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</row>
    <row r="81" spans="1:27" ht="15" hidden="1" customHeight="1" x14ac:dyDescent="0.15">
      <c r="A81" s="116"/>
      <c r="B81" s="182"/>
      <c r="C81" s="113">
        <v>0</v>
      </c>
      <c r="D81" s="114">
        <f t="shared" ref="D81" si="27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</row>
    <row r="82" spans="1:27" ht="15" hidden="1" customHeight="1" x14ac:dyDescent="0.15">
      <c r="A82" s="116"/>
      <c r="B82" s="182"/>
      <c r="C82" s="113">
        <v>0</v>
      </c>
      <c r="D82" s="114">
        <f t="shared" ref="D82" si="28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</row>
    <row r="83" spans="1:27" ht="15" hidden="1" customHeight="1" x14ac:dyDescent="0.15">
      <c r="A83" s="116"/>
      <c r="B83" s="182"/>
      <c r="C83" s="113">
        <v>0</v>
      </c>
      <c r="D83" s="114">
        <f t="shared" ref="D83" si="29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</row>
    <row r="84" spans="1:27" ht="15" hidden="1" customHeight="1" x14ac:dyDescent="0.15">
      <c r="A84" s="116"/>
      <c r="B84" s="182"/>
      <c r="C84" s="113">
        <v>0</v>
      </c>
      <c r="D84" s="114">
        <f t="shared" ref="D84" si="30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</row>
    <row r="85" spans="1:27" ht="15" hidden="1" customHeight="1" x14ac:dyDescent="0.15">
      <c r="A85" s="116"/>
      <c r="B85" s="182"/>
      <c r="C85" s="113">
        <v>0</v>
      </c>
      <c r="D85" s="114">
        <f t="shared" ref="D85" si="31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</row>
    <row r="86" spans="1:27" ht="15" hidden="1" customHeight="1" x14ac:dyDescent="0.15">
      <c r="A86" s="116"/>
      <c r="B86" s="182"/>
      <c r="C86" s="113">
        <v>0</v>
      </c>
      <c r="D86" s="114">
        <f t="shared" ref="D86" si="32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</row>
    <row r="87" spans="1:27" ht="15" hidden="1" customHeight="1" x14ac:dyDescent="0.15">
      <c r="A87" s="116"/>
      <c r="B87" s="182"/>
      <c r="C87" s="113">
        <v>0</v>
      </c>
      <c r="D87" s="114">
        <f t="shared" ref="D87" si="33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</row>
    <row r="88" spans="1:27" s="1" customFormat="1" ht="15" hidden="1" customHeight="1" x14ac:dyDescent="0.15">
      <c r="A88" s="116"/>
      <c r="B88" s="182"/>
      <c r="C88" s="113">
        <v>0</v>
      </c>
      <c r="D88" s="114">
        <f t="shared" ref="D88" si="34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A88" s="123"/>
    </row>
    <row r="89" spans="1:27" s="1" customFormat="1" ht="15" hidden="1" customHeight="1" x14ac:dyDescent="0.15">
      <c r="A89" s="118"/>
      <c r="B89" s="182"/>
      <c r="C89" s="113">
        <v>0</v>
      </c>
      <c r="D89" s="114">
        <f t="shared" ref="D89" si="35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A89" s="123"/>
    </row>
    <row r="90" spans="1:27" s="1" customFormat="1" ht="15" hidden="1" customHeight="1" x14ac:dyDescent="0.15">
      <c r="A90" s="119"/>
      <c r="B90" s="182"/>
      <c r="C90" s="113">
        <v>0</v>
      </c>
      <c r="D90" s="114">
        <f t="shared" ref="D90:D91" si="36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A90" s="123"/>
    </row>
    <row r="91" spans="1:27" s="1" customFormat="1" ht="15" hidden="1" customHeight="1" x14ac:dyDescent="0.15">
      <c r="A91" s="119"/>
      <c r="B91" s="182"/>
      <c r="C91" s="113">
        <v>0</v>
      </c>
      <c r="D91" s="114">
        <f t="shared" si="36"/>
        <v>0</v>
      </c>
      <c r="E91" s="113">
        <v>0</v>
      </c>
      <c r="F91" s="114">
        <f t="shared" ref="F91:F94" si="37">E91*$B$63</f>
        <v>0</v>
      </c>
      <c r="G91" s="113">
        <v>0</v>
      </c>
      <c r="H91" s="114">
        <f t="shared" ref="H91:H94" si="38">G91*$B$63</f>
        <v>0</v>
      </c>
      <c r="I91" s="113">
        <v>0</v>
      </c>
      <c r="J91" s="114">
        <f t="shared" ref="J91:J94" si="39">I91*$B$63</f>
        <v>0</v>
      </c>
      <c r="K91" s="113">
        <v>0</v>
      </c>
      <c r="L91" s="114">
        <f t="shared" ref="L91:L94" si="40">K91*$B$63</f>
        <v>0</v>
      </c>
      <c r="M91" s="113">
        <v>0</v>
      </c>
      <c r="N91" s="114">
        <f t="shared" ref="N91:N94" si="41">M91*$B$63</f>
        <v>0</v>
      </c>
      <c r="O91" s="113">
        <v>0</v>
      </c>
      <c r="P91" s="114">
        <f t="shared" ref="P91:P94" si="42">O91*$B$63</f>
        <v>0</v>
      </c>
      <c r="Q91" s="113">
        <v>0</v>
      </c>
      <c r="R91" s="114">
        <f t="shared" ref="R91:R94" si="43">Q91*$B$63</f>
        <v>0</v>
      </c>
      <c r="S91" s="113">
        <v>0</v>
      </c>
      <c r="T91" s="114">
        <f t="shared" ref="T91:T94" si="44">S91*$B$63</f>
        <v>0</v>
      </c>
      <c r="U91" s="113">
        <v>0</v>
      </c>
      <c r="V91" s="114">
        <f t="shared" ref="V91:V94" si="45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A91" s="123"/>
    </row>
    <row r="92" spans="1:27" s="1" customFormat="1" ht="15" hidden="1" customHeight="1" x14ac:dyDescent="0.15">
      <c r="A92" s="119"/>
      <c r="B92" s="182"/>
      <c r="C92" s="113">
        <v>0</v>
      </c>
      <c r="D92" s="114">
        <f t="shared" ref="D92" si="46">C92*$B$56</f>
        <v>0</v>
      </c>
      <c r="E92" s="113">
        <v>0</v>
      </c>
      <c r="F92" s="114">
        <f t="shared" si="37"/>
        <v>0</v>
      </c>
      <c r="G92" s="113">
        <v>0</v>
      </c>
      <c r="H92" s="114">
        <f t="shared" si="38"/>
        <v>0</v>
      </c>
      <c r="I92" s="113">
        <v>0</v>
      </c>
      <c r="J92" s="114">
        <f t="shared" si="39"/>
        <v>0</v>
      </c>
      <c r="K92" s="113">
        <v>0</v>
      </c>
      <c r="L92" s="114">
        <f t="shared" si="40"/>
        <v>0</v>
      </c>
      <c r="M92" s="113">
        <v>0</v>
      </c>
      <c r="N92" s="114">
        <f t="shared" si="41"/>
        <v>0</v>
      </c>
      <c r="O92" s="113">
        <v>0</v>
      </c>
      <c r="P92" s="114">
        <f t="shared" si="42"/>
        <v>0</v>
      </c>
      <c r="Q92" s="113">
        <v>0</v>
      </c>
      <c r="R92" s="114">
        <f t="shared" si="43"/>
        <v>0</v>
      </c>
      <c r="S92" s="113">
        <v>0</v>
      </c>
      <c r="T92" s="114">
        <f t="shared" si="44"/>
        <v>0</v>
      </c>
      <c r="U92" s="113">
        <v>0</v>
      </c>
      <c r="V92" s="114">
        <f t="shared" si="45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A92" s="123"/>
    </row>
    <row r="93" spans="1:27" s="1" customFormat="1" ht="15" hidden="1" customHeight="1" x14ac:dyDescent="0.15">
      <c r="A93" s="119"/>
      <c r="B93" s="182"/>
      <c r="C93" s="113">
        <v>0</v>
      </c>
      <c r="D93" s="114">
        <f t="shared" ref="D93" si="47">C93*$B$57</f>
        <v>0</v>
      </c>
      <c r="E93" s="113">
        <v>0</v>
      </c>
      <c r="F93" s="114">
        <f t="shared" si="37"/>
        <v>0</v>
      </c>
      <c r="G93" s="113">
        <v>0</v>
      </c>
      <c r="H93" s="114">
        <f t="shared" si="38"/>
        <v>0</v>
      </c>
      <c r="I93" s="113">
        <v>0</v>
      </c>
      <c r="J93" s="114">
        <f t="shared" si="39"/>
        <v>0</v>
      </c>
      <c r="K93" s="113">
        <v>0</v>
      </c>
      <c r="L93" s="114">
        <f t="shared" si="40"/>
        <v>0</v>
      </c>
      <c r="M93" s="113">
        <v>0</v>
      </c>
      <c r="N93" s="114">
        <f t="shared" si="41"/>
        <v>0</v>
      </c>
      <c r="O93" s="113">
        <v>0</v>
      </c>
      <c r="P93" s="114">
        <f t="shared" si="42"/>
        <v>0</v>
      </c>
      <c r="Q93" s="113">
        <v>0</v>
      </c>
      <c r="R93" s="114">
        <f t="shared" si="43"/>
        <v>0</v>
      </c>
      <c r="S93" s="113">
        <v>0</v>
      </c>
      <c r="T93" s="114">
        <f t="shared" si="44"/>
        <v>0</v>
      </c>
      <c r="U93" s="113">
        <v>0</v>
      </c>
      <c r="V93" s="114">
        <f t="shared" si="45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A93" s="123"/>
    </row>
    <row r="94" spans="1:27" s="1" customFormat="1" ht="15" hidden="1" customHeight="1" x14ac:dyDescent="0.15">
      <c r="A94" s="112"/>
      <c r="B94" s="182"/>
      <c r="C94" s="113">
        <v>0</v>
      </c>
      <c r="D94" s="114">
        <f t="shared" ref="D94" si="48">C94*$B$58</f>
        <v>0</v>
      </c>
      <c r="E94" s="113">
        <v>0</v>
      </c>
      <c r="F94" s="114">
        <f t="shared" si="37"/>
        <v>0</v>
      </c>
      <c r="G94" s="113">
        <v>0</v>
      </c>
      <c r="H94" s="114">
        <f t="shared" si="38"/>
        <v>0</v>
      </c>
      <c r="I94" s="113">
        <v>0</v>
      </c>
      <c r="J94" s="114">
        <f t="shared" si="39"/>
        <v>0</v>
      </c>
      <c r="K94" s="113">
        <v>0</v>
      </c>
      <c r="L94" s="114">
        <f t="shared" si="40"/>
        <v>0</v>
      </c>
      <c r="M94" s="113">
        <v>0</v>
      </c>
      <c r="N94" s="114">
        <f t="shared" si="41"/>
        <v>0</v>
      </c>
      <c r="O94" s="113">
        <v>0</v>
      </c>
      <c r="P94" s="114">
        <f t="shared" si="42"/>
        <v>0</v>
      </c>
      <c r="Q94" s="113">
        <v>0</v>
      </c>
      <c r="R94" s="114">
        <f t="shared" si="43"/>
        <v>0</v>
      </c>
      <c r="S94" s="113">
        <v>0</v>
      </c>
      <c r="T94" s="114">
        <f t="shared" si="44"/>
        <v>0</v>
      </c>
      <c r="U94" s="113">
        <v>0</v>
      </c>
      <c r="V94" s="114">
        <f t="shared" si="45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A94" s="123"/>
    </row>
    <row r="95" spans="1:27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A95" s="123"/>
    </row>
    <row r="96" spans="1:27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A96" s="123"/>
    </row>
    <row r="97" spans="1:26" ht="14" x14ac:dyDescent="0.15">
      <c r="A97" s="134" t="s">
        <v>13</v>
      </c>
      <c r="B97" s="135"/>
      <c r="C97" s="120"/>
      <c r="D97" s="121">
        <f>SUM(D28:D96)</f>
        <v>9330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</row>
    <row r="98" spans="1:26" ht="14" x14ac:dyDescent="0.15">
      <c r="A98" s="136" t="s">
        <v>14</v>
      </c>
      <c r="B98" s="132"/>
      <c r="C98" s="113"/>
      <c r="D98" s="114">
        <f>D97+D25</f>
        <v>10552.93916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</row>
    <row r="99" spans="1:26" ht="15" thickBot="1" x14ac:dyDescent="0.2">
      <c r="A99" s="137" t="s">
        <v>15</v>
      </c>
      <c r="B99" s="138">
        <v>9.7000000000000003E-2</v>
      </c>
      <c r="C99" s="126"/>
      <c r="D99" s="127">
        <f>D98*$B$99</f>
        <v>1023.63509852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</row>
    <row r="100" spans="1:26" ht="14" x14ac:dyDescent="0.15">
      <c r="A100" s="134" t="s">
        <v>16</v>
      </c>
      <c r="B100" s="151"/>
      <c r="C100" s="120"/>
      <c r="D100" s="121">
        <f>D98+D99</f>
        <v>11576.574258520001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</row>
    <row r="101" spans="1:26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</row>
    <row r="102" spans="1:26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</row>
    <row r="103" spans="1:26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</row>
    <row r="104" spans="1:26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11576.574258520001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</row>
    <row r="105" spans="1:26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</row>
    <row r="106" spans="1:26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</row>
    <row r="107" spans="1:26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</row>
    <row r="108" spans="1:26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49">V104*$B$108</f>
        <v>#REF!</v>
      </c>
      <c r="W108" s="149"/>
      <c r="X108" s="145">
        <f>X104*$B$108</f>
        <v>0</v>
      </c>
      <c r="Y108" s="149"/>
      <c r="Z108" s="145">
        <f>Z104*$B$108</f>
        <v>0</v>
      </c>
    </row>
    <row r="109" spans="1:26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spans="1:26" ht="14" x14ac:dyDescent="0.15">
      <c r="A110" s="155" t="s">
        <v>31</v>
      </c>
      <c r="B110" s="150">
        <v>0.1</v>
      </c>
      <c r="C110" s="144"/>
      <c r="D110" s="170">
        <f>D100*B110</f>
        <v>1157.6574258520002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</row>
    <row r="111" spans="1:26" ht="15" thickBot="1" x14ac:dyDescent="0.2">
      <c r="A111" s="156" t="s">
        <v>32</v>
      </c>
      <c r="B111" s="157"/>
      <c r="C111" s="157"/>
      <c r="D111" s="158">
        <f>D110+D100</f>
        <v>12734.231684372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</row>
    <row r="112" spans="1:26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</row>
    <row r="113" spans="1:27" ht="15" thickBot="1" x14ac:dyDescent="0.2">
      <c r="A113" s="164" t="s">
        <v>33</v>
      </c>
      <c r="B113" s="165"/>
      <c r="C113" s="166"/>
      <c r="D113" s="167">
        <f>D112+D111</f>
        <v>12734.231684372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0">Z112+Z111</f>
        <v>39.261847644799992</v>
      </c>
    </row>
    <row r="114" spans="1:27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7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</row>
    <row r="116" spans="1:27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125"/>
    </row>
    <row r="117" spans="1:27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7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7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A119" s="124"/>
    </row>
    <row r="120" spans="1:27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124"/>
    </row>
    <row r="121" spans="1:27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7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7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7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7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7" x14ac:dyDescent="0.15">
      <c r="B126" s="122"/>
      <c r="D126" s="122"/>
    </row>
    <row r="127" spans="1:27" x14ac:dyDescent="0.15">
      <c r="B127" s="122"/>
      <c r="D127" s="122"/>
    </row>
    <row r="128" spans="1:27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16D3-380B-0840-9458-46643C3B8248}">
  <sheetPr>
    <pageSetUpPr fitToPage="1"/>
  </sheetPr>
  <dimension ref="A1:AC153"/>
  <sheetViews>
    <sheetView topLeftCell="A18" workbookViewId="0">
      <selection activeCell="A98" sqref="A98:XFD100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12.664062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16.5" style="122" customWidth="1"/>
  </cols>
  <sheetData>
    <row r="1" spans="1:26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6" ht="13.5" customHeight="1" x14ac:dyDescent="0.15">
      <c r="A2" s="202" t="s">
        <v>90</v>
      </c>
      <c r="B2" s="7"/>
      <c r="C2" s="197" t="s">
        <v>91</v>
      </c>
      <c r="D2" s="198"/>
      <c r="E2" s="197" t="s">
        <v>22</v>
      </c>
      <c r="F2" s="198"/>
      <c r="G2" s="197" t="s">
        <v>23</v>
      </c>
      <c r="H2" s="198"/>
      <c r="I2" s="197" t="s">
        <v>24</v>
      </c>
      <c r="J2" s="198"/>
      <c r="K2" s="197" t="s">
        <v>25</v>
      </c>
      <c r="L2" s="198"/>
      <c r="M2" s="197" t="s">
        <v>26</v>
      </c>
      <c r="N2" s="198"/>
      <c r="O2" s="197" t="s">
        <v>27</v>
      </c>
      <c r="P2" s="198"/>
      <c r="Q2" s="197" t="s">
        <v>28</v>
      </c>
      <c r="R2" s="198"/>
      <c r="S2" s="197" t="s">
        <v>29</v>
      </c>
      <c r="T2" s="198"/>
      <c r="U2" s="197" t="s">
        <v>21</v>
      </c>
      <c r="V2" s="198"/>
      <c r="W2" s="197" t="s">
        <v>40</v>
      </c>
      <c r="X2" s="198"/>
      <c r="Y2" s="197" t="s">
        <v>41</v>
      </c>
      <c r="Z2" s="198"/>
    </row>
    <row r="3" spans="1:26" ht="45.75" customHeight="1" thickBot="1" x14ac:dyDescent="0.2">
      <c r="A3" s="203"/>
      <c r="B3" s="8" t="s">
        <v>0</v>
      </c>
      <c r="C3" s="199"/>
      <c r="D3" s="200"/>
      <c r="E3" s="199"/>
      <c r="F3" s="200"/>
      <c r="G3" s="199"/>
      <c r="H3" s="200"/>
      <c r="I3" s="199"/>
      <c r="J3" s="200"/>
      <c r="K3" s="199"/>
      <c r="L3" s="200"/>
      <c r="M3" s="199"/>
      <c r="N3" s="200"/>
      <c r="O3" s="199"/>
      <c r="P3" s="200"/>
      <c r="Q3" s="199"/>
      <c r="R3" s="200"/>
      <c r="S3" s="199"/>
      <c r="T3" s="200"/>
      <c r="U3" s="199"/>
      <c r="V3" s="200"/>
      <c r="W3" s="199"/>
      <c r="X3" s="200"/>
      <c r="Y3" s="199"/>
      <c r="Z3" s="200"/>
    </row>
    <row r="4" spans="1:26" ht="19" thickBot="1" x14ac:dyDescent="0.2">
      <c r="A4" s="192">
        <f>D117</f>
        <v>95351.778793744015</v>
      </c>
      <c r="B4" s="8" t="s">
        <v>0</v>
      </c>
      <c r="C4" s="199"/>
      <c r="D4" s="200"/>
      <c r="E4" s="199"/>
      <c r="F4" s="200"/>
      <c r="G4" s="199"/>
      <c r="H4" s="200"/>
      <c r="I4" s="199"/>
      <c r="J4" s="200"/>
      <c r="K4" s="199"/>
      <c r="L4" s="200"/>
      <c r="M4" s="199"/>
      <c r="N4" s="200"/>
      <c r="O4" s="199"/>
      <c r="P4" s="200"/>
      <c r="Q4" s="199"/>
      <c r="R4" s="200"/>
      <c r="S4" s="199"/>
      <c r="T4" s="200"/>
      <c r="U4" s="199"/>
      <c r="V4" s="200"/>
      <c r="W4" s="199"/>
      <c r="X4" s="200"/>
      <c r="Y4" s="199"/>
      <c r="Z4" s="200"/>
    </row>
    <row r="5" spans="1:26" ht="21.75" customHeight="1" thickBot="1" x14ac:dyDescent="0.2">
      <c r="A5" s="9"/>
      <c r="B5" s="8" t="s">
        <v>0</v>
      </c>
      <c r="C5" s="199"/>
      <c r="D5" s="200"/>
      <c r="E5" s="199"/>
      <c r="F5" s="200"/>
      <c r="G5" s="199"/>
      <c r="H5" s="200"/>
      <c r="I5" s="199"/>
      <c r="J5" s="200"/>
      <c r="K5" s="199"/>
      <c r="L5" s="200"/>
      <c r="M5" s="199"/>
      <c r="N5" s="200"/>
      <c r="O5" s="199"/>
      <c r="P5" s="200"/>
      <c r="Q5" s="199"/>
      <c r="R5" s="200"/>
      <c r="S5" s="199"/>
      <c r="T5" s="200"/>
      <c r="U5" s="199"/>
      <c r="V5" s="200"/>
      <c r="W5" s="199"/>
      <c r="X5" s="200"/>
      <c r="Y5" s="199"/>
      <c r="Z5" s="200"/>
    </row>
    <row r="6" spans="1:26" ht="15" thickBot="1" x14ac:dyDescent="0.2">
      <c r="A6" s="10" t="s">
        <v>99</v>
      </c>
      <c r="B6" s="11" t="s">
        <v>0</v>
      </c>
      <c r="C6" s="195" t="s">
        <v>18</v>
      </c>
      <c r="D6" s="196"/>
      <c r="E6" s="195" t="s">
        <v>18</v>
      </c>
      <c r="F6" s="196"/>
      <c r="G6" s="195" t="s">
        <v>18</v>
      </c>
      <c r="H6" s="196"/>
      <c r="I6" s="201" t="s">
        <v>18</v>
      </c>
      <c r="J6" s="196"/>
      <c r="K6" s="201" t="s">
        <v>18</v>
      </c>
      <c r="L6" s="196"/>
      <c r="M6" s="195" t="s">
        <v>18</v>
      </c>
      <c r="N6" s="196"/>
      <c r="O6" s="195" t="s">
        <v>18</v>
      </c>
      <c r="P6" s="196"/>
      <c r="Q6" s="195" t="s">
        <v>18</v>
      </c>
      <c r="R6" s="196"/>
      <c r="S6" s="195" t="s">
        <v>18</v>
      </c>
      <c r="T6" s="196"/>
      <c r="U6" s="195" t="s">
        <v>18</v>
      </c>
      <c r="V6" s="196"/>
      <c r="W6" s="195" t="s">
        <v>18</v>
      </c>
      <c r="X6" s="196"/>
      <c r="Y6" s="195" t="s">
        <v>18</v>
      </c>
      <c r="Z6" s="196"/>
    </row>
    <row r="7" spans="1:26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6" ht="15" thickBot="1" x14ac:dyDescent="0.2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</row>
    <row r="9" spans="1:26" ht="14" x14ac:dyDescent="0.15">
      <c r="A9" s="21" t="s">
        <v>47</v>
      </c>
      <c r="B9" s="22">
        <v>41</v>
      </c>
      <c r="C9" s="23">
        <v>48</v>
      </c>
      <c r="D9" s="24">
        <f>C9*$B$9</f>
        <v>1968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</row>
    <row r="10" spans="1:26" ht="22.25" customHeight="1" x14ac:dyDescent="0.15">
      <c r="A10" s="25" t="s">
        <v>36</v>
      </c>
      <c r="B10" s="189">
        <v>28.85</v>
      </c>
      <c r="C10" s="23">
        <v>16</v>
      </c>
      <c r="D10" s="24">
        <f>C10*$B$10</f>
        <v>461.6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</row>
    <row r="11" spans="1:26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</row>
    <row r="12" spans="1:26" ht="14" x14ac:dyDescent="0.15">
      <c r="A12" s="27" t="s">
        <v>62</v>
      </c>
      <c r="B12" s="26">
        <v>16</v>
      </c>
      <c r="C12" s="28">
        <v>0</v>
      </c>
      <c r="D12" s="24">
        <f>C12*$B$12</f>
        <v>0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</row>
    <row r="13" spans="1:26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</row>
    <row r="14" spans="1:26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6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6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6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6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6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</row>
    <row r="20" spans="1:26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6" ht="14" x14ac:dyDescent="0.15">
      <c r="A21" s="45" t="s">
        <v>8</v>
      </c>
      <c r="B21" s="26"/>
      <c r="C21" s="46">
        <f t="shared" ref="C21:D21" si="1">SUM(C9:C20)</f>
        <v>64</v>
      </c>
      <c r="D21" s="48">
        <f t="shared" si="1"/>
        <v>2429.6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</row>
    <row r="22" spans="1:26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</row>
    <row r="23" spans="1:26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16.278320000000001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</row>
    <row r="24" spans="1:26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</row>
    <row r="25" spans="1:26" ht="15" thickBot="1" x14ac:dyDescent="0.2">
      <c r="A25" s="61" t="s">
        <v>9</v>
      </c>
      <c r="B25" s="62"/>
      <c r="C25" s="63">
        <f>SUM(C21:C21)</f>
        <v>64</v>
      </c>
      <c r="D25" s="64">
        <f>SUM(D21:D21, D23)</f>
        <v>2445.8783199999998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</row>
    <row r="26" spans="1:26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</row>
    <row r="27" spans="1:26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</row>
    <row r="28" spans="1:26" ht="14" x14ac:dyDescent="0.15">
      <c r="A28" s="72" t="s">
        <v>88</v>
      </c>
      <c r="B28" s="73">
        <v>200</v>
      </c>
      <c r="C28" s="71">
        <v>1</v>
      </c>
      <c r="D28" s="38">
        <f>C28*$B$28</f>
        <v>200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</row>
    <row r="29" spans="1:26" ht="14" x14ac:dyDescent="0.15">
      <c r="A29" s="72"/>
      <c r="B29" s="73"/>
      <c r="C29" s="71"/>
      <c r="D29" s="38"/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</row>
    <row r="30" spans="1:26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</row>
    <row r="31" spans="1:26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</row>
    <row r="32" spans="1:26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</row>
    <row r="33" spans="1:26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</row>
    <row r="34" spans="1:26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</row>
    <row r="35" spans="1:26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</row>
    <row r="36" spans="1:26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</row>
    <row r="37" spans="1:26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</row>
    <row r="38" spans="1:26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</row>
    <row r="39" spans="1:26" ht="15" x14ac:dyDescent="0.15">
      <c r="A39" s="172" t="s">
        <v>82</v>
      </c>
      <c r="B39" s="173">
        <v>150</v>
      </c>
      <c r="C39" s="174">
        <v>0</v>
      </c>
      <c r="D39" s="175">
        <f>B39*C39</f>
        <v>0</v>
      </c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</row>
    <row r="40" spans="1:26" ht="15" x14ac:dyDescent="0.15">
      <c r="A40" s="89" t="s">
        <v>89</v>
      </c>
      <c r="B40" s="90">
        <v>950</v>
      </c>
      <c r="C40" s="71">
        <v>1</v>
      </c>
      <c r="D40" s="38">
        <f>C40*$B$40</f>
        <v>950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</row>
    <row r="41" spans="1:26" ht="14" x14ac:dyDescent="0.15">
      <c r="A41" s="191"/>
      <c r="B41" s="90"/>
      <c r="C41" s="71"/>
      <c r="D41" s="38"/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</row>
    <row r="42" spans="1:26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</row>
    <row r="43" spans="1:26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</row>
    <row r="44" spans="1:26" ht="14" x14ac:dyDescent="0.15">
      <c r="A44" s="107" t="s">
        <v>39</v>
      </c>
      <c r="B44" s="108"/>
      <c r="C44" s="109" t="s">
        <v>86</v>
      </c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</row>
    <row r="45" spans="1:26" ht="18.75" customHeight="1" x14ac:dyDescent="0.15">
      <c r="A45" s="112" t="s">
        <v>101</v>
      </c>
      <c r="B45" s="182">
        <v>0.3</v>
      </c>
      <c r="C45" s="193">
        <v>29910</v>
      </c>
      <c r="D45" s="114">
        <f>C45*$B$45</f>
        <v>8973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</row>
    <row r="46" spans="1:26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</row>
    <row r="47" spans="1:26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</row>
    <row r="48" spans="1:26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</row>
    <row r="49" spans="1:29" ht="18.75" customHeight="1" x14ac:dyDescent="0.15">
      <c r="A49" s="112" t="s">
        <v>102</v>
      </c>
      <c r="B49" s="182">
        <v>0.3</v>
      </c>
      <c r="C49" s="193">
        <v>157002</v>
      </c>
      <c r="D49" s="114">
        <f>B49*C49</f>
        <v>47100.6</v>
      </c>
      <c r="E49" s="115"/>
      <c r="F49" s="114"/>
      <c r="G49" s="115"/>
      <c r="H49" s="114"/>
      <c r="I49" s="115"/>
      <c r="J49" s="114"/>
      <c r="K49" s="115"/>
      <c r="L49" s="114"/>
      <c r="M49" s="115"/>
      <c r="N49" s="114"/>
      <c r="O49" s="115"/>
      <c r="P49" s="114"/>
      <c r="Q49" s="115"/>
      <c r="R49" s="114"/>
      <c r="S49" s="115"/>
      <c r="T49" s="114"/>
      <c r="U49" s="115"/>
      <c r="V49" s="114"/>
      <c r="W49" s="113"/>
      <c r="X49" s="114"/>
      <c r="Y49" s="113"/>
      <c r="Z49" s="114"/>
    </row>
    <row r="50" spans="1:29" ht="18.75" customHeight="1" x14ac:dyDescent="0.15">
      <c r="A50" s="194" t="s">
        <v>103</v>
      </c>
      <c r="B50" s="182">
        <v>0.3</v>
      </c>
      <c r="C50" s="193">
        <v>24288</v>
      </c>
      <c r="D50" s="114">
        <f>B50*C50</f>
        <v>7286.4</v>
      </c>
      <c r="E50" s="115"/>
      <c r="F50" s="114"/>
      <c r="G50" s="115"/>
      <c r="H50" s="114"/>
      <c r="I50" s="115"/>
      <c r="J50" s="114"/>
      <c r="K50" s="115"/>
      <c r="L50" s="114"/>
      <c r="M50" s="115"/>
      <c r="N50" s="114"/>
      <c r="O50" s="115"/>
      <c r="P50" s="114"/>
      <c r="Q50" s="115"/>
      <c r="R50" s="114"/>
      <c r="S50" s="115"/>
      <c r="T50" s="114"/>
      <c r="U50" s="115"/>
      <c r="V50" s="114"/>
      <c r="W50" s="113"/>
      <c r="X50" s="114"/>
      <c r="Y50" s="113"/>
      <c r="Z50" s="114"/>
    </row>
    <row r="51" spans="1:29" ht="15" x14ac:dyDescent="0.15">
      <c r="A51" s="112" t="s">
        <v>92</v>
      </c>
      <c r="B51" s="182">
        <v>50</v>
      </c>
      <c r="C51" s="113">
        <v>10</v>
      </c>
      <c r="D51" s="114">
        <f>C51*$B$51</f>
        <v>500</v>
      </c>
      <c r="E51" s="115">
        <v>0</v>
      </c>
      <c r="F51" s="114">
        <f>E51*$B$48</f>
        <v>0</v>
      </c>
      <c r="G51" s="115">
        <v>0</v>
      </c>
      <c r="H51" s="114">
        <f>G51*$B$48</f>
        <v>0</v>
      </c>
      <c r="I51" s="115">
        <v>0</v>
      </c>
      <c r="J51" s="114">
        <f>I51*$B$48</f>
        <v>0</v>
      </c>
      <c r="K51" s="115">
        <v>0</v>
      </c>
      <c r="L51" s="114">
        <f>K51*$B$48</f>
        <v>0</v>
      </c>
      <c r="M51" s="115">
        <v>0</v>
      </c>
      <c r="N51" s="114">
        <f>M51*$B$48</f>
        <v>0</v>
      </c>
      <c r="O51" s="115">
        <v>0</v>
      </c>
      <c r="P51" s="114">
        <f>O51*$B$48</f>
        <v>0</v>
      </c>
      <c r="Q51" s="115">
        <v>0</v>
      </c>
      <c r="R51" s="114">
        <f>Q51*$B$48</f>
        <v>0</v>
      </c>
      <c r="S51" s="115">
        <v>0</v>
      </c>
      <c r="T51" s="114">
        <f>S51*$B$48</f>
        <v>0</v>
      </c>
      <c r="U51" s="115">
        <v>0</v>
      </c>
      <c r="V51" s="114">
        <f>U51*$B$48</f>
        <v>0</v>
      </c>
      <c r="W51" s="113">
        <v>0</v>
      </c>
      <c r="X51" s="114">
        <f>W51*$B$48</f>
        <v>0</v>
      </c>
      <c r="Y51" s="113">
        <v>0</v>
      </c>
      <c r="Z51" s="114">
        <f>Y51*$B$48</f>
        <v>0</v>
      </c>
      <c r="AC51" s="99"/>
    </row>
    <row r="52" spans="1:29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</row>
    <row r="53" spans="1:29" ht="15" hidden="1" customHeight="1" x14ac:dyDescent="0.15">
      <c r="A53" s="112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</row>
    <row r="54" spans="1:29" ht="15" hidden="1" customHeight="1" x14ac:dyDescent="0.15">
      <c r="A54" s="112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</row>
    <row r="55" spans="1:29" ht="15" hidden="1" customHeight="1" x14ac:dyDescent="0.15">
      <c r="A55" s="116"/>
      <c r="B55" s="182"/>
      <c r="C55" s="113">
        <v>0</v>
      </c>
      <c r="D55" s="114">
        <f>C55*$B$55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</row>
    <row r="56" spans="1:29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E56*$B$56</f>
        <v>0</v>
      </c>
      <c r="G56" s="115">
        <v>0</v>
      </c>
      <c r="H56" s="114">
        <f>G56*$B$56</f>
        <v>0</v>
      </c>
      <c r="I56" s="115">
        <v>0</v>
      </c>
      <c r="J56" s="114">
        <f>I56*$B$56</f>
        <v>0</v>
      </c>
      <c r="K56" s="115">
        <v>0</v>
      </c>
      <c r="L56" s="114">
        <f>K56*$B$56</f>
        <v>0</v>
      </c>
      <c r="M56" s="115">
        <v>0</v>
      </c>
      <c r="N56" s="114">
        <f>M56*$B$56</f>
        <v>0</v>
      </c>
      <c r="O56" s="115">
        <v>0</v>
      </c>
      <c r="P56" s="114">
        <f>O56*$B$56</f>
        <v>0</v>
      </c>
      <c r="Q56" s="115">
        <v>0</v>
      </c>
      <c r="R56" s="114">
        <f>Q56*$B$56</f>
        <v>0</v>
      </c>
      <c r="S56" s="115">
        <v>0</v>
      </c>
      <c r="T56" s="114">
        <f>S56*$B$56</f>
        <v>0</v>
      </c>
      <c r="U56" s="115">
        <v>0</v>
      </c>
      <c r="V56" s="114">
        <f>U56*$B$56</f>
        <v>0</v>
      </c>
      <c r="W56" s="113">
        <v>0</v>
      </c>
      <c r="X56" s="114">
        <f>W56*$B$56</f>
        <v>0</v>
      </c>
      <c r="Y56" s="113">
        <v>0</v>
      </c>
      <c r="Z56" s="114">
        <f>Y56*$B$56</f>
        <v>0</v>
      </c>
    </row>
    <row r="57" spans="1:29" ht="15" hidden="1" customHeight="1" x14ac:dyDescent="0.15">
      <c r="A57" s="116"/>
      <c r="B57" s="182"/>
      <c r="C57" s="113">
        <v>0</v>
      </c>
      <c r="D57" s="114">
        <f>C57*$B$56</f>
        <v>0</v>
      </c>
      <c r="E57" s="115">
        <v>0</v>
      </c>
      <c r="F57" s="114">
        <f>E57*$B$56</f>
        <v>0</v>
      </c>
      <c r="G57" s="115">
        <v>0</v>
      </c>
      <c r="H57" s="114">
        <f>G57*$B$56</f>
        <v>0</v>
      </c>
      <c r="I57" s="115">
        <v>0</v>
      </c>
      <c r="J57" s="114">
        <f>I57*$B$56</f>
        <v>0</v>
      </c>
      <c r="K57" s="115">
        <v>0</v>
      </c>
      <c r="L57" s="114">
        <f>K57*$B$56</f>
        <v>0</v>
      </c>
      <c r="M57" s="115">
        <v>0</v>
      </c>
      <c r="N57" s="114">
        <f>M57*$B$56</f>
        <v>0</v>
      </c>
      <c r="O57" s="115">
        <v>0</v>
      </c>
      <c r="P57" s="114">
        <f>O57*$B$56</f>
        <v>0</v>
      </c>
      <c r="Q57" s="115">
        <v>0</v>
      </c>
      <c r="R57" s="114">
        <f>Q57*$B$56</f>
        <v>0</v>
      </c>
      <c r="S57" s="115">
        <v>0</v>
      </c>
      <c r="T57" s="114">
        <f>S57*$B$56</f>
        <v>0</v>
      </c>
      <c r="U57" s="115">
        <v>0</v>
      </c>
      <c r="V57" s="114">
        <f>U57*$B$56</f>
        <v>0</v>
      </c>
      <c r="W57" s="113">
        <v>0</v>
      </c>
      <c r="X57" s="114">
        <f>W57*$B$56</f>
        <v>0</v>
      </c>
      <c r="Y57" s="113">
        <v>0</v>
      </c>
      <c r="Z57" s="114">
        <f>Y57*$B$56</f>
        <v>0</v>
      </c>
    </row>
    <row r="58" spans="1:29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E58*$B$54</f>
        <v>0</v>
      </c>
      <c r="G58" s="115">
        <v>0</v>
      </c>
      <c r="H58" s="114">
        <f>G58*$B$54</f>
        <v>0</v>
      </c>
      <c r="I58" s="115">
        <v>0</v>
      </c>
      <c r="J58" s="114">
        <f>I58*$B$54</f>
        <v>0</v>
      </c>
      <c r="K58" s="115">
        <v>0</v>
      </c>
      <c r="L58" s="114">
        <f>K58*$B$54</f>
        <v>0</v>
      </c>
      <c r="M58" s="115">
        <v>0</v>
      </c>
      <c r="N58" s="114">
        <f>M58*$B$54</f>
        <v>0</v>
      </c>
      <c r="O58" s="115">
        <v>0</v>
      </c>
      <c r="P58" s="114">
        <f>O58*$B$54</f>
        <v>0</v>
      </c>
      <c r="Q58" s="115">
        <v>0</v>
      </c>
      <c r="R58" s="114">
        <f>Q58*$B$54</f>
        <v>0</v>
      </c>
      <c r="S58" s="115">
        <v>0</v>
      </c>
      <c r="T58" s="114">
        <f>S58*$B$54</f>
        <v>0</v>
      </c>
      <c r="U58" s="115">
        <v>0</v>
      </c>
      <c r="V58" s="114">
        <f>U58*$B$54</f>
        <v>0</v>
      </c>
      <c r="W58" s="113">
        <v>0</v>
      </c>
      <c r="X58" s="114">
        <f>W58*$B$54</f>
        <v>0</v>
      </c>
      <c r="Y58" s="113">
        <v>0</v>
      </c>
      <c r="Z58" s="114">
        <f>Y58*$B$54</f>
        <v>0</v>
      </c>
    </row>
    <row r="59" spans="1:29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</row>
    <row r="60" spans="1:29" ht="15" hidden="1" customHeight="1" x14ac:dyDescent="0.15">
      <c r="A60" s="116"/>
      <c r="B60" s="182"/>
      <c r="C60" s="113">
        <v>0</v>
      </c>
      <c r="D60" s="114">
        <f>C60*$B$60</f>
        <v>0</v>
      </c>
      <c r="E60" s="115">
        <v>0</v>
      </c>
      <c r="F60" s="114">
        <f>E60*$B$59</f>
        <v>0</v>
      </c>
      <c r="G60" s="115">
        <v>0</v>
      </c>
      <c r="H60" s="114">
        <f>G60*$B$59</f>
        <v>0</v>
      </c>
      <c r="I60" s="115">
        <v>0</v>
      </c>
      <c r="J60" s="114">
        <f>I60*$B$59</f>
        <v>0</v>
      </c>
      <c r="K60" s="115">
        <v>0</v>
      </c>
      <c r="L60" s="114">
        <f>K60*$B$59</f>
        <v>0</v>
      </c>
      <c r="M60" s="115">
        <v>0</v>
      </c>
      <c r="N60" s="114">
        <f>M60*$B$59</f>
        <v>0</v>
      </c>
      <c r="O60" s="115">
        <v>0</v>
      </c>
      <c r="P60" s="114">
        <f>O60*$B$59</f>
        <v>0</v>
      </c>
      <c r="Q60" s="115">
        <v>0</v>
      </c>
      <c r="R60" s="114">
        <f>Q60*$B$59</f>
        <v>0</v>
      </c>
      <c r="S60" s="115">
        <v>0</v>
      </c>
      <c r="T60" s="114">
        <f>S60*$B$59</f>
        <v>0</v>
      </c>
      <c r="U60" s="115">
        <v>0</v>
      </c>
      <c r="V60" s="114">
        <f>U60*$B$59</f>
        <v>0</v>
      </c>
      <c r="W60" s="113">
        <v>0</v>
      </c>
      <c r="X60" s="114">
        <f>W60*$B$59</f>
        <v>0</v>
      </c>
      <c r="Y60" s="113">
        <v>0</v>
      </c>
      <c r="Z60" s="114">
        <f>Y60*$B$59</f>
        <v>0</v>
      </c>
    </row>
    <row r="61" spans="1:29" ht="15" hidden="1" customHeight="1" x14ac:dyDescent="0.15">
      <c r="A61" s="116"/>
      <c r="B61" s="182"/>
      <c r="C61" s="113">
        <v>0</v>
      </c>
      <c r="D61" s="114">
        <f>C61*$B$61</f>
        <v>0</v>
      </c>
      <c r="E61" s="115">
        <v>0</v>
      </c>
      <c r="F61" s="114">
        <f>E61*$B$61</f>
        <v>0</v>
      </c>
      <c r="G61" s="115">
        <v>0</v>
      </c>
      <c r="H61" s="114">
        <f>G61*$B$61</f>
        <v>0</v>
      </c>
      <c r="I61" s="115">
        <v>0</v>
      </c>
      <c r="J61" s="114">
        <f>I61*$B$61</f>
        <v>0</v>
      </c>
      <c r="K61" s="115">
        <v>0</v>
      </c>
      <c r="L61" s="114">
        <f>K61*$B$61</f>
        <v>0</v>
      </c>
      <c r="M61" s="115">
        <v>0</v>
      </c>
      <c r="N61" s="114">
        <f>M61*$B$61</f>
        <v>0</v>
      </c>
      <c r="O61" s="115">
        <v>0</v>
      </c>
      <c r="P61" s="114">
        <f>O61*$B$61</f>
        <v>0</v>
      </c>
      <c r="Q61" s="115">
        <v>0</v>
      </c>
      <c r="R61" s="114">
        <f>Q61*$B$61</f>
        <v>0</v>
      </c>
      <c r="S61" s="115">
        <v>0</v>
      </c>
      <c r="T61" s="114">
        <f>S61*$B$61</f>
        <v>0</v>
      </c>
      <c r="U61" s="115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</row>
    <row r="62" spans="1:29" s="1" customFormat="1" ht="15" hidden="1" customHeight="1" x14ac:dyDescent="0.15">
      <c r="A62" s="116"/>
      <c r="B62" s="182"/>
      <c r="C62" s="113">
        <v>0</v>
      </c>
      <c r="D62" s="117">
        <f>C62*$B$62</f>
        <v>0</v>
      </c>
      <c r="E62" s="115">
        <v>0</v>
      </c>
      <c r="F62" s="117">
        <f>E62*$B$62</f>
        <v>0</v>
      </c>
      <c r="G62" s="115">
        <v>0</v>
      </c>
      <c r="H62" s="117">
        <f>G62*$B$62</f>
        <v>0</v>
      </c>
      <c r="I62" s="115">
        <v>0</v>
      </c>
      <c r="J62" s="117">
        <f>I62*$B$62</f>
        <v>0</v>
      </c>
      <c r="K62" s="115">
        <v>0</v>
      </c>
      <c r="L62" s="117">
        <f>K62*$B$62</f>
        <v>0</v>
      </c>
      <c r="M62" s="115">
        <v>0</v>
      </c>
      <c r="N62" s="117">
        <f>M62*$B$62</f>
        <v>0</v>
      </c>
      <c r="O62" s="115">
        <v>0</v>
      </c>
      <c r="P62" s="117">
        <f>O62*$B$62</f>
        <v>0</v>
      </c>
      <c r="Q62" s="115">
        <v>0</v>
      </c>
      <c r="R62" s="117">
        <f>Q62*$B$62</f>
        <v>0</v>
      </c>
      <c r="S62" s="115">
        <v>0</v>
      </c>
      <c r="T62" s="117">
        <f>S62*$B$62</f>
        <v>0</v>
      </c>
      <c r="U62" s="115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A62" s="123"/>
    </row>
    <row r="63" spans="1:29" s="1" customFormat="1" ht="15" hidden="1" customHeight="1" x14ac:dyDescent="0.15">
      <c r="A63" s="118"/>
      <c r="B63" s="182"/>
      <c r="C63" s="113">
        <v>0</v>
      </c>
      <c r="D63" s="114">
        <f>C63*$B$63</f>
        <v>0</v>
      </c>
      <c r="E63" s="113">
        <v>0</v>
      </c>
      <c r="F63" s="114">
        <f>E63*$B$63</f>
        <v>0</v>
      </c>
      <c r="G63" s="113">
        <v>0</v>
      </c>
      <c r="H63" s="114">
        <f>G63*$B$63</f>
        <v>0</v>
      </c>
      <c r="I63" s="113">
        <v>0</v>
      </c>
      <c r="J63" s="114">
        <f>I63*$B$63</f>
        <v>0</v>
      </c>
      <c r="K63" s="113">
        <v>0</v>
      </c>
      <c r="L63" s="114">
        <f>K63*$B$63</f>
        <v>0</v>
      </c>
      <c r="M63" s="113">
        <v>0</v>
      </c>
      <c r="N63" s="114">
        <f>M63*$B$63</f>
        <v>0</v>
      </c>
      <c r="O63" s="113">
        <v>0</v>
      </c>
      <c r="P63" s="114">
        <f>O63*$B$63</f>
        <v>0</v>
      </c>
      <c r="Q63" s="113">
        <v>0</v>
      </c>
      <c r="R63" s="114">
        <f>Q63*$B$63</f>
        <v>0</v>
      </c>
      <c r="S63" s="113">
        <v>0</v>
      </c>
      <c r="T63" s="114">
        <f>S63*$B$63</f>
        <v>0</v>
      </c>
      <c r="U63" s="113">
        <v>0</v>
      </c>
      <c r="V63" s="114">
        <f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A63" s="123"/>
    </row>
    <row r="64" spans="1:29" s="1" customFormat="1" ht="15" hidden="1" customHeight="1" x14ac:dyDescent="0.15">
      <c r="A64" s="119"/>
      <c r="B64" s="182"/>
      <c r="C64" s="113">
        <v>0</v>
      </c>
      <c r="D64" s="117">
        <f>C64*$B$64</f>
        <v>0</v>
      </c>
      <c r="E64" s="113">
        <v>0</v>
      </c>
      <c r="F64" s="117">
        <f>E64*$B$64</f>
        <v>0</v>
      </c>
      <c r="G64" s="113">
        <v>0</v>
      </c>
      <c r="H64" s="117">
        <f>G64*$B$64</f>
        <v>0</v>
      </c>
      <c r="I64" s="113">
        <v>0</v>
      </c>
      <c r="J64" s="117">
        <f>I64*$B$64</f>
        <v>0</v>
      </c>
      <c r="K64" s="113">
        <v>0</v>
      </c>
      <c r="L64" s="117">
        <f>K64*$B$64</f>
        <v>0</v>
      </c>
      <c r="M64" s="113">
        <v>0</v>
      </c>
      <c r="N64" s="117">
        <f>M64*$B$64</f>
        <v>0</v>
      </c>
      <c r="O64" s="113">
        <v>0</v>
      </c>
      <c r="P64" s="117">
        <f>O64*$B$64</f>
        <v>0</v>
      </c>
      <c r="Q64" s="113">
        <v>0</v>
      </c>
      <c r="R64" s="117">
        <f>Q64*$B$64</f>
        <v>0</v>
      </c>
      <c r="S64" s="113">
        <v>0</v>
      </c>
      <c r="T64" s="117">
        <f>S64*$B$64</f>
        <v>0</v>
      </c>
      <c r="U64" s="113">
        <v>0</v>
      </c>
      <c r="V64" s="117">
        <f>U64*$B$64</f>
        <v>0</v>
      </c>
      <c r="W64" s="113">
        <v>0</v>
      </c>
      <c r="X64" s="117">
        <f>W64*$B$64</f>
        <v>0</v>
      </c>
      <c r="Y64" s="113">
        <v>0</v>
      </c>
      <c r="Z64" s="117">
        <f>Y64*$B$64</f>
        <v>0</v>
      </c>
      <c r="AA64" s="123"/>
    </row>
    <row r="65" spans="1:29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ref="F65:F70" si="6">E65*$B$65</f>
        <v>0</v>
      </c>
      <c r="G65" s="113">
        <v>0</v>
      </c>
      <c r="H65" s="114">
        <f t="shared" ref="H65:H70" si="7">G65*$B$65</f>
        <v>0</v>
      </c>
      <c r="I65" s="113">
        <v>0</v>
      </c>
      <c r="J65" s="114">
        <f t="shared" ref="J65:J70" si="8">I65*$B$65</f>
        <v>0</v>
      </c>
      <c r="K65" s="113">
        <v>0</v>
      </c>
      <c r="L65" s="114">
        <f t="shared" ref="L65:L70" si="9">K65*$B$65</f>
        <v>0</v>
      </c>
      <c r="M65" s="113">
        <v>0</v>
      </c>
      <c r="N65" s="114">
        <f t="shared" ref="N65:N70" si="10">M65*$B$65</f>
        <v>0</v>
      </c>
      <c r="O65" s="113">
        <v>0</v>
      </c>
      <c r="P65" s="114">
        <f t="shared" ref="P65:P70" si="11">O65*$B$65</f>
        <v>0</v>
      </c>
      <c r="Q65" s="113">
        <v>0</v>
      </c>
      <c r="R65" s="114">
        <f t="shared" ref="R65:R70" si="12">Q65*$B$65</f>
        <v>0</v>
      </c>
      <c r="S65" s="113">
        <v>0</v>
      </c>
      <c r="T65" s="114">
        <f t="shared" ref="T65:T70" si="13">S65*$B$65</f>
        <v>0</v>
      </c>
      <c r="U65" s="113">
        <v>0</v>
      </c>
      <c r="V65" s="114">
        <f t="shared" ref="V65:V70" si="14">U65*$B$65</f>
        <v>0</v>
      </c>
      <c r="W65" s="113">
        <v>0</v>
      </c>
      <c r="X65" s="114">
        <f>W65*$B$65</f>
        <v>0</v>
      </c>
      <c r="Y65" s="113">
        <v>0</v>
      </c>
      <c r="Z65" s="114">
        <f>Y65*$B$65</f>
        <v>0</v>
      </c>
      <c r="AA65" s="123"/>
    </row>
    <row r="66" spans="1:29" s="1" customFormat="1" ht="15" hidden="1" customHeight="1" x14ac:dyDescent="0.15">
      <c r="A66" s="119"/>
      <c r="B66" s="182"/>
      <c r="C66" s="113">
        <v>0</v>
      </c>
      <c r="D66" s="114">
        <f>C66*$B$66</f>
        <v>0</v>
      </c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W66*$B$65</f>
        <v>0</v>
      </c>
      <c r="Y66" s="113">
        <v>0</v>
      </c>
      <c r="Z66" s="114">
        <f>Y66*$B$65</f>
        <v>0</v>
      </c>
      <c r="AA66" s="123"/>
    </row>
    <row r="67" spans="1:29" s="1" customFormat="1" ht="15" hidden="1" customHeight="1" x14ac:dyDescent="0.15">
      <c r="A67" s="119"/>
      <c r="B67" s="182"/>
      <c r="C67" s="113">
        <v>0</v>
      </c>
      <c r="D67" s="114">
        <f>C67*$B$67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W67*$B$65</f>
        <v>0</v>
      </c>
      <c r="Y67" s="113">
        <v>0</v>
      </c>
      <c r="Z67" s="114">
        <f>Y67*$B$65</f>
        <v>0</v>
      </c>
      <c r="AA67" s="123"/>
    </row>
    <row r="68" spans="1:29" s="1" customFormat="1" ht="18" customHeight="1" x14ac:dyDescent="0.15">
      <c r="A68" s="112" t="s">
        <v>94</v>
      </c>
      <c r="B68" s="182">
        <v>1200</v>
      </c>
      <c r="C68" s="113">
        <v>3</v>
      </c>
      <c r="D68" s="114">
        <f>B68*C68</f>
        <v>3600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>
        <v>0</v>
      </c>
      <c r="X68" s="114">
        <f>W68*$B$65</f>
        <v>0</v>
      </c>
      <c r="Y68" s="113">
        <v>0</v>
      </c>
      <c r="Z68" s="114">
        <f>Y68*$B$65</f>
        <v>0</v>
      </c>
      <c r="AA68" s="123"/>
    </row>
    <row r="69" spans="1:29" s="1" customFormat="1" ht="17.25" customHeight="1" x14ac:dyDescent="0.15">
      <c r="A69" s="112" t="s">
        <v>93</v>
      </c>
      <c r="B69" s="182">
        <v>1200</v>
      </c>
      <c r="C69" s="113">
        <v>3</v>
      </c>
      <c r="D69" s="114">
        <f>B69*C69</f>
        <v>3600</v>
      </c>
      <c r="E69" s="113">
        <v>0</v>
      </c>
      <c r="F69" s="114">
        <f t="shared" si="6"/>
        <v>0</v>
      </c>
      <c r="G69" s="113">
        <v>0</v>
      </c>
      <c r="H69" s="114">
        <f t="shared" si="7"/>
        <v>0</v>
      </c>
      <c r="I69" s="113">
        <v>0</v>
      </c>
      <c r="J69" s="114">
        <f t="shared" si="8"/>
        <v>0</v>
      </c>
      <c r="K69" s="113">
        <v>0</v>
      </c>
      <c r="L69" s="114">
        <f t="shared" si="9"/>
        <v>0</v>
      </c>
      <c r="M69" s="113">
        <v>0</v>
      </c>
      <c r="N69" s="114">
        <f t="shared" si="10"/>
        <v>0</v>
      </c>
      <c r="O69" s="113">
        <v>0</v>
      </c>
      <c r="P69" s="114">
        <f t="shared" si="11"/>
        <v>0</v>
      </c>
      <c r="Q69" s="113">
        <v>0</v>
      </c>
      <c r="R69" s="114">
        <f t="shared" si="12"/>
        <v>0</v>
      </c>
      <c r="S69" s="113">
        <v>0</v>
      </c>
      <c r="T69" s="114">
        <f t="shared" si="13"/>
        <v>0</v>
      </c>
      <c r="U69" s="113">
        <v>0</v>
      </c>
      <c r="V69" s="114">
        <f t="shared" si="14"/>
        <v>0</v>
      </c>
      <c r="W69" s="113">
        <v>0</v>
      </c>
      <c r="X69" s="114">
        <f>W69*B69</f>
        <v>0</v>
      </c>
      <c r="Y69" s="113">
        <v>0</v>
      </c>
      <c r="Z69" s="114">
        <f>Y69*B69</f>
        <v>0</v>
      </c>
      <c r="AA69" s="123"/>
    </row>
    <row r="70" spans="1:29" s="1" customFormat="1" ht="17.25" hidden="1" customHeight="1" x14ac:dyDescent="0.15">
      <c r="A70" s="112"/>
      <c r="B70" s="182"/>
      <c r="C70" s="113">
        <v>0</v>
      </c>
      <c r="D70" s="114">
        <f t="shared" ref="D70" si="15">C70*$B$52</f>
        <v>0</v>
      </c>
      <c r="E70" s="113">
        <v>0</v>
      </c>
      <c r="F70" s="114">
        <f t="shared" si="6"/>
        <v>0</v>
      </c>
      <c r="G70" s="113">
        <v>0</v>
      </c>
      <c r="H70" s="114">
        <f t="shared" si="7"/>
        <v>0</v>
      </c>
      <c r="I70" s="113">
        <v>0</v>
      </c>
      <c r="J70" s="114">
        <f t="shared" si="8"/>
        <v>0</v>
      </c>
      <c r="K70" s="113">
        <v>0</v>
      </c>
      <c r="L70" s="114">
        <f t="shared" si="9"/>
        <v>0</v>
      </c>
      <c r="M70" s="113">
        <v>0</v>
      </c>
      <c r="N70" s="114">
        <f t="shared" si="10"/>
        <v>0</v>
      </c>
      <c r="O70" s="113">
        <v>0</v>
      </c>
      <c r="P70" s="114">
        <f t="shared" si="11"/>
        <v>0</v>
      </c>
      <c r="Q70" s="113">
        <v>0</v>
      </c>
      <c r="R70" s="114">
        <f t="shared" si="12"/>
        <v>0</v>
      </c>
      <c r="S70" s="113">
        <v>0</v>
      </c>
      <c r="T70" s="114">
        <f t="shared" si="13"/>
        <v>0</v>
      </c>
      <c r="U70" s="113">
        <v>0</v>
      </c>
      <c r="V70" s="114">
        <f t="shared" si="14"/>
        <v>0</v>
      </c>
      <c r="W70" s="113"/>
      <c r="X70" s="114">
        <f>W70*B70</f>
        <v>0</v>
      </c>
      <c r="Y70" s="113">
        <v>0</v>
      </c>
      <c r="Z70" s="114">
        <f>Y70*B70</f>
        <v>0</v>
      </c>
      <c r="AA70" s="123"/>
    </row>
    <row r="71" spans="1:29" s="1" customFormat="1" ht="13.5" hidden="1" customHeight="1" thickBot="1" x14ac:dyDescent="0.2">
      <c r="A71" s="178"/>
      <c r="B71" s="179"/>
      <c r="C71" s="113">
        <v>0</v>
      </c>
      <c r="D71" s="114">
        <f t="shared" ref="D71" si="16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A71" s="123"/>
    </row>
    <row r="72" spans="1:29" s="1" customFormat="1" ht="13.5" hidden="1" customHeight="1" thickBot="1" x14ac:dyDescent="0.2">
      <c r="A72" s="178"/>
      <c r="B72" s="179"/>
      <c r="C72" s="113">
        <v>0</v>
      </c>
      <c r="D72" s="114">
        <f t="shared" ref="D72" si="17">C72*$B$54</f>
        <v>0</v>
      </c>
      <c r="E72" s="71">
        <v>0</v>
      </c>
      <c r="F72" s="97">
        <f>E72*$B$72</f>
        <v>0</v>
      </c>
      <c r="G72" s="71">
        <v>0</v>
      </c>
      <c r="H72" s="97">
        <f>G72*$B$72</f>
        <v>0</v>
      </c>
      <c r="I72" s="71">
        <v>0</v>
      </c>
      <c r="J72" s="97">
        <f>I72*$B$72</f>
        <v>0</v>
      </c>
      <c r="K72" s="71">
        <v>0</v>
      </c>
      <c r="L72" s="97">
        <f>K72*$B$72</f>
        <v>0</v>
      </c>
      <c r="M72" s="71">
        <v>0</v>
      </c>
      <c r="N72" s="97">
        <f>M72*$B$72</f>
        <v>0</v>
      </c>
      <c r="O72" s="71">
        <v>0</v>
      </c>
      <c r="P72" s="97">
        <f>O72*$B$72</f>
        <v>0</v>
      </c>
      <c r="Q72" s="71">
        <v>0</v>
      </c>
      <c r="R72" s="97">
        <f>Q72*$B$72</f>
        <v>0</v>
      </c>
      <c r="S72" s="71">
        <v>0</v>
      </c>
      <c r="T72" s="97">
        <f>S72*$B$72</f>
        <v>0</v>
      </c>
      <c r="U72" s="71">
        <v>0</v>
      </c>
      <c r="V72" s="97">
        <f>U72*$B$72</f>
        <v>0</v>
      </c>
      <c r="W72" s="71">
        <v>0</v>
      </c>
      <c r="X72" s="97">
        <f>W72*$B$72</f>
        <v>0</v>
      </c>
      <c r="Y72" s="71">
        <v>0</v>
      </c>
      <c r="Z72" s="97">
        <f>Y72*$B$72</f>
        <v>0</v>
      </c>
      <c r="AA72" s="123"/>
    </row>
    <row r="73" spans="1:29" s="1" customFormat="1" ht="13.5" hidden="1" customHeight="1" thickBot="1" x14ac:dyDescent="0.2">
      <c r="A73" s="180"/>
      <c r="B73" s="181"/>
      <c r="C73" s="113">
        <v>0</v>
      </c>
      <c r="D73" s="114">
        <f t="shared" ref="D73" si="18">C73*$B$55</f>
        <v>0</v>
      </c>
      <c r="E73" s="71">
        <v>0</v>
      </c>
      <c r="F73" s="24">
        <f>E73*$B$73</f>
        <v>0</v>
      </c>
      <c r="G73" s="71">
        <v>0</v>
      </c>
      <c r="H73" s="24">
        <f>G73*$B$73</f>
        <v>0</v>
      </c>
      <c r="I73" s="71">
        <v>0</v>
      </c>
      <c r="J73" s="24">
        <f>I73*$B$73</f>
        <v>0</v>
      </c>
      <c r="K73" s="71">
        <v>0</v>
      </c>
      <c r="L73" s="24">
        <f>K73*$B$73</f>
        <v>0</v>
      </c>
      <c r="M73" s="71">
        <v>0</v>
      </c>
      <c r="N73" s="24">
        <f>M73*$B$73</f>
        <v>0</v>
      </c>
      <c r="O73" s="71">
        <v>0</v>
      </c>
      <c r="P73" s="24">
        <f>O73*$B$73</f>
        <v>0</v>
      </c>
      <c r="Q73" s="71">
        <v>0</v>
      </c>
      <c r="R73" s="24">
        <f>Q73*$B$73</f>
        <v>0</v>
      </c>
      <c r="S73" s="71">
        <v>0</v>
      </c>
      <c r="T73" s="24">
        <f>S73*$B$73</f>
        <v>0</v>
      </c>
      <c r="U73" s="71">
        <v>0</v>
      </c>
      <c r="V73" s="24">
        <f>U73*$B$73</f>
        <v>0</v>
      </c>
      <c r="W73" s="71">
        <v>0</v>
      </c>
      <c r="X73" s="24">
        <f>W73*$B$73</f>
        <v>0</v>
      </c>
      <c r="Y73" s="71">
        <v>0</v>
      </c>
      <c r="Z73" s="24">
        <f>Y73*$B$73</f>
        <v>0</v>
      </c>
      <c r="AA73" s="123"/>
    </row>
    <row r="74" spans="1:29" s="1" customFormat="1" ht="13.5" hidden="1" customHeight="1" thickBot="1" x14ac:dyDescent="0.2">
      <c r="A74" s="128"/>
      <c r="B74" s="129"/>
      <c r="C74" s="113">
        <v>0</v>
      </c>
      <c r="D74" s="114">
        <f t="shared" ref="D74:D75" si="19">C74*$B$56</f>
        <v>0</v>
      </c>
      <c r="E74" s="131">
        <v>0</v>
      </c>
      <c r="F74" s="130">
        <f>E74*$B$74</f>
        <v>0</v>
      </c>
      <c r="G74" s="131">
        <v>0</v>
      </c>
      <c r="H74" s="130">
        <f>G74*$B$74</f>
        <v>0</v>
      </c>
      <c r="I74" s="131">
        <v>0</v>
      </c>
      <c r="J74" s="130">
        <f>I74*$B$74</f>
        <v>0</v>
      </c>
      <c r="K74" s="131">
        <v>0</v>
      </c>
      <c r="L74" s="130">
        <f>K74*$B$74</f>
        <v>0</v>
      </c>
      <c r="M74" s="131">
        <v>0</v>
      </c>
      <c r="N74" s="130">
        <f>M74*$B$74</f>
        <v>0</v>
      </c>
      <c r="O74" s="131">
        <v>0</v>
      </c>
      <c r="P74" s="130">
        <f>O74*$B$74</f>
        <v>0</v>
      </c>
      <c r="Q74" s="131">
        <v>0</v>
      </c>
      <c r="R74" s="130">
        <f>Q74*$B$74</f>
        <v>0</v>
      </c>
      <c r="S74" s="131">
        <v>0</v>
      </c>
      <c r="T74" s="130">
        <f>S74*$B$74</f>
        <v>0</v>
      </c>
      <c r="U74" s="131">
        <v>0</v>
      </c>
      <c r="V74" s="130">
        <f>U74*$B$74</f>
        <v>0</v>
      </c>
      <c r="W74" s="76">
        <v>0</v>
      </c>
      <c r="X74" s="130">
        <f>W74*$B$74</f>
        <v>0</v>
      </c>
      <c r="Y74" s="76">
        <v>0</v>
      </c>
      <c r="Z74" s="130">
        <f>Y74*$B$74</f>
        <v>0</v>
      </c>
      <c r="AA74" s="123"/>
    </row>
    <row r="75" spans="1:29" ht="18.75" hidden="1" customHeight="1" x14ac:dyDescent="0.15">
      <c r="A75" s="112"/>
      <c r="B75" s="182"/>
      <c r="C75" s="113">
        <v>0</v>
      </c>
      <c r="D75" s="114">
        <f t="shared" si="19"/>
        <v>0</v>
      </c>
      <c r="E75" s="115">
        <v>0</v>
      </c>
      <c r="F75" s="114">
        <f>E75*$B$45</f>
        <v>0</v>
      </c>
      <c r="G75" s="115">
        <v>0</v>
      </c>
      <c r="H75" s="114">
        <f>G75*$B$45</f>
        <v>0</v>
      </c>
      <c r="I75" s="115">
        <v>0</v>
      </c>
      <c r="J75" s="114">
        <f>I75*$B$45</f>
        <v>0</v>
      </c>
      <c r="K75" s="115">
        <v>0</v>
      </c>
      <c r="L75" s="114">
        <f>K75*$B$45</f>
        <v>0</v>
      </c>
      <c r="M75" s="115">
        <v>0</v>
      </c>
      <c r="N75" s="114">
        <f>M75*$B$45</f>
        <v>0</v>
      </c>
      <c r="O75" s="115">
        <v>0</v>
      </c>
      <c r="P75" s="114">
        <f>O75*$B$45</f>
        <v>0</v>
      </c>
      <c r="Q75" s="115">
        <v>0</v>
      </c>
      <c r="R75" s="114">
        <f>Q75*$B$45</f>
        <v>0</v>
      </c>
      <c r="S75" s="115">
        <v>0</v>
      </c>
      <c r="T75" s="114">
        <f>S75*$B$45</f>
        <v>0</v>
      </c>
      <c r="U75" s="115">
        <v>0</v>
      </c>
      <c r="V75" s="114">
        <f>U75*$B$45</f>
        <v>0</v>
      </c>
      <c r="W75" s="113">
        <v>0</v>
      </c>
      <c r="X75" s="114">
        <f>W75*$B$45</f>
        <v>0</v>
      </c>
      <c r="Y75" s="113">
        <v>0</v>
      </c>
      <c r="Z75" s="114">
        <f>Y75*$B$45</f>
        <v>0</v>
      </c>
    </row>
    <row r="76" spans="1:29" ht="18.75" hidden="1" customHeight="1" x14ac:dyDescent="0.15">
      <c r="A76" s="112"/>
      <c r="B76" s="182"/>
      <c r="C76" s="113">
        <v>0</v>
      </c>
      <c r="D76" s="114">
        <f t="shared" ref="D76" si="20">C76*$B$58</f>
        <v>0</v>
      </c>
      <c r="E76" s="115">
        <v>0</v>
      </c>
      <c r="F76" s="114">
        <f>E76*$B$46</f>
        <v>0</v>
      </c>
      <c r="G76" s="115">
        <v>0</v>
      </c>
      <c r="H76" s="114">
        <f>G76*$B$46</f>
        <v>0</v>
      </c>
      <c r="I76" s="115">
        <v>0</v>
      </c>
      <c r="J76" s="114">
        <f>I76*$B$46</f>
        <v>0</v>
      </c>
      <c r="K76" s="115">
        <v>0</v>
      </c>
      <c r="L76" s="114">
        <f>K76*$B$46</f>
        <v>0</v>
      </c>
      <c r="M76" s="115">
        <v>0</v>
      </c>
      <c r="N76" s="114">
        <f>M76*$B$46</f>
        <v>0</v>
      </c>
      <c r="O76" s="115">
        <v>0</v>
      </c>
      <c r="P76" s="114">
        <f>O76*$B$46</f>
        <v>0</v>
      </c>
      <c r="Q76" s="115">
        <v>0</v>
      </c>
      <c r="R76" s="114">
        <f>Q76*$B$45</f>
        <v>0</v>
      </c>
      <c r="S76" s="115">
        <v>0</v>
      </c>
      <c r="T76" s="114">
        <f>S76*$B$45</f>
        <v>0</v>
      </c>
      <c r="U76" s="115">
        <v>0</v>
      </c>
      <c r="V76" s="114">
        <f>U76*$B$45</f>
        <v>0</v>
      </c>
      <c r="W76" s="113">
        <v>0</v>
      </c>
      <c r="X76" s="114">
        <f>W76*$B$46</f>
        <v>0</v>
      </c>
      <c r="Y76" s="113">
        <v>0</v>
      </c>
      <c r="Z76" s="114">
        <f>Y76*$B$46</f>
        <v>0</v>
      </c>
    </row>
    <row r="77" spans="1:29" ht="18.75" hidden="1" customHeight="1" x14ac:dyDescent="0.15">
      <c r="A77" s="112"/>
      <c r="B77" s="182"/>
      <c r="C77" s="113">
        <v>0</v>
      </c>
      <c r="D77" s="114">
        <f t="shared" ref="D77" si="21">C77*$B$59</f>
        <v>0</v>
      </c>
      <c r="E77" s="115">
        <v>0</v>
      </c>
      <c r="F77" s="114">
        <f>E77*$B$47</f>
        <v>0</v>
      </c>
      <c r="G77" s="115">
        <v>0</v>
      </c>
      <c r="H77" s="114">
        <f>G77*$B$47</f>
        <v>0</v>
      </c>
      <c r="I77" s="115">
        <v>0</v>
      </c>
      <c r="J77" s="114">
        <f>I77*$B$47</f>
        <v>0</v>
      </c>
      <c r="K77" s="115">
        <v>0</v>
      </c>
      <c r="L77" s="114">
        <f>K77*$B$47</f>
        <v>0</v>
      </c>
      <c r="M77" s="115">
        <v>0</v>
      </c>
      <c r="N77" s="114">
        <f>M77*$B$47</f>
        <v>0</v>
      </c>
      <c r="O77" s="115">
        <v>0</v>
      </c>
      <c r="P77" s="114">
        <f>O77*$B$47</f>
        <v>0</v>
      </c>
      <c r="Q77" s="115">
        <v>0</v>
      </c>
      <c r="R77" s="114">
        <f>Q77*$B$47</f>
        <v>0</v>
      </c>
      <c r="S77" s="115">
        <v>0</v>
      </c>
      <c r="T77" s="114">
        <f>S77*$B$47</f>
        <v>0</v>
      </c>
      <c r="U77" s="115">
        <v>0</v>
      </c>
      <c r="V77" s="114">
        <f>U77*$B$47</f>
        <v>0</v>
      </c>
      <c r="W77" s="113">
        <v>0</v>
      </c>
      <c r="X77" s="114">
        <f>W77*$B$47</f>
        <v>0</v>
      </c>
      <c r="Y77" s="113">
        <v>0</v>
      </c>
      <c r="Z77" s="114">
        <f>Y77*$B$47</f>
        <v>0</v>
      </c>
    </row>
    <row r="78" spans="1:29" ht="18.75" hidden="1" customHeight="1" x14ac:dyDescent="0.15">
      <c r="A78" s="112"/>
      <c r="B78" s="182"/>
      <c r="C78" s="113">
        <v>0</v>
      </c>
      <c r="D78" s="114">
        <f t="shared" ref="D78" si="22">C78*$B$60</f>
        <v>0</v>
      </c>
      <c r="E78" s="115">
        <v>0</v>
      </c>
      <c r="F78" s="114">
        <f>E78*$B$48</f>
        <v>0</v>
      </c>
      <c r="G78" s="115">
        <v>0</v>
      </c>
      <c r="H78" s="114">
        <f>G78*$B$48</f>
        <v>0</v>
      </c>
      <c r="I78" s="115">
        <v>0</v>
      </c>
      <c r="J78" s="114">
        <f>I78*$B$48</f>
        <v>0</v>
      </c>
      <c r="K78" s="115">
        <v>0</v>
      </c>
      <c r="L78" s="114">
        <f>K78*$B$48</f>
        <v>0</v>
      </c>
      <c r="M78" s="115">
        <v>0</v>
      </c>
      <c r="N78" s="114">
        <f>M78*$B$48</f>
        <v>0</v>
      </c>
      <c r="O78" s="115">
        <v>0</v>
      </c>
      <c r="P78" s="114">
        <f>O78*$B$48</f>
        <v>0</v>
      </c>
      <c r="Q78" s="115">
        <v>0</v>
      </c>
      <c r="R78" s="114">
        <f>Q78*$B$48</f>
        <v>0</v>
      </c>
      <c r="S78" s="115">
        <v>0</v>
      </c>
      <c r="T78" s="114">
        <f>S78*$B$48</f>
        <v>0</v>
      </c>
      <c r="U78" s="115">
        <v>0</v>
      </c>
      <c r="V78" s="114">
        <f>U78*$B$48</f>
        <v>0</v>
      </c>
      <c r="W78" s="113">
        <v>1</v>
      </c>
      <c r="X78" s="114">
        <f>W78*$B$48</f>
        <v>0</v>
      </c>
      <c r="Y78" s="113">
        <v>1</v>
      </c>
      <c r="Z78" s="114">
        <f>Y78*$B$48</f>
        <v>0</v>
      </c>
    </row>
    <row r="79" spans="1:29" ht="14" hidden="1" x14ac:dyDescent="0.15">
      <c r="A79" s="112"/>
      <c r="B79" s="182"/>
      <c r="C79" s="113">
        <v>0</v>
      </c>
      <c r="D79" s="114">
        <f t="shared" ref="D79" si="23">C79*$B$61</f>
        <v>0</v>
      </c>
      <c r="E79" s="115">
        <v>0</v>
      </c>
      <c r="F79" s="114">
        <f>E79*$B$48</f>
        <v>0</v>
      </c>
      <c r="G79" s="115">
        <v>0</v>
      </c>
      <c r="H79" s="114">
        <f>G79*$B$48</f>
        <v>0</v>
      </c>
      <c r="I79" s="115">
        <v>0</v>
      </c>
      <c r="J79" s="114">
        <f>I79*$B$48</f>
        <v>0</v>
      </c>
      <c r="K79" s="115">
        <v>0</v>
      </c>
      <c r="L79" s="114">
        <f>K79*$B$48</f>
        <v>0</v>
      </c>
      <c r="M79" s="115">
        <v>0</v>
      </c>
      <c r="N79" s="114">
        <f>M79*$B$48</f>
        <v>0</v>
      </c>
      <c r="O79" s="115">
        <v>0</v>
      </c>
      <c r="P79" s="114">
        <f>O79*$B$48</f>
        <v>0</v>
      </c>
      <c r="Q79" s="115">
        <v>0</v>
      </c>
      <c r="R79" s="114">
        <f>Q79*$B$48</f>
        <v>0</v>
      </c>
      <c r="S79" s="115">
        <v>0</v>
      </c>
      <c r="T79" s="114">
        <f>S79*$B$48</f>
        <v>0</v>
      </c>
      <c r="U79" s="115">
        <v>0</v>
      </c>
      <c r="V79" s="114">
        <f>U79*$B$48</f>
        <v>0</v>
      </c>
      <c r="W79" s="113">
        <v>0</v>
      </c>
      <c r="X79" s="114">
        <f>W79*$B$48</f>
        <v>0</v>
      </c>
      <c r="Y79" s="113">
        <v>0</v>
      </c>
      <c r="Z79" s="114">
        <f>Y79*$B$48</f>
        <v>0</v>
      </c>
      <c r="AC79" s="99"/>
    </row>
    <row r="80" spans="1:29" ht="15" hidden="1" customHeight="1" x14ac:dyDescent="0.15">
      <c r="A80" s="112"/>
      <c r="B80" s="182"/>
      <c r="C80" s="113">
        <v>0</v>
      </c>
      <c r="D80" s="117">
        <f t="shared" ref="D80" si="24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</row>
    <row r="81" spans="1:27" ht="15" hidden="1" customHeight="1" x14ac:dyDescent="0.15">
      <c r="A81" s="112"/>
      <c r="B81" s="182"/>
      <c r="C81" s="113">
        <v>0</v>
      </c>
      <c r="D81" s="114">
        <f t="shared" ref="D81" si="25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</row>
    <row r="82" spans="1:27" ht="15" hidden="1" customHeight="1" x14ac:dyDescent="0.15">
      <c r="A82" s="112"/>
      <c r="B82" s="182"/>
      <c r="C82" s="113">
        <v>0</v>
      </c>
      <c r="D82" s="117">
        <f t="shared" ref="D82" si="26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</row>
    <row r="83" spans="1:27" ht="15" hidden="1" customHeight="1" x14ac:dyDescent="0.15">
      <c r="A83" s="116"/>
      <c r="B83" s="182"/>
      <c r="C83" s="113">
        <v>0</v>
      </c>
      <c r="D83" s="114">
        <f t="shared" ref="D83" si="27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</row>
    <row r="84" spans="1:27" ht="15" hidden="1" customHeight="1" x14ac:dyDescent="0.15">
      <c r="A84" s="116"/>
      <c r="B84" s="182"/>
      <c r="C84" s="113">
        <v>0</v>
      </c>
      <c r="D84" s="114">
        <f t="shared" ref="D84" si="28">C84*$B$66</f>
        <v>0</v>
      </c>
      <c r="E84" s="115">
        <v>0</v>
      </c>
      <c r="F84" s="114">
        <f>E84*$B$56</f>
        <v>0</v>
      </c>
      <c r="G84" s="115">
        <v>0</v>
      </c>
      <c r="H84" s="114">
        <f>G84*$B$56</f>
        <v>0</v>
      </c>
      <c r="I84" s="115">
        <v>0</v>
      </c>
      <c r="J84" s="114">
        <f>I84*$B$56</f>
        <v>0</v>
      </c>
      <c r="K84" s="115">
        <v>0</v>
      </c>
      <c r="L84" s="114">
        <f>K84*$B$56</f>
        <v>0</v>
      </c>
      <c r="M84" s="115">
        <v>0</v>
      </c>
      <c r="N84" s="114">
        <f>M84*$B$56</f>
        <v>0</v>
      </c>
      <c r="O84" s="115">
        <v>0</v>
      </c>
      <c r="P84" s="114">
        <f>O84*$B$56</f>
        <v>0</v>
      </c>
      <c r="Q84" s="115">
        <v>0</v>
      </c>
      <c r="R84" s="114">
        <f>Q84*$B$56</f>
        <v>0</v>
      </c>
      <c r="S84" s="115">
        <v>0</v>
      </c>
      <c r="T84" s="114">
        <f>S84*$B$56</f>
        <v>0</v>
      </c>
      <c r="U84" s="115">
        <v>0</v>
      </c>
      <c r="V84" s="114">
        <f>U84*$B$56</f>
        <v>0</v>
      </c>
      <c r="W84" s="113">
        <v>0</v>
      </c>
      <c r="X84" s="114">
        <f>W84*$B$56</f>
        <v>0</v>
      </c>
      <c r="Y84" s="113">
        <v>0</v>
      </c>
      <c r="Z84" s="114">
        <f>Y84*$B$56</f>
        <v>0</v>
      </c>
    </row>
    <row r="85" spans="1:27" ht="15" hidden="1" customHeight="1" x14ac:dyDescent="0.15">
      <c r="A85" s="116"/>
      <c r="B85" s="182"/>
      <c r="C85" s="113">
        <v>0</v>
      </c>
      <c r="D85" s="114">
        <f t="shared" ref="D85" si="29">C85*$B$67</f>
        <v>0</v>
      </c>
      <c r="E85" s="115">
        <v>0</v>
      </c>
      <c r="F85" s="114">
        <f>E85*$B$56</f>
        <v>0</v>
      </c>
      <c r="G85" s="115">
        <v>0</v>
      </c>
      <c r="H85" s="114">
        <f>G85*$B$56</f>
        <v>0</v>
      </c>
      <c r="I85" s="115">
        <v>0</v>
      </c>
      <c r="J85" s="114">
        <f>I85*$B$56</f>
        <v>0</v>
      </c>
      <c r="K85" s="115">
        <v>0</v>
      </c>
      <c r="L85" s="114">
        <f>K85*$B$56</f>
        <v>0</v>
      </c>
      <c r="M85" s="115">
        <v>0</v>
      </c>
      <c r="N85" s="114">
        <f>M85*$B$56</f>
        <v>0</v>
      </c>
      <c r="O85" s="115">
        <v>0</v>
      </c>
      <c r="P85" s="114">
        <f>O85*$B$56</f>
        <v>0</v>
      </c>
      <c r="Q85" s="115">
        <v>0</v>
      </c>
      <c r="R85" s="114">
        <f>Q85*$B$56</f>
        <v>0</v>
      </c>
      <c r="S85" s="115">
        <v>0</v>
      </c>
      <c r="T85" s="114">
        <f>S85*$B$56</f>
        <v>0</v>
      </c>
      <c r="U85" s="115">
        <v>0</v>
      </c>
      <c r="V85" s="114">
        <f>U85*$B$56</f>
        <v>0</v>
      </c>
      <c r="W85" s="113">
        <v>0</v>
      </c>
      <c r="X85" s="114">
        <f>W85*$B$56</f>
        <v>0</v>
      </c>
      <c r="Y85" s="113">
        <v>0</v>
      </c>
      <c r="Z85" s="114">
        <f>Y85*$B$56</f>
        <v>0</v>
      </c>
    </row>
    <row r="86" spans="1:27" ht="15" hidden="1" customHeight="1" x14ac:dyDescent="0.15">
      <c r="A86" s="116"/>
      <c r="B86" s="182"/>
      <c r="C86" s="113">
        <v>0</v>
      </c>
      <c r="D86" s="114">
        <f t="shared" ref="D86" si="30">C86*$B$70</f>
        <v>0</v>
      </c>
      <c r="E86" s="115">
        <v>0</v>
      </c>
      <c r="F86" s="114">
        <f>E86*$B$54</f>
        <v>0</v>
      </c>
      <c r="G86" s="115">
        <v>0</v>
      </c>
      <c r="H86" s="114">
        <f>G86*$B$54</f>
        <v>0</v>
      </c>
      <c r="I86" s="115">
        <v>0</v>
      </c>
      <c r="J86" s="114">
        <f>I86*$B$54</f>
        <v>0</v>
      </c>
      <c r="K86" s="115">
        <v>0</v>
      </c>
      <c r="L86" s="114">
        <f>K86*$B$54</f>
        <v>0</v>
      </c>
      <c r="M86" s="115">
        <v>0</v>
      </c>
      <c r="N86" s="114">
        <f>M86*$B$54</f>
        <v>0</v>
      </c>
      <c r="O86" s="115">
        <v>0</v>
      </c>
      <c r="P86" s="114">
        <f>O86*$B$54</f>
        <v>0</v>
      </c>
      <c r="Q86" s="115">
        <v>0</v>
      </c>
      <c r="R86" s="114">
        <f>Q86*$B$54</f>
        <v>0</v>
      </c>
      <c r="S86" s="115">
        <v>0</v>
      </c>
      <c r="T86" s="114">
        <f>S86*$B$54</f>
        <v>0</v>
      </c>
      <c r="U86" s="115">
        <v>0</v>
      </c>
      <c r="V86" s="114">
        <f>U86*$B$54</f>
        <v>0</v>
      </c>
      <c r="W86" s="113">
        <v>0</v>
      </c>
      <c r="X86" s="114">
        <f>W86*$B$54</f>
        <v>0</v>
      </c>
      <c r="Y86" s="113">
        <v>0</v>
      </c>
      <c r="Z86" s="114">
        <f>Y86*$B$54</f>
        <v>0</v>
      </c>
    </row>
    <row r="87" spans="1:27" ht="15" hidden="1" customHeight="1" x14ac:dyDescent="0.15">
      <c r="A87" s="116"/>
      <c r="B87" s="182"/>
      <c r="C87" s="113">
        <v>0</v>
      </c>
      <c r="D87" s="114">
        <f t="shared" ref="D87" si="31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</row>
    <row r="88" spans="1:27" ht="15" hidden="1" customHeight="1" x14ac:dyDescent="0.15">
      <c r="A88" s="116"/>
      <c r="B88" s="182"/>
      <c r="C88" s="113">
        <v>0</v>
      </c>
      <c r="D88" s="114">
        <f t="shared" ref="D88" si="32">C88*$B$52</f>
        <v>0</v>
      </c>
      <c r="E88" s="115">
        <v>0</v>
      </c>
      <c r="F88" s="114">
        <f>E88*$B$59</f>
        <v>0</v>
      </c>
      <c r="G88" s="115">
        <v>0</v>
      </c>
      <c r="H88" s="114">
        <f>G88*$B$59</f>
        <v>0</v>
      </c>
      <c r="I88" s="115">
        <v>0</v>
      </c>
      <c r="J88" s="114">
        <f>I88*$B$59</f>
        <v>0</v>
      </c>
      <c r="K88" s="115">
        <v>0</v>
      </c>
      <c r="L88" s="114">
        <f>K88*$B$59</f>
        <v>0</v>
      </c>
      <c r="M88" s="115">
        <v>0</v>
      </c>
      <c r="N88" s="114">
        <f>M88*$B$59</f>
        <v>0</v>
      </c>
      <c r="O88" s="115">
        <v>0</v>
      </c>
      <c r="P88" s="114">
        <f>O88*$B$59</f>
        <v>0</v>
      </c>
      <c r="Q88" s="115">
        <v>0</v>
      </c>
      <c r="R88" s="114">
        <f>Q88*$B$59</f>
        <v>0</v>
      </c>
      <c r="S88" s="115">
        <v>0</v>
      </c>
      <c r="T88" s="114">
        <f>S88*$B$59</f>
        <v>0</v>
      </c>
      <c r="U88" s="115">
        <v>0</v>
      </c>
      <c r="V88" s="114">
        <f>U88*$B$59</f>
        <v>0</v>
      </c>
      <c r="W88" s="113">
        <v>0</v>
      </c>
      <c r="X88" s="114">
        <f>W88*$B$59</f>
        <v>0</v>
      </c>
      <c r="Y88" s="113">
        <v>0</v>
      </c>
      <c r="Z88" s="114">
        <f>Y88*$B$59</f>
        <v>0</v>
      </c>
    </row>
    <row r="89" spans="1:27" ht="15" hidden="1" customHeight="1" x14ac:dyDescent="0.15">
      <c r="A89" s="116"/>
      <c r="B89" s="182"/>
      <c r="C89" s="113">
        <v>0</v>
      </c>
      <c r="D89" s="114">
        <f t="shared" ref="D89" si="33">C89*$B$53</f>
        <v>0</v>
      </c>
      <c r="E89" s="115">
        <v>0</v>
      </c>
      <c r="F89" s="114">
        <f>E89*$B$61</f>
        <v>0</v>
      </c>
      <c r="G89" s="115">
        <v>0</v>
      </c>
      <c r="H89" s="114">
        <f>G89*$B$61</f>
        <v>0</v>
      </c>
      <c r="I89" s="115">
        <v>0</v>
      </c>
      <c r="J89" s="114">
        <f>I89*$B$61</f>
        <v>0</v>
      </c>
      <c r="K89" s="115">
        <v>0</v>
      </c>
      <c r="L89" s="114">
        <f>K89*$B$61</f>
        <v>0</v>
      </c>
      <c r="M89" s="115">
        <v>0</v>
      </c>
      <c r="N89" s="114">
        <f>M89*$B$61</f>
        <v>0</v>
      </c>
      <c r="O89" s="115">
        <v>0</v>
      </c>
      <c r="P89" s="114">
        <f>O89*$B$61</f>
        <v>0</v>
      </c>
      <c r="Q89" s="115">
        <v>0</v>
      </c>
      <c r="R89" s="114">
        <f>Q89*$B$61</f>
        <v>0</v>
      </c>
      <c r="S89" s="115">
        <v>0</v>
      </c>
      <c r="T89" s="114">
        <f>S89*$B$61</f>
        <v>0</v>
      </c>
      <c r="U89" s="115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</row>
    <row r="90" spans="1:27" s="1" customFormat="1" ht="15" hidden="1" customHeight="1" x14ac:dyDescent="0.15">
      <c r="A90" s="116"/>
      <c r="B90" s="182"/>
      <c r="C90" s="113">
        <v>0</v>
      </c>
      <c r="D90" s="114">
        <f t="shared" ref="D90" si="34">C90*$B$54</f>
        <v>0</v>
      </c>
      <c r="E90" s="115">
        <v>0</v>
      </c>
      <c r="F90" s="117">
        <f>E90*$B$62</f>
        <v>0</v>
      </c>
      <c r="G90" s="115">
        <v>0</v>
      </c>
      <c r="H90" s="117">
        <f>G90*$B$62</f>
        <v>0</v>
      </c>
      <c r="I90" s="115">
        <v>0</v>
      </c>
      <c r="J90" s="117">
        <f>I90*$B$62</f>
        <v>0</v>
      </c>
      <c r="K90" s="115">
        <v>0</v>
      </c>
      <c r="L90" s="117">
        <f>K90*$B$62</f>
        <v>0</v>
      </c>
      <c r="M90" s="115">
        <v>0</v>
      </c>
      <c r="N90" s="117">
        <f>M90*$B$62</f>
        <v>0</v>
      </c>
      <c r="O90" s="115">
        <v>0</v>
      </c>
      <c r="P90" s="117">
        <f>O90*$B$62</f>
        <v>0</v>
      </c>
      <c r="Q90" s="115">
        <v>0</v>
      </c>
      <c r="R90" s="117">
        <f>Q90*$B$62</f>
        <v>0</v>
      </c>
      <c r="S90" s="115">
        <v>0</v>
      </c>
      <c r="T90" s="117">
        <f>S90*$B$62</f>
        <v>0</v>
      </c>
      <c r="U90" s="115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A90" s="123"/>
    </row>
    <row r="91" spans="1:27" s="1" customFormat="1" ht="15" hidden="1" customHeight="1" x14ac:dyDescent="0.15">
      <c r="A91" s="118"/>
      <c r="B91" s="182"/>
      <c r="C91" s="113">
        <v>0</v>
      </c>
      <c r="D91" s="114">
        <f t="shared" ref="D91" si="35">C91*$B$55</f>
        <v>0</v>
      </c>
      <c r="E91" s="113">
        <v>0</v>
      </c>
      <c r="F91" s="114">
        <f>E91*$B$63</f>
        <v>0</v>
      </c>
      <c r="G91" s="113">
        <v>0</v>
      </c>
      <c r="H91" s="114">
        <f>G91*$B$63</f>
        <v>0</v>
      </c>
      <c r="I91" s="113">
        <v>0</v>
      </c>
      <c r="J91" s="114">
        <f>I91*$B$63</f>
        <v>0</v>
      </c>
      <c r="K91" s="113">
        <v>0</v>
      </c>
      <c r="L91" s="114">
        <f>K91*$B$63</f>
        <v>0</v>
      </c>
      <c r="M91" s="113">
        <v>0</v>
      </c>
      <c r="N91" s="114">
        <f>M91*$B$63</f>
        <v>0</v>
      </c>
      <c r="O91" s="113">
        <v>0</v>
      </c>
      <c r="P91" s="114">
        <f>O91*$B$63</f>
        <v>0</v>
      </c>
      <c r="Q91" s="113">
        <v>0</v>
      </c>
      <c r="R91" s="114">
        <f>Q91*$B$63</f>
        <v>0</v>
      </c>
      <c r="S91" s="113">
        <v>0</v>
      </c>
      <c r="T91" s="114">
        <f>S91*$B$63</f>
        <v>0</v>
      </c>
      <c r="U91" s="113">
        <v>0</v>
      </c>
      <c r="V91" s="114">
        <f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A91" s="123"/>
    </row>
    <row r="92" spans="1:27" s="1" customFormat="1" ht="15" hidden="1" customHeight="1" x14ac:dyDescent="0.15">
      <c r="A92" s="119"/>
      <c r="B92" s="182"/>
      <c r="C92" s="113">
        <v>0</v>
      </c>
      <c r="D92" s="114">
        <f t="shared" ref="D92:D93" si="36">C92*$B$56</f>
        <v>0</v>
      </c>
      <c r="E92" s="113">
        <v>0</v>
      </c>
      <c r="F92" s="117">
        <f>E92*$B$64</f>
        <v>0</v>
      </c>
      <c r="G92" s="113">
        <v>0</v>
      </c>
      <c r="H92" s="117">
        <f>G92*$B$64</f>
        <v>0</v>
      </c>
      <c r="I92" s="113">
        <v>0</v>
      </c>
      <c r="J92" s="117">
        <f>I92*$B$64</f>
        <v>0</v>
      </c>
      <c r="K92" s="113">
        <v>0</v>
      </c>
      <c r="L92" s="117">
        <f>K92*$B$64</f>
        <v>0</v>
      </c>
      <c r="M92" s="113">
        <v>0</v>
      </c>
      <c r="N92" s="117">
        <f>M92*$B$64</f>
        <v>0</v>
      </c>
      <c r="O92" s="113">
        <v>0</v>
      </c>
      <c r="P92" s="117">
        <f>O92*$B$64</f>
        <v>0</v>
      </c>
      <c r="Q92" s="113">
        <v>0</v>
      </c>
      <c r="R92" s="117">
        <f>Q92*$B$64</f>
        <v>0</v>
      </c>
      <c r="S92" s="113">
        <v>0</v>
      </c>
      <c r="T92" s="117">
        <f>S92*$B$64</f>
        <v>0</v>
      </c>
      <c r="U92" s="113">
        <v>0</v>
      </c>
      <c r="V92" s="117">
        <f>U92*$B$64</f>
        <v>0</v>
      </c>
      <c r="W92" s="113">
        <v>0</v>
      </c>
      <c r="X92" s="117">
        <f>W92*$B$64</f>
        <v>0</v>
      </c>
      <c r="Y92" s="113">
        <v>0</v>
      </c>
      <c r="Z92" s="117">
        <f>Y92*$B$64</f>
        <v>0</v>
      </c>
      <c r="AA92" s="123"/>
    </row>
    <row r="93" spans="1:27" s="1" customFormat="1" ht="15" hidden="1" customHeight="1" x14ac:dyDescent="0.15">
      <c r="A93" s="119"/>
      <c r="B93" s="182"/>
      <c r="C93" s="113">
        <v>0</v>
      </c>
      <c r="D93" s="114">
        <f t="shared" si="36"/>
        <v>0</v>
      </c>
      <c r="E93" s="113">
        <v>0</v>
      </c>
      <c r="F93" s="114">
        <f t="shared" ref="F93:F96" si="37">E93*$B$65</f>
        <v>0</v>
      </c>
      <c r="G93" s="113">
        <v>0</v>
      </c>
      <c r="H93" s="114">
        <f t="shared" ref="H93:H96" si="38">G93*$B$65</f>
        <v>0</v>
      </c>
      <c r="I93" s="113">
        <v>0</v>
      </c>
      <c r="J93" s="114">
        <f t="shared" ref="J93:J96" si="39">I93*$B$65</f>
        <v>0</v>
      </c>
      <c r="K93" s="113">
        <v>0</v>
      </c>
      <c r="L93" s="114">
        <f t="shared" ref="L93:L96" si="40">K93*$B$65</f>
        <v>0</v>
      </c>
      <c r="M93" s="113">
        <v>0</v>
      </c>
      <c r="N93" s="114">
        <f t="shared" ref="N93:N96" si="41">M93*$B$65</f>
        <v>0</v>
      </c>
      <c r="O93" s="113">
        <v>0</v>
      </c>
      <c r="P93" s="114">
        <f t="shared" ref="P93:P96" si="42">O93*$B$65</f>
        <v>0</v>
      </c>
      <c r="Q93" s="113">
        <v>0</v>
      </c>
      <c r="R93" s="114">
        <f t="shared" ref="R93:R96" si="43">Q93*$B$65</f>
        <v>0</v>
      </c>
      <c r="S93" s="113">
        <v>0</v>
      </c>
      <c r="T93" s="114">
        <f t="shared" ref="T93:T96" si="44">S93*$B$65</f>
        <v>0</v>
      </c>
      <c r="U93" s="113">
        <v>0</v>
      </c>
      <c r="V93" s="114">
        <f t="shared" ref="V93:V96" si="45">U93*$B$65</f>
        <v>0</v>
      </c>
      <c r="W93" s="113">
        <v>0</v>
      </c>
      <c r="X93" s="114">
        <f>W93*$B$65</f>
        <v>0</v>
      </c>
      <c r="Y93" s="113">
        <v>0</v>
      </c>
      <c r="Z93" s="114">
        <f>Y93*$B$65</f>
        <v>0</v>
      </c>
      <c r="AA93" s="123"/>
    </row>
    <row r="94" spans="1:27" s="1" customFormat="1" ht="15" hidden="1" customHeight="1" x14ac:dyDescent="0.15">
      <c r="A94" s="119"/>
      <c r="B94" s="182"/>
      <c r="C94" s="113">
        <v>0</v>
      </c>
      <c r="D94" s="114">
        <f t="shared" ref="D94" si="46">C94*$B$58</f>
        <v>0</v>
      </c>
      <c r="E94" s="113">
        <v>0</v>
      </c>
      <c r="F94" s="114">
        <f t="shared" si="37"/>
        <v>0</v>
      </c>
      <c r="G94" s="113">
        <v>0</v>
      </c>
      <c r="H94" s="114">
        <f t="shared" si="38"/>
        <v>0</v>
      </c>
      <c r="I94" s="113">
        <v>0</v>
      </c>
      <c r="J94" s="114">
        <f t="shared" si="39"/>
        <v>0</v>
      </c>
      <c r="K94" s="113">
        <v>0</v>
      </c>
      <c r="L94" s="114">
        <f t="shared" si="40"/>
        <v>0</v>
      </c>
      <c r="M94" s="113">
        <v>0</v>
      </c>
      <c r="N94" s="114">
        <f t="shared" si="41"/>
        <v>0</v>
      </c>
      <c r="O94" s="113">
        <v>0</v>
      </c>
      <c r="P94" s="114">
        <f t="shared" si="42"/>
        <v>0</v>
      </c>
      <c r="Q94" s="113">
        <v>0</v>
      </c>
      <c r="R94" s="114">
        <f t="shared" si="43"/>
        <v>0</v>
      </c>
      <c r="S94" s="113">
        <v>0</v>
      </c>
      <c r="T94" s="114">
        <f t="shared" si="44"/>
        <v>0</v>
      </c>
      <c r="U94" s="113">
        <v>0</v>
      </c>
      <c r="V94" s="114">
        <f t="shared" si="45"/>
        <v>0</v>
      </c>
      <c r="W94" s="113">
        <v>0</v>
      </c>
      <c r="X94" s="114">
        <f>W94*$B$65</f>
        <v>0</v>
      </c>
      <c r="Y94" s="113">
        <v>0</v>
      </c>
      <c r="Z94" s="114">
        <f>Y94*$B$65</f>
        <v>0</v>
      </c>
      <c r="AA94" s="123"/>
    </row>
    <row r="95" spans="1:27" s="1" customFormat="1" ht="15" hidden="1" customHeight="1" x14ac:dyDescent="0.15">
      <c r="A95" s="119"/>
      <c r="B95" s="182"/>
      <c r="C95" s="113">
        <v>0</v>
      </c>
      <c r="D95" s="114">
        <f t="shared" ref="D95" si="47">C95*$B$59</f>
        <v>0</v>
      </c>
      <c r="E95" s="113">
        <v>0</v>
      </c>
      <c r="F95" s="114">
        <f t="shared" si="37"/>
        <v>0</v>
      </c>
      <c r="G95" s="113">
        <v>0</v>
      </c>
      <c r="H95" s="114">
        <f t="shared" si="38"/>
        <v>0</v>
      </c>
      <c r="I95" s="113">
        <v>0</v>
      </c>
      <c r="J95" s="114">
        <f t="shared" si="39"/>
        <v>0</v>
      </c>
      <c r="K95" s="113">
        <v>0</v>
      </c>
      <c r="L95" s="114">
        <f t="shared" si="40"/>
        <v>0</v>
      </c>
      <c r="M95" s="113">
        <v>0</v>
      </c>
      <c r="N95" s="114">
        <f t="shared" si="41"/>
        <v>0</v>
      </c>
      <c r="O95" s="113">
        <v>0</v>
      </c>
      <c r="P95" s="114">
        <f t="shared" si="42"/>
        <v>0</v>
      </c>
      <c r="Q95" s="113">
        <v>0</v>
      </c>
      <c r="R95" s="114">
        <f t="shared" si="43"/>
        <v>0</v>
      </c>
      <c r="S95" s="113">
        <v>0</v>
      </c>
      <c r="T95" s="114">
        <f t="shared" si="44"/>
        <v>0</v>
      </c>
      <c r="U95" s="113">
        <v>0</v>
      </c>
      <c r="V95" s="114">
        <f t="shared" si="45"/>
        <v>0</v>
      </c>
      <c r="W95" s="113">
        <v>0</v>
      </c>
      <c r="X95" s="114">
        <f>W95*$B$65</f>
        <v>0</v>
      </c>
      <c r="Y95" s="113">
        <v>0</v>
      </c>
      <c r="Z95" s="114">
        <f>Y95*$B$65</f>
        <v>0</v>
      </c>
      <c r="AA95" s="123"/>
    </row>
    <row r="96" spans="1:27" s="1" customFormat="1" ht="15" hidden="1" customHeight="1" x14ac:dyDescent="0.15">
      <c r="A96" s="112"/>
      <c r="B96" s="182"/>
      <c r="C96" s="113">
        <v>0</v>
      </c>
      <c r="D96" s="114">
        <f t="shared" ref="D96" si="48">C96*$B$60</f>
        <v>0</v>
      </c>
      <c r="E96" s="113">
        <v>0</v>
      </c>
      <c r="F96" s="114">
        <f t="shared" si="37"/>
        <v>0</v>
      </c>
      <c r="G96" s="113">
        <v>0</v>
      </c>
      <c r="H96" s="114">
        <f t="shared" si="38"/>
        <v>0</v>
      </c>
      <c r="I96" s="113">
        <v>0</v>
      </c>
      <c r="J96" s="114">
        <f t="shared" si="39"/>
        <v>0</v>
      </c>
      <c r="K96" s="113">
        <v>0</v>
      </c>
      <c r="L96" s="114">
        <f t="shared" si="40"/>
        <v>0</v>
      </c>
      <c r="M96" s="113">
        <v>0</v>
      </c>
      <c r="N96" s="114">
        <f t="shared" si="41"/>
        <v>0</v>
      </c>
      <c r="O96" s="113">
        <v>0</v>
      </c>
      <c r="P96" s="114">
        <f t="shared" si="42"/>
        <v>0</v>
      </c>
      <c r="Q96" s="113">
        <v>0</v>
      </c>
      <c r="R96" s="114">
        <f t="shared" si="43"/>
        <v>0</v>
      </c>
      <c r="S96" s="113">
        <v>0</v>
      </c>
      <c r="T96" s="114">
        <f t="shared" si="44"/>
        <v>0</v>
      </c>
      <c r="U96" s="113">
        <v>0</v>
      </c>
      <c r="V96" s="114">
        <f t="shared" si="45"/>
        <v>0</v>
      </c>
      <c r="W96" s="113">
        <v>0</v>
      </c>
      <c r="X96" s="114">
        <f>W96*$B$65</f>
        <v>0</v>
      </c>
      <c r="Y96" s="113">
        <v>0</v>
      </c>
      <c r="Z96" s="114">
        <f>Y96*$B$65</f>
        <v>0</v>
      </c>
      <c r="AA96" s="123"/>
    </row>
    <row r="97" spans="1:27" s="1" customFormat="1" ht="30" hidden="1" customHeight="1" x14ac:dyDescent="0.15">
      <c r="A97" s="112" t="s">
        <v>45</v>
      </c>
      <c r="B97" s="182"/>
      <c r="C97" s="113">
        <v>0</v>
      </c>
      <c r="D97" s="114">
        <f>C97*$B$70</f>
        <v>0</v>
      </c>
      <c r="E97" s="113">
        <v>0</v>
      </c>
      <c r="F97" s="114">
        <f>E97*$B$65</f>
        <v>0</v>
      </c>
      <c r="G97" s="113">
        <v>0</v>
      </c>
      <c r="H97" s="114">
        <f>G97*$B$65</f>
        <v>0</v>
      </c>
      <c r="I97" s="113">
        <v>0</v>
      </c>
      <c r="J97" s="114">
        <f>I97*$B$65</f>
        <v>0</v>
      </c>
      <c r="K97" s="113">
        <v>0</v>
      </c>
      <c r="L97" s="114">
        <f>K97*$B$65</f>
        <v>0</v>
      </c>
      <c r="M97" s="113">
        <v>0</v>
      </c>
      <c r="N97" s="114">
        <f>M97*$B$65</f>
        <v>0</v>
      </c>
      <c r="O97" s="113">
        <v>0</v>
      </c>
      <c r="P97" s="114">
        <f>O97*$B$65</f>
        <v>0</v>
      </c>
      <c r="Q97" s="113">
        <v>0</v>
      </c>
      <c r="R97" s="114">
        <f>Q97*$B$65</f>
        <v>0</v>
      </c>
      <c r="S97" s="113">
        <v>0</v>
      </c>
      <c r="T97" s="114">
        <f>S97*$B$65</f>
        <v>0</v>
      </c>
      <c r="U97" s="113">
        <v>0</v>
      </c>
      <c r="V97" s="114">
        <f>U97*$B$65</f>
        <v>0</v>
      </c>
      <c r="W97" s="113">
        <v>0</v>
      </c>
      <c r="X97" s="114">
        <f>W97*B97</f>
        <v>0</v>
      </c>
      <c r="Y97" s="113"/>
      <c r="Z97" s="114">
        <f>Y97*B97</f>
        <v>0</v>
      </c>
      <c r="AA97" s="123"/>
    </row>
    <row r="98" spans="1:27" s="1" customFormat="1" ht="17" customHeight="1" x14ac:dyDescent="0.15">
      <c r="A98" s="112" t="s">
        <v>106</v>
      </c>
      <c r="B98" s="182">
        <v>0.35</v>
      </c>
      <c r="C98" s="193">
        <v>3400</v>
      </c>
      <c r="D98" s="114">
        <f>B98*C98</f>
        <v>1190</v>
      </c>
      <c r="E98" s="113"/>
      <c r="F98" s="114"/>
      <c r="G98" s="113"/>
      <c r="H98" s="114"/>
      <c r="I98" s="113"/>
      <c r="J98" s="114"/>
      <c r="K98" s="113"/>
      <c r="L98" s="114"/>
      <c r="M98" s="113"/>
      <c r="N98" s="114"/>
      <c r="O98" s="113"/>
      <c r="P98" s="114"/>
      <c r="Q98" s="113"/>
      <c r="R98" s="114"/>
      <c r="S98" s="113"/>
      <c r="T98" s="114"/>
      <c r="U98" s="113"/>
      <c r="V98" s="114"/>
      <c r="W98" s="113"/>
      <c r="X98" s="114"/>
      <c r="Y98" s="113"/>
      <c r="Z98" s="114"/>
      <c r="AA98" s="123"/>
    </row>
    <row r="99" spans="1:27" s="1" customFormat="1" ht="15" customHeight="1" x14ac:dyDescent="0.15">
      <c r="A99" s="112" t="s">
        <v>104</v>
      </c>
      <c r="B99" s="182">
        <v>0.35</v>
      </c>
      <c r="C99" s="193">
        <v>7850</v>
      </c>
      <c r="D99" s="114">
        <f>B99*C99</f>
        <v>2747.5</v>
      </c>
      <c r="E99" s="113"/>
      <c r="F99" s="114"/>
      <c r="G99" s="113"/>
      <c r="H99" s="114"/>
      <c r="I99" s="113"/>
      <c r="J99" s="114"/>
      <c r="K99" s="113"/>
      <c r="L99" s="114"/>
      <c r="M99" s="113"/>
      <c r="N99" s="114"/>
      <c r="O99" s="113"/>
      <c r="P99" s="114"/>
      <c r="Q99" s="113"/>
      <c r="R99" s="114"/>
      <c r="S99" s="113"/>
      <c r="T99" s="114"/>
      <c r="U99" s="113"/>
      <c r="V99" s="114"/>
      <c r="W99" s="113"/>
      <c r="X99" s="114"/>
      <c r="Y99" s="113"/>
      <c r="Z99" s="114"/>
      <c r="AA99" s="123"/>
    </row>
    <row r="100" spans="1:27" s="1" customFormat="1" ht="18" customHeight="1" thickBot="1" x14ac:dyDescent="0.2">
      <c r="A100" s="112" t="s">
        <v>105</v>
      </c>
      <c r="B100" s="182">
        <v>0.35</v>
      </c>
      <c r="C100" s="193">
        <v>1215</v>
      </c>
      <c r="D100" s="114">
        <f>B100*C100</f>
        <v>425.25</v>
      </c>
      <c r="E100" s="113">
        <v>0</v>
      </c>
      <c r="F100" s="114">
        <f>E100*$B$65</f>
        <v>0</v>
      </c>
      <c r="G100" s="113">
        <v>0</v>
      </c>
      <c r="H100" s="114">
        <f>G100*$B$65</f>
        <v>0</v>
      </c>
      <c r="I100" s="113">
        <v>0</v>
      </c>
      <c r="J100" s="114">
        <f>I100*$B$65</f>
        <v>0</v>
      </c>
      <c r="K100" s="113">
        <v>0</v>
      </c>
      <c r="L100" s="114">
        <f>K100*$B$65</f>
        <v>0</v>
      </c>
      <c r="M100" s="113">
        <v>0</v>
      </c>
      <c r="N100" s="114">
        <f>M100*$B$65</f>
        <v>0</v>
      </c>
      <c r="O100" s="113">
        <v>0</v>
      </c>
      <c r="P100" s="114">
        <f>O100*$B$65</f>
        <v>0</v>
      </c>
      <c r="Q100" s="113">
        <v>0</v>
      </c>
      <c r="R100" s="114">
        <f>Q100*$B$65</f>
        <v>0</v>
      </c>
      <c r="S100" s="113">
        <v>0</v>
      </c>
      <c r="T100" s="114">
        <f>S100*$B$65</f>
        <v>0</v>
      </c>
      <c r="U100" s="113">
        <v>0</v>
      </c>
      <c r="V100" s="114">
        <f>U100*$B$65</f>
        <v>0</v>
      </c>
      <c r="W100" s="113"/>
      <c r="X100" s="114">
        <f>W100*B100</f>
        <v>0</v>
      </c>
      <c r="Y100" s="113">
        <v>0</v>
      </c>
      <c r="Z100" s="114">
        <f>Y100*B100</f>
        <v>0</v>
      </c>
      <c r="AA100" s="123"/>
    </row>
    <row r="101" spans="1:27" ht="14" x14ac:dyDescent="0.15">
      <c r="A101" s="134" t="s">
        <v>13</v>
      </c>
      <c r="B101" s="135"/>
      <c r="C101" s="120"/>
      <c r="D101" s="121">
        <f>SUM(D28:D100)</f>
        <v>76572.75</v>
      </c>
      <c r="E101" s="120"/>
      <c r="F101" s="121" t="e">
        <f>SUM(F26:F74)</f>
        <v>#REF!</v>
      </c>
      <c r="G101" s="120"/>
      <c r="H101" s="121" t="e">
        <f>SUM(H26:H74)</f>
        <v>#REF!</v>
      </c>
      <c r="I101" s="120"/>
      <c r="J101" s="121" t="e">
        <f>SUM(J26:J74)</f>
        <v>#REF!</v>
      </c>
      <c r="K101" s="120"/>
      <c r="L101" s="121" t="e">
        <f>SUM(L26:L74)</f>
        <v>#REF!</v>
      </c>
      <c r="M101" s="120"/>
      <c r="N101" s="121" t="e">
        <f>SUM(N26:N74)</f>
        <v>#REF!</v>
      </c>
      <c r="O101" s="120"/>
      <c r="P101" s="121" t="e">
        <f>SUM(P26:P74)</f>
        <v>#REF!</v>
      </c>
      <c r="Q101" s="120"/>
      <c r="R101" s="121" t="e">
        <f>SUM(R26:R74)</f>
        <v>#REF!</v>
      </c>
      <c r="S101" s="120"/>
      <c r="T101" s="121" t="e">
        <f>SUM(T26:T74)</f>
        <v>#REF!</v>
      </c>
      <c r="U101" s="120"/>
      <c r="V101" s="121" t="e">
        <f>SUM(V26:V74)</f>
        <v>#REF!</v>
      </c>
      <c r="W101" s="120"/>
      <c r="X101" s="121">
        <f>SUM(X28:X100)</f>
        <v>0</v>
      </c>
      <c r="Y101" s="120"/>
      <c r="Z101" s="121">
        <f>SUM(Z28:Z100)</f>
        <v>0</v>
      </c>
    </row>
    <row r="102" spans="1:27" ht="14" x14ac:dyDescent="0.15">
      <c r="A102" s="136" t="s">
        <v>14</v>
      </c>
      <c r="B102" s="132"/>
      <c r="C102" s="113"/>
      <c r="D102" s="114">
        <f>D101+D25</f>
        <v>79018.628320000003</v>
      </c>
      <c r="E102" s="113"/>
      <c r="F102" s="114" t="e">
        <f>SUM(F101,F25)</f>
        <v>#REF!</v>
      </c>
      <c r="G102" s="113"/>
      <c r="H102" s="114" t="e">
        <f>SUM(H101,H25)</f>
        <v>#REF!</v>
      </c>
      <c r="I102" s="113"/>
      <c r="J102" s="114" t="e">
        <f>SUM(J101,J25)</f>
        <v>#REF!</v>
      </c>
      <c r="K102" s="113"/>
      <c r="L102" s="114" t="e">
        <f>SUM(L101,L25)</f>
        <v>#REF!</v>
      </c>
      <c r="M102" s="113"/>
      <c r="N102" s="114" t="e">
        <f>SUM(N101,N25)</f>
        <v>#REF!</v>
      </c>
      <c r="O102" s="113"/>
      <c r="P102" s="114" t="e">
        <f>SUM(P101,P25)</f>
        <v>#REF!</v>
      </c>
      <c r="Q102" s="113"/>
      <c r="R102" s="114" t="e">
        <f>SUM(R101,R25)</f>
        <v>#REF!</v>
      </c>
      <c r="S102" s="113"/>
      <c r="T102" s="114" t="e">
        <f>SUM(T101,T25)</f>
        <v>#REF!</v>
      </c>
      <c r="U102" s="113"/>
      <c r="V102" s="114" t="e">
        <f>SUM(V101,V25)</f>
        <v>#REF!</v>
      </c>
      <c r="W102" s="114" t="s">
        <v>0</v>
      </c>
      <c r="X102" s="114">
        <f>X101+X25</f>
        <v>0</v>
      </c>
      <c r="Y102" s="114" t="s">
        <v>0</v>
      </c>
      <c r="Z102" s="114">
        <f>Z101+Z25</f>
        <v>32.214399999999998</v>
      </c>
    </row>
    <row r="103" spans="1:27" ht="15" thickBot="1" x14ac:dyDescent="0.2">
      <c r="A103" s="137" t="s">
        <v>15</v>
      </c>
      <c r="B103" s="138">
        <v>9.7000000000000003E-2</v>
      </c>
      <c r="C103" s="126"/>
      <c r="D103" s="127">
        <f>D102*$B$103</f>
        <v>7664.8069470400005</v>
      </c>
      <c r="E103" s="126"/>
      <c r="F103" s="127" t="e">
        <f>F102*$B$103</f>
        <v>#REF!</v>
      </c>
      <c r="G103" s="126"/>
      <c r="H103" s="127" t="e">
        <f>H102*$B$103</f>
        <v>#REF!</v>
      </c>
      <c r="I103" s="126"/>
      <c r="J103" s="127" t="e">
        <f>J102*$B$103</f>
        <v>#REF!</v>
      </c>
      <c r="K103" s="126"/>
      <c r="L103" s="127" t="e">
        <f>L102*$B$103</f>
        <v>#REF!</v>
      </c>
      <c r="M103" s="126"/>
      <c r="N103" s="127" t="e">
        <f>N102*$B$103</f>
        <v>#REF!</v>
      </c>
      <c r="O103" s="126"/>
      <c r="P103" s="127" t="e">
        <f>P102*$B$103</f>
        <v>#REF!</v>
      </c>
      <c r="Q103" s="126"/>
      <c r="R103" s="127" t="e">
        <f>R102*$B$103</f>
        <v>#REF!</v>
      </c>
      <c r="S103" s="126"/>
      <c r="T103" s="127" t="e">
        <f>T102*$B$103</f>
        <v>#REF!</v>
      </c>
      <c r="U103" s="126"/>
      <c r="V103" s="127" t="e">
        <f>V102*$B$103</f>
        <v>#REF!</v>
      </c>
      <c r="W103" s="126"/>
      <c r="X103" s="127">
        <f>X102*$B$103</f>
        <v>0</v>
      </c>
      <c r="Y103" s="126"/>
      <c r="Z103" s="127">
        <f>Z102*$B$103</f>
        <v>3.1247967999999999</v>
      </c>
    </row>
    <row r="104" spans="1:27" ht="14" x14ac:dyDescent="0.15">
      <c r="A104" s="134" t="s">
        <v>16</v>
      </c>
      <c r="B104" s="151"/>
      <c r="C104" s="120"/>
      <c r="D104" s="121">
        <f>D102+D103</f>
        <v>86683.435267040011</v>
      </c>
      <c r="E104" s="120"/>
      <c r="F104" s="121" t="e">
        <f>F102+F103</f>
        <v>#REF!</v>
      </c>
      <c r="G104" s="120"/>
      <c r="H104" s="121" t="e">
        <f>H102+H103</f>
        <v>#REF!</v>
      </c>
      <c r="I104" s="120"/>
      <c r="J104" s="121" t="e">
        <f>J102+J103</f>
        <v>#REF!</v>
      </c>
      <c r="K104" s="120"/>
      <c r="L104" s="121" t="e">
        <f>L102+L103</f>
        <v>#REF!</v>
      </c>
      <c r="M104" s="120"/>
      <c r="N104" s="121" t="e">
        <f>N102+N103</f>
        <v>#REF!</v>
      </c>
      <c r="O104" s="120"/>
      <c r="P104" s="121" t="e">
        <f>P102+P103</f>
        <v>#REF!</v>
      </c>
      <c r="Q104" s="120"/>
      <c r="R104" s="121" t="e">
        <f>R102+R103</f>
        <v>#REF!</v>
      </c>
      <c r="S104" s="120"/>
      <c r="T104" s="121" t="e">
        <f>T102+T103</f>
        <v>#REF!</v>
      </c>
      <c r="U104" s="120"/>
      <c r="V104" s="121" t="e">
        <f>V102+V103</f>
        <v>#REF!</v>
      </c>
      <c r="W104" s="120"/>
      <c r="X104" s="121">
        <f>X102+X103</f>
        <v>0</v>
      </c>
      <c r="Y104" s="120"/>
      <c r="Z104" s="121">
        <f>Z102+Z103</f>
        <v>35.339196799999996</v>
      </c>
    </row>
    <row r="105" spans="1:27" ht="15.75" hidden="1" customHeight="1" thickBot="1" x14ac:dyDescent="0.2">
      <c r="A105" s="152"/>
      <c r="B105" s="139"/>
      <c r="C105" s="140"/>
      <c r="D105" s="141"/>
      <c r="E105" s="140"/>
      <c r="F105" s="141"/>
      <c r="G105" s="140"/>
      <c r="H105" s="141"/>
      <c r="I105" s="140"/>
      <c r="J105" s="141"/>
      <c r="K105" s="140"/>
      <c r="L105" s="141"/>
      <c r="M105" s="140"/>
      <c r="N105" s="141"/>
      <c r="O105" s="140"/>
      <c r="P105" s="141"/>
      <c r="Q105" s="140"/>
      <c r="R105" s="141"/>
      <c r="S105" s="140"/>
      <c r="T105" s="141"/>
      <c r="U105" s="140"/>
      <c r="V105" s="141"/>
      <c r="W105" s="140"/>
      <c r="X105" s="141"/>
      <c r="Y105" s="140"/>
      <c r="Z105" s="141"/>
    </row>
    <row r="106" spans="1:27" ht="15" hidden="1" customHeight="1" x14ac:dyDescent="0.15">
      <c r="A106" s="136" t="s">
        <v>34</v>
      </c>
      <c r="B106" s="133">
        <v>0</v>
      </c>
      <c r="C106" s="113"/>
      <c r="D106" s="114">
        <f>D104*$B$106</f>
        <v>0</v>
      </c>
      <c r="E106" s="113"/>
      <c r="F106" s="114" t="e">
        <f>F104*$B$106</f>
        <v>#REF!</v>
      </c>
      <c r="G106" s="113"/>
      <c r="H106" s="114" t="e">
        <f>H104*$B$106</f>
        <v>#REF!</v>
      </c>
      <c r="I106" s="113"/>
      <c r="J106" s="114" t="e">
        <f>J104*$B$106</f>
        <v>#REF!</v>
      </c>
      <c r="K106" s="113"/>
      <c r="L106" s="114" t="e">
        <f>L104*$B$106</f>
        <v>#REF!</v>
      </c>
      <c r="M106" s="113"/>
      <c r="N106" s="114" t="e">
        <f>N104*$B$106</f>
        <v>#REF!</v>
      </c>
      <c r="O106" s="113"/>
      <c r="P106" s="114" t="e">
        <f>P104*$B$106</f>
        <v>#REF!</v>
      </c>
      <c r="Q106" s="113"/>
      <c r="R106" s="114" t="e">
        <f>R104*$B$106</f>
        <v>#REF!</v>
      </c>
      <c r="S106" s="113"/>
      <c r="T106" s="114" t="e">
        <f>T104*$B$106</f>
        <v>#REF!</v>
      </c>
      <c r="U106" s="113"/>
      <c r="V106" s="114" t="e">
        <f>V104*$B$106</f>
        <v>#REF!</v>
      </c>
      <c r="W106" s="113"/>
      <c r="X106" s="114">
        <f>X104*$B$106</f>
        <v>0</v>
      </c>
      <c r="Y106" s="113"/>
      <c r="Z106" s="114">
        <f>Z104*$B$106</f>
        <v>0</v>
      </c>
    </row>
    <row r="107" spans="1:27" ht="15" hidden="1" customHeight="1" x14ac:dyDescent="0.15">
      <c r="A107" s="136"/>
      <c r="B107" s="132"/>
      <c r="C107" s="113"/>
      <c r="D107" s="114"/>
      <c r="E107" s="113"/>
      <c r="F107" s="114"/>
      <c r="G107" s="113"/>
      <c r="H107" s="114"/>
      <c r="I107" s="113"/>
      <c r="J107" s="114"/>
      <c r="K107" s="113"/>
      <c r="L107" s="114"/>
      <c r="M107" s="113"/>
      <c r="N107" s="114"/>
      <c r="O107" s="113"/>
      <c r="P107" s="114"/>
      <c r="Q107" s="113"/>
      <c r="R107" s="114"/>
      <c r="S107" s="113"/>
      <c r="T107" s="114"/>
      <c r="U107" s="113"/>
      <c r="V107" s="114"/>
      <c r="W107" s="113"/>
      <c r="X107" s="114"/>
      <c r="Y107" s="113"/>
      <c r="Z107" s="114"/>
    </row>
    <row r="108" spans="1:27" ht="15.75" hidden="1" customHeight="1" thickBot="1" x14ac:dyDescent="0.2">
      <c r="A108" s="136" t="s">
        <v>17</v>
      </c>
      <c r="B108" s="132" t="s">
        <v>0</v>
      </c>
      <c r="C108" s="113"/>
      <c r="D108" s="142">
        <f>SUM(D104:D106)</f>
        <v>86683.435267040011</v>
      </c>
      <c r="E108" s="143"/>
      <c r="F108" s="142" t="e">
        <f>SUM(F104:F106)</f>
        <v>#REF!</v>
      </c>
      <c r="G108" s="143"/>
      <c r="H108" s="142" t="e">
        <f>SUM(H104:H106)</f>
        <v>#REF!</v>
      </c>
      <c r="I108" s="143"/>
      <c r="J108" s="142" t="e">
        <f>SUM(J104:J106)</f>
        <v>#REF!</v>
      </c>
      <c r="K108" s="143"/>
      <c r="L108" s="142" t="e">
        <f>SUM(L104:L106)</f>
        <v>#REF!</v>
      </c>
      <c r="M108" s="143"/>
      <c r="N108" s="142" t="e">
        <f>SUM(N104:N106)</f>
        <v>#REF!</v>
      </c>
      <c r="O108" s="143"/>
      <c r="P108" s="142" t="e">
        <f>SUM(P104:P106)</f>
        <v>#REF!</v>
      </c>
      <c r="Q108" s="143"/>
      <c r="R108" s="142" t="e">
        <f>SUM(R104:R106)</f>
        <v>#REF!</v>
      </c>
      <c r="S108" s="143"/>
      <c r="T108" s="142" t="e">
        <f>SUM(T104:T106)</f>
        <v>#REF!</v>
      </c>
      <c r="U108" s="143"/>
      <c r="V108" s="142" t="e">
        <f>SUM(V104:V106)</f>
        <v>#REF!</v>
      </c>
      <c r="W108" s="143"/>
      <c r="X108" s="142">
        <f>SUM(X104:X106)</f>
        <v>0</v>
      </c>
      <c r="Y108" s="143"/>
      <c r="Z108" s="142">
        <f>SUM(Z104:Z106)</f>
        <v>35.339196799999996</v>
      </c>
    </row>
    <row r="109" spans="1:27" ht="15.75" hidden="1" customHeight="1" thickBot="1" x14ac:dyDescent="0.2">
      <c r="A109" s="153"/>
      <c r="B109" s="144"/>
      <c r="C109" s="144"/>
      <c r="D109" s="145"/>
      <c r="E109" s="144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4"/>
      <c r="X109" s="145"/>
      <c r="Y109" s="144"/>
      <c r="Z109" s="145"/>
    </row>
    <row r="110" spans="1:27" ht="15" hidden="1" customHeight="1" x14ac:dyDescent="0.15">
      <c r="A110" s="153" t="s">
        <v>35</v>
      </c>
      <c r="B110" s="147">
        <v>0</v>
      </c>
      <c r="C110" s="144"/>
      <c r="D110" s="145">
        <f>D108*$B$110</f>
        <v>0</v>
      </c>
      <c r="E110" s="144"/>
      <c r="F110" s="145" t="e">
        <f>F108*$B$110</f>
        <v>#REF!</v>
      </c>
      <c r="G110" s="146"/>
      <c r="H110" s="145" t="e">
        <f>H108*$B$110</f>
        <v>#REF!</v>
      </c>
      <c r="I110" s="146"/>
      <c r="J110" s="145" t="e">
        <f>J108*$B$110</f>
        <v>#REF!</v>
      </c>
      <c r="K110" s="146"/>
      <c r="L110" s="145" t="e">
        <f>L108*$B$110</f>
        <v>#REF!</v>
      </c>
      <c r="M110" s="146"/>
      <c r="N110" s="145" t="e">
        <f>N108*$B$110</f>
        <v>#REF!</v>
      </c>
      <c r="O110" s="146"/>
      <c r="P110" s="145" t="e">
        <f>P108*$B$110</f>
        <v>#REF!</v>
      </c>
      <c r="Q110" s="146"/>
      <c r="R110" s="145" t="e">
        <f>R108*$B$110</f>
        <v>#REF!</v>
      </c>
      <c r="S110" s="146"/>
      <c r="T110" s="145" t="e">
        <f>T108*$B$110</f>
        <v>#REF!</v>
      </c>
      <c r="U110" s="146"/>
      <c r="V110" s="145" t="e">
        <f>V108*$B$110</f>
        <v>#REF!</v>
      </c>
      <c r="W110" s="144"/>
      <c r="X110" s="145">
        <f>X108*$B$110</f>
        <v>0</v>
      </c>
      <c r="Y110" s="144"/>
      <c r="Z110" s="145">
        <f>Z108*$B$110</f>
        <v>0</v>
      </c>
    </row>
    <row r="111" spans="1:27" ht="15" hidden="1" customHeight="1" x14ac:dyDescent="0.15">
      <c r="A111" s="153"/>
      <c r="B111" s="144"/>
      <c r="C111" s="144"/>
      <c r="D111" s="145"/>
      <c r="E111" s="144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4"/>
      <c r="X111" s="145"/>
      <c r="Y111" s="144"/>
      <c r="Z111" s="145"/>
    </row>
    <row r="112" spans="1:27" ht="15" hidden="1" customHeight="1" x14ac:dyDescent="0.15">
      <c r="A112" s="154" t="s">
        <v>20</v>
      </c>
      <c r="B112" s="147">
        <v>0</v>
      </c>
      <c r="C112" s="144"/>
      <c r="D112" s="145">
        <f>D108*$B$112</f>
        <v>0</v>
      </c>
      <c r="E112" s="149"/>
      <c r="F112" s="145" t="e">
        <f>F108*$B$112</f>
        <v>#REF!</v>
      </c>
      <c r="G112" s="149"/>
      <c r="H112" s="145" t="e">
        <f>H108*$B$112</f>
        <v>#REF!</v>
      </c>
      <c r="I112" s="149"/>
      <c r="J112" s="145" t="e">
        <f>J108*$B$112</f>
        <v>#REF!</v>
      </c>
      <c r="K112" s="149"/>
      <c r="L112" s="145" t="e">
        <f>L108*$B$112</f>
        <v>#REF!</v>
      </c>
      <c r="M112" s="149"/>
      <c r="N112" s="145" t="e">
        <f>N108*$B$112</f>
        <v>#REF!</v>
      </c>
      <c r="O112" s="149"/>
      <c r="P112" s="145" t="e">
        <f>P108*$B$112</f>
        <v>#REF!</v>
      </c>
      <c r="Q112" s="149"/>
      <c r="R112" s="145" t="e">
        <f>R108*$B$112</f>
        <v>#REF!</v>
      </c>
      <c r="S112" s="149"/>
      <c r="T112" s="145" t="e">
        <f>T108*$B$112</f>
        <v>#REF!</v>
      </c>
      <c r="U112" s="145"/>
      <c r="V112" s="145" t="e">
        <f t="shared" ref="V112" si="49">V108*$B$112</f>
        <v>#REF!</v>
      </c>
      <c r="W112" s="149"/>
      <c r="X112" s="145">
        <f>X108*$B$112</f>
        <v>0</v>
      </c>
      <c r="Y112" s="149"/>
      <c r="Z112" s="145">
        <f>Z108*$B$112</f>
        <v>0</v>
      </c>
    </row>
    <row r="113" spans="1:27" ht="15" hidden="1" customHeight="1" x14ac:dyDescent="0.15">
      <c r="A113" s="154"/>
      <c r="B113" s="148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spans="1:27" ht="14" x14ac:dyDescent="0.15">
      <c r="A114" s="155" t="s">
        <v>31</v>
      </c>
      <c r="B114" s="150">
        <v>0.1</v>
      </c>
      <c r="C114" s="144"/>
      <c r="D114" s="170">
        <f>D104*B114</f>
        <v>8668.3435267040022</v>
      </c>
      <c r="E114" s="171"/>
      <c r="F114" s="170" t="e">
        <f>SUM(F112,F110,F108,)</f>
        <v>#REF!</v>
      </c>
      <c r="G114" s="171"/>
      <c r="H114" s="170" t="e">
        <f>SUM(H112,H110,H108,)</f>
        <v>#REF!</v>
      </c>
      <c r="I114" s="171"/>
      <c r="J114" s="170" t="e">
        <f>SUM(J112,J110,J108,)</f>
        <v>#REF!</v>
      </c>
      <c r="K114" s="171"/>
      <c r="L114" s="170" t="e">
        <f>SUM(L112,L110,L108,)</f>
        <v>#REF!</v>
      </c>
      <c r="M114" s="171"/>
      <c r="N114" s="170" t="e">
        <f>SUM(N112,N110,N108,)</f>
        <v>#REF!</v>
      </c>
      <c r="O114" s="171"/>
      <c r="P114" s="170" t="e">
        <f>SUM(P112,P110,P108,)</f>
        <v>#REF!</v>
      </c>
      <c r="Q114" s="171"/>
      <c r="R114" s="170" t="e">
        <f>SUM(R112,R110,R108,)</f>
        <v>#REF!</v>
      </c>
      <c r="S114" s="171"/>
      <c r="T114" s="170" t="e">
        <f>SUM(T112,T110,T108,)</f>
        <v>#REF!</v>
      </c>
      <c r="U114" s="170"/>
      <c r="V114" s="170" t="e">
        <f>SUM(V112,V110,V108,)</f>
        <v>#REF!</v>
      </c>
      <c r="W114" s="171"/>
      <c r="X114" s="170">
        <f>X104*B114</f>
        <v>0</v>
      </c>
      <c r="Y114" s="171"/>
      <c r="Z114" s="170">
        <f>Z104*B114</f>
        <v>3.5339196799999999</v>
      </c>
    </row>
    <row r="115" spans="1:27" ht="15" thickBot="1" x14ac:dyDescent="0.2">
      <c r="A115" s="156" t="s">
        <v>32</v>
      </c>
      <c r="B115" s="157"/>
      <c r="C115" s="157"/>
      <c r="D115" s="158">
        <f>D114+D104</f>
        <v>95351.778793744015</v>
      </c>
      <c r="E115" s="157"/>
      <c r="F115" s="157"/>
      <c r="G115" s="157"/>
      <c r="H115" s="157"/>
      <c r="I115" s="157"/>
      <c r="J115" s="157"/>
      <c r="K115" s="157"/>
      <c r="L115" s="157"/>
      <c r="M115" s="158"/>
      <c r="N115" s="157"/>
      <c r="O115" s="157"/>
      <c r="P115" s="157"/>
      <c r="Q115" s="157"/>
      <c r="R115" s="157"/>
      <c r="S115" s="157"/>
      <c r="T115" s="157"/>
      <c r="U115" s="157"/>
      <c r="V115" s="157"/>
      <c r="W115" s="159"/>
      <c r="X115" s="158">
        <f>X114+X104</f>
        <v>0</v>
      </c>
      <c r="Y115" s="159"/>
      <c r="Z115" s="158">
        <f>Z114+Z104</f>
        <v>38.873116479999993</v>
      </c>
    </row>
    <row r="116" spans="1:27" ht="14" x14ac:dyDescent="0.15">
      <c r="A116" s="160" t="s">
        <v>30</v>
      </c>
      <c r="B116" s="161"/>
      <c r="C116" s="162"/>
      <c r="D116" s="163">
        <f>1*D119</f>
        <v>0</v>
      </c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3"/>
      <c r="S116" s="163"/>
      <c r="T116" s="163"/>
      <c r="U116" s="163"/>
      <c r="V116" s="163"/>
      <c r="W116" s="162"/>
      <c r="X116" s="163">
        <f>X115*X119</f>
        <v>0</v>
      </c>
      <c r="Y116" s="162"/>
      <c r="Z116" s="163">
        <f>Z115*Z119</f>
        <v>0.38873116479999992</v>
      </c>
    </row>
    <row r="117" spans="1:27" ht="15" thickBot="1" x14ac:dyDescent="0.2">
      <c r="A117" s="164" t="s">
        <v>33</v>
      </c>
      <c r="B117" s="165"/>
      <c r="C117" s="166"/>
      <c r="D117" s="167">
        <f>D116+D115</f>
        <v>95351.778793744015</v>
      </c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7"/>
      <c r="S117" s="167"/>
      <c r="T117" s="167"/>
      <c r="U117" s="167"/>
      <c r="V117" s="167"/>
      <c r="W117" s="166"/>
      <c r="X117" s="167">
        <f>X116+X115</f>
        <v>0</v>
      </c>
      <c r="Y117" s="167"/>
      <c r="Z117" s="167">
        <f t="shared" ref="Z117" si="50">Z116+Z115</f>
        <v>39.261847644799992</v>
      </c>
    </row>
    <row r="118" spans="1:27" ht="14" x14ac:dyDescent="0.15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7" ht="14" x14ac:dyDescent="0.15">
      <c r="A119" s="98"/>
      <c r="B119" s="3"/>
      <c r="C119" s="98"/>
      <c r="D119" s="100"/>
      <c r="E119" s="98"/>
      <c r="F119" s="98"/>
      <c r="G119" s="98"/>
      <c r="H119" s="98"/>
      <c r="I119" s="98"/>
      <c r="J119" s="98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98"/>
      <c r="X119" s="100"/>
      <c r="Y119" s="98"/>
      <c r="Z119" s="100">
        <v>0.01</v>
      </c>
    </row>
    <row r="120" spans="1:27" ht="14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125"/>
    </row>
    <row r="121" spans="1:27" ht="14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7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7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  <c r="AA123" s="124"/>
    </row>
    <row r="124" spans="1:27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124"/>
    </row>
    <row r="125" spans="1:27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7" ht="14" x14ac:dyDescent="0.15">
      <c r="A126" s="3"/>
      <c r="B126" s="184"/>
      <c r="C126" s="3"/>
      <c r="D126" s="12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7" ht="14" x14ac:dyDescent="0.15">
      <c r="A127" s="3"/>
      <c r="B127" s="184"/>
      <c r="C127" s="3"/>
      <c r="D127" s="12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7" ht="14" x14ac:dyDescent="0.15">
      <c r="A128" s="3"/>
      <c r="B128" s="184"/>
      <c r="C128" s="3"/>
      <c r="D128" s="12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" x14ac:dyDescent="0.15">
      <c r="A129" s="3"/>
      <c r="B129" s="184"/>
      <c r="C129" s="3"/>
      <c r="D129" s="12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15">
      <c r="B130" s="122"/>
      <c r="D130" s="122"/>
    </row>
    <row r="131" spans="1:26" x14ac:dyDescent="0.15">
      <c r="B131" s="122"/>
      <c r="D131" s="122"/>
    </row>
    <row r="132" spans="1:26" x14ac:dyDescent="0.15">
      <c r="D132" s="122"/>
    </row>
    <row r="133" spans="1:26" x14ac:dyDescent="0.15">
      <c r="D133" s="122"/>
    </row>
    <row r="134" spans="1:26" x14ac:dyDescent="0.15">
      <c r="D134" s="122"/>
    </row>
    <row r="135" spans="1:26" x14ac:dyDescent="0.15">
      <c r="D135" s="122"/>
      <c r="Z135" s="99"/>
    </row>
    <row r="136" spans="1:26" x14ac:dyDescent="0.15">
      <c r="D136" s="122"/>
    </row>
    <row r="137" spans="1:26" x14ac:dyDescent="0.15">
      <c r="D137" s="122"/>
    </row>
    <row r="138" spans="1:26" x14ac:dyDescent="0.15">
      <c r="D138" s="122"/>
    </row>
    <row r="139" spans="1:26" x14ac:dyDescent="0.15">
      <c r="D139" s="122"/>
    </row>
    <row r="140" spans="1:26" x14ac:dyDescent="0.15">
      <c r="D140" s="122"/>
    </row>
    <row r="141" spans="1:26" x14ac:dyDescent="0.15">
      <c r="D141" s="122"/>
    </row>
    <row r="142" spans="1:26" x14ac:dyDescent="0.15">
      <c r="D142" s="122"/>
    </row>
    <row r="143" spans="1:26" x14ac:dyDescent="0.15">
      <c r="D143" s="122"/>
    </row>
    <row r="144" spans="1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  <row r="150" spans="4:4" x14ac:dyDescent="0.15">
      <c r="D150" s="122"/>
    </row>
    <row r="151" spans="4:4" x14ac:dyDescent="0.15">
      <c r="D151" s="122"/>
    </row>
    <row r="152" spans="4:4" x14ac:dyDescent="0.15">
      <c r="D152" s="122"/>
    </row>
    <row r="153" spans="4:4" x14ac:dyDescent="0.15">
      <c r="D153" s="122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E120-649E-B840-A748-931D8552C8A3}">
  <sheetPr>
    <pageSetUpPr fitToPage="1"/>
  </sheetPr>
  <dimension ref="A1:AC149"/>
  <sheetViews>
    <sheetView tabSelected="1" topLeftCell="A14" workbookViewId="0">
      <selection activeCell="B67" sqref="B67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12.664062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16.5" style="122" customWidth="1"/>
  </cols>
  <sheetData>
    <row r="1" spans="1:26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6" ht="13.5" customHeight="1" x14ac:dyDescent="0.15">
      <c r="A2" s="202" t="s">
        <v>97</v>
      </c>
      <c r="B2" s="7"/>
      <c r="C2" s="197" t="s">
        <v>98</v>
      </c>
      <c r="D2" s="198"/>
      <c r="E2" s="197" t="s">
        <v>22</v>
      </c>
      <c r="F2" s="198"/>
      <c r="G2" s="197" t="s">
        <v>23</v>
      </c>
      <c r="H2" s="198"/>
      <c r="I2" s="197" t="s">
        <v>24</v>
      </c>
      <c r="J2" s="198"/>
      <c r="K2" s="197" t="s">
        <v>25</v>
      </c>
      <c r="L2" s="198"/>
      <c r="M2" s="197" t="s">
        <v>26</v>
      </c>
      <c r="N2" s="198"/>
      <c r="O2" s="197" t="s">
        <v>27</v>
      </c>
      <c r="P2" s="198"/>
      <c r="Q2" s="197" t="s">
        <v>28</v>
      </c>
      <c r="R2" s="198"/>
      <c r="S2" s="197" t="s">
        <v>29</v>
      </c>
      <c r="T2" s="198"/>
      <c r="U2" s="197" t="s">
        <v>21</v>
      </c>
      <c r="V2" s="198"/>
      <c r="W2" s="197" t="s">
        <v>40</v>
      </c>
      <c r="X2" s="198"/>
      <c r="Y2" s="197" t="s">
        <v>41</v>
      </c>
      <c r="Z2" s="198"/>
    </row>
    <row r="3" spans="1:26" ht="45.75" customHeight="1" thickBot="1" x14ac:dyDescent="0.2">
      <c r="A3" s="203"/>
      <c r="B3" s="8" t="s">
        <v>0</v>
      </c>
      <c r="C3" s="199"/>
      <c r="D3" s="200"/>
      <c r="E3" s="199"/>
      <c r="F3" s="200"/>
      <c r="G3" s="199"/>
      <c r="H3" s="200"/>
      <c r="I3" s="199"/>
      <c r="J3" s="200"/>
      <c r="K3" s="199"/>
      <c r="L3" s="200"/>
      <c r="M3" s="199"/>
      <c r="N3" s="200"/>
      <c r="O3" s="199"/>
      <c r="P3" s="200"/>
      <c r="Q3" s="199"/>
      <c r="R3" s="200"/>
      <c r="S3" s="199"/>
      <c r="T3" s="200"/>
      <c r="U3" s="199"/>
      <c r="V3" s="200"/>
      <c r="W3" s="199"/>
      <c r="X3" s="200"/>
      <c r="Y3" s="199"/>
      <c r="Z3" s="200"/>
    </row>
    <row r="4" spans="1:26" ht="19" thickBot="1" x14ac:dyDescent="0.2">
      <c r="A4" s="192">
        <f>D113</f>
        <v>12247.207564372</v>
      </c>
      <c r="B4" s="8" t="s">
        <v>0</v>
      </c>
      <c r="C4" s="199"/>
      <c r="D4" s="200"/>
      <c r="E4" s="199"/>
      <c r="F4" s="200"/>
      <c r="G4" s="199"/>
      <c r="H4" s="200"/>
      <c r="I4" s="199"/>
      <c r="J4" s="200"/>
      <c r="K4" s="199"/>
      <c r="L4" s="200"/>
      <c r="M4" s="199"/>
      <c r="N4" s="200"/>
      <c r="O4" s="199"/>
      <c r="P4" s="200"/>
      <c r="Q4" s="199"/>
      <c r="R4" s="200"/>
      <c r="S4" s="199"/>
      <c r="T4" s="200"/>
      <c r="U4" s="199"/>
      <c r="V4" s="200"/>
      <c r="W4" s="199"/>
      <c r="X4" s="200"/>
      <c r="Y4" s="199"/>
      <c r="Z4" s="200"/>
    </row>
    <row r="5" spans="1:26" ht="21.75" customHeight="1" thickBot="1" x14ac:dyDescent="0.2">
      <c r="A5" s="9"/>
      <c r="B5" s="8" t="s">
        <v>0</v>
      </c>
      <c r="C5" s="199"/>
      <c r="D5" s="200"/>
      <c r="E5" s="199"/>
      <c r="F5" s="200"/>
      <c r="G5" s="199"/>
      <c r="H5" s="200"/>
      <c r="I5" s="199"/>
      <c r="J5" s="200"/>
      <c r="K5" s="199"/>
      <c r="L5" s="200"/>
      <c r="M5" s="199"/>
      <c r="N5" s="200"/>
      <c r="O5" s="199"/>
      <c r="P5" s="200"/>
      <c r="Q5" s="199"/>
      <c r="R5" s="200"/>
      <c r="S5" s="199"/>
      <c r="T5" s="200"/>
      <c r="U5" s="199"/>
      <c r="V5" s="200"/>
      <c r="W5" s="199"/>
      <c r="X5" s="200"/>
      <c r="Y5" s="199"/>
      <c r="Z5" s="200"/>
    </row>
    <row r="6" spans="1:26" ht="15" thickBot="1" x14ac:dyDescent="0.2">
      <c r="A6" s="10" t="s">
        <v>99</v>
      </c>
      <c r="B6" s="11" t="s">
        <v>0</v>
      </c>
      <c r="C6" s="195" t="s">
        <v>18</v>
      </c>
      <c r="D6" s="196"/>
      <c r="E6" s="195" t="s">
        <v>18</v>
      </c>
      <c r="F6" s="196"/>
      <c r="G6" s="195" t="s">
        <v>18</v>
      </c>
      <c r="H6" s="196"/>
      <c r="I6" s="201" t="s">
        <v>18</v>
      </c>
      <c r="J6" s="196"/>
      <c r="K6" s="201" t="s">
        <v>18</v>
      </c>
      <c r="L6" s="196"/>
      <c r="M6" s="195" t="s">
        <v>18</v>
      </c>
      <c r="N6" s="196"/>
      <c r="O6" s="195" t="s">
        <v>18</v>
      </c>
      <c r="P6" s="196"/>
      <c r="Q6" s="195" t="s">
        <v>18</v>
      </c>
      <c r="R6" s="196"/>
      <c r="S6" s="195" t="s">
        <v>18</v>
      </c>
      <c r="T6" s="196"/>
      <c r="U6" s="195" t="s">
        <v>18</v>
      </c>
      <c r="V6" s="196"/>
      <c r="W6" s="195" t="s">
        <v>18</v>
      </c>
      <c r="X6" s="196"/>
      <c r="Y6" s="195" t="s">
        <v>18</v>
      </c>
      <c r="Z6" s="196"/>
    </row>
    <row r="7" spans="1:26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6" ht="15" thickBot="1" x14ac:dyDescent="0.2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</row>
    <row r="9" spans="1:26" ht="14" x14ac:dyDescent="0.15">
      <c r="A9" s="21" t="s">
        <v>47</v>
      </c>
      <c r="B9" s="22">
        <v>41</v>
      </c>
      <c r="C9" s="23">
        <v>24</v>
      </c>
      <c r="D9" s="24">
        <f>C9*$B$9</f>
        <v>984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</row>
    <row r="10" spans="1:26" ht="22.25" customHeight="1" x14ac:dyDescent="0.15">
      <c r="A10" s="25" t="s">
        <v>36</v>
      </c>
      <c r="B10" s="189">
        <v>28.85</v>
      </c>
      <c r="C10" s="23">
        <v>8</v>
      </c>
      <c r="D10" s="24">
        <f>C10*$B$10</f>
        <v>230.8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</row>
    <row r="11" spans="1:26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</row>
    <row r="12" spans="1:26" ht="14" x14ac:dyDescent="0.15">
      <c r="A12" s="27" t="s">
        <v>62</v>
      </c>
      <c r="B12" s="26">
        <v>16</v>
      </c>
      <c r="C12" s="28">
        <v>0</v>
      </c>
      <c r="D12" s="24">
        <f>C12*$B$12</f>
        <v>0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</row>
    <row r="13" spans="1:26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</row>
    <row r="14" spans="1:26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6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6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6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6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6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</row>
    <row r="20" spans="1:26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6" ht="14" x14ac:dyDescent="0.15">
      <c r="A21" s="45" t="s">
        <v>8</v>
      </c>
      <c r="B21" s="26"/>
      <c r="C21" s="46">
        <f t="shared" ref="C21:D21" si="1">SUM(C9:C20)</f>
        <v>32</v>
      </c>
      <c r="D21" s="48">
        <f t="shared" si="1"/>
        <v>1214.8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</row>
    <row r="22" spans="1:26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</row>
    <row r="23" spans="1:26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8.1391600000000004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</row>
    <row r="24" spans="1:26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</row>
    <row r="25" spans="1:26" ht="15" thickBot="1" x14ac:dyDescent="0.2">
      <c r="A25" s="61" t="s">
        <v>9</v>
      </c>
      <c r="B25" s="62"/>
      <c r="C25" s="63">
        <f>SUM(C21:C21)</f>
        <v>32</v>
      </c>
      <c r="D25" s="64">
        <f>SUM(D21:D21, D23)</f>
        <v>1222.9391599999999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</row>
    <row r="26" spans="1:26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</row>
    <row r="27" spans="1:26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</row>
    <row r="28" spans="1:26" ht="14" x14ac:dyDescent="0.15">
      <c r="A28" s="72" t="s">
        <v>88</v>
      </c>
      <c r="B28" s="73"/>
      <c r="C28" s="71"/>
      <c r="D28" s="38">
        <f>C28*$B$28</f>
        <v>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</row>
    <row r="29" spans="1:26" ht="14" x14ac:dyDescent="0.15">
      <c r="A29" s="72"/>
      <c r="B29" s="73"/>
      <c r="C29" s="71"/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</row>
    <row r="30" spans="1:26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</row>
    <row r="31" spans="1:26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</row>
    <row r="32" spans="1:26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</row>
    <row r="33" spans="1:26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</row>
    <row r="34" spans="1:26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</row>
    <row r="35" spans="1:26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</row>
    <row r="36" spans="1:26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</row>
    <row r="37" spans="1:26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</row>
    <row r="38" spans="1:26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</row>
    <row r="39" spans="1:26" ht="15" x14ac:dyDescent="0.15">
      <c r="A39" s="172" t="s">
        <v>82</v>
      </c>
      <c r="B39" s="173"/>
      <c r="C39" s="174">
        <v>0</v>
      </c>
      <c r="D39" s="175">
        <f>B39*C39</f>
        <v>0</v>
      </c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</row>
    <row r="40" spans="1:26" ht="15" x14ac:dyDescent="0.15">
      <c r="A40" s="89" t="s">
        <v>89</v>
      </c>
      <c r="B40" s="90">
        <v>126</v>
      </c>
      <c r="C40" s="71">
        <v>1</v>
      </c>
      <c r="D40" s="38">
        <f>C40*$B$40</f>
        <v>126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</row>
    <row r="41" spans="1:26" ht="14" x14ac:dyDescent="0.15">
      <c r="A41" s="191"/>
      <c r="B41" s="90"/>
      <c r="C41" s="71"/>
      <c r="D41" s="38">
        <f>C41*B41</f>
        <v>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</row>
    <row r="42" spans="1:26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</row>
    <row r="43" spans="1:26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</row>
    <row r="44" spans="1:26" ht="14" x14ac:dyDescent="0.15">
      <c r="A44" s="107" t="s">
        <v>39</v>
      </c>
      <c r="B44" s="108"/>
      <c r="C44" s="109" t="s">
        <v>86</v>
      </c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</row>
    <row r="45" spans="1:26" ht="18.75" customHeight="1" x14ac:dyDescent="0.15">
      <c r="A45" s="112" t="s">
        <v>83</v>
      </c>
      <c r="B45" s="182">
        <v>0.3</v>
      </c>
      <c r="C45" s="193">
        <v>24288</v>
      </c>
      <c r="D45" s="114">
        <f>C45*$B$45</f>
        <v>7286.4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</row>
    <row r="46" spans="1:26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</row>
    <row r="47" spans="1:26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</row>
    <row r="48" spans="1:26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</row>
    <row r="49" spans="1:29" ht="15" x14ac:dyDescent="0.15">
      <c r="A49" s="112" t="s">
        <v>92</v>
      </c>
      <c r="B49" s="182">
        <v>50</v>
      </c>
      <c r="C49" s="113">
        <v>6</v>
      </c>
      <c r="D49" s="114">
        <f>C49*$B$49</f>
        <v>300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C49" s="99"/>
    </row>
    <row r="50" spans="1:29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</row>
    <row r="51" spans="1:29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</row>
    <row r="52" spans="1:29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</row>
    <row r="53" spans="1:29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</row>
    <row r="54" spans="1:29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</row>
    <row r="55" spans="1:29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</row>
    <row r="56" spans="1:29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</row>
    <row r="57" spans="1:29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</row>
    <row r="58" spans="1:29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</row>
    <row r="59" spans="1:29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</row>
    <row r="60" spans="1:29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A60" s="123"/>
    </row>
    <row r="61" spans="1:29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A61" s="123"/>
    </row>
    <row r="62" spans="1:29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A62" s="123"/>
    </row>
    <row r="63" spans="1:29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A63" s="123"/>
    </row>
    <row r="64" spans="1:29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A64" s="123"/>
    </row>
    <row r="65" spans="1:29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A65" s="123"/>
    </row>
    <row r="66" spans="1:29" s="1" customFormat="1" ht="18" customHeight="1" x14ac:dyDescent="0.15">
      <c r="A66" s="112" t="s">
        <v>94</v>
      </c>
      <c r="B66" s="182">
        <v>1200</v>
      </c>
      <c r="C66" s="113">
        <v>1</v>
      </c>
      <c r="D66" s="114">
        <v>14</v>
      </c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A66" s="123"/>
    </row>
    <row r="67" spans="1:29" s="1" customFormat="1" ht="17.25" customHeight="1" x14ac:dyDescent="0.15">
      <c r="A67" s="112" t="s">
        <v>93</v>
      </c>
      <c r="B67" s="182">
        <v>1200</v>
      </c>
      <c r="C67" s="113">
        <v>1</v>
      </c>
      <c r="D67" s="114">
        <f>B67*C67</f>
        <v>1200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A67" s="123"/>
    </row>
    <row r="68" spans="1:29" s="1" customFormat="1" ht="17.25" hidden="1" customHeight="1" x14ac:dyDescent="0.15">
      <c r="A68" s="112"/>
      <c r="B68" s="182"/>
      <c r="C68" s="113">
        <v>0</v>
      </c>
      <c r="D68" s="114">
        <f t="shared" ref="D68" si="15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A68" s="123"/>
    </row>
    <row r="69" spans="1:29" s="1" customFormat="1" ht="13.5" hidden="1" customHeight="1" thickBot="1" x14ac:dyDescent="0.2">
      <c r="A69" s="178"/>
      <c r="B69" s="179"/>
      <c r="C69" s="113">
        <v>0</v>
      </c>
      <c r="D69" s="114">
        <f t="shared" ref="D69" si="16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A69" s="123"/>
    </row>
    <row r="70" spans="1:29" s="1" customFormat="1" ht="13.5" hidden="1" customHeight="1" thickBot="1" x14ac:dyDescent="0.2">
      <c r="A70" s="178"/>
      <c r="B70" s="179"/>
      <c r="C70" s="113">
        <v>0</v>
      </c>
      <c r="D70" s="114">
        <f t="shared" ref="D70" si="17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A70" s="123"/>
    </row>
    <row r="71" spans="1:29" s="1" customFormat="1" ht="13.5" hidden="1" customHeight="1" thickBot="1" x14ac:dyDescent="0.2">
      <c r="A71" s="180"/>
      <c r="B71" s="181"/>
      <c r="C71" s="113">
        <v>0</v>
      </c>
      <c r="D71" s="114">
        <f t="shared" ref="D71" si="18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A71" s="123"/>
    </row>
    <row r="72" spans="1:29" s="1" customFormat="1" ht="13.5" hidden="1" customHeight="1" thickBot="1" x14ac:dyDescent="0.2">
      <c r="A72" s="128"/>
      <c r="B72" s="129"/>
      <c r="C72" s="113">
        <v>0</v>
      </c>
      <c r="D72" s="114">
        <f t="shared" ref="D72:D73" si="19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A72" s="123"/>
    </row>
    <row r="73" spans="1:29" ht="18.75" hidden="1" customHeight="1" x14ac:dyDescent="0.15">
      <c r="A73" s="112"/>
      <c r="B73" s="182"/>
      <c r="C73" s="113">
        <v>0</v>
      </c>
      <c r="D73" s="114">
        <f t="shared" si="19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</row>
    <row r="74" spans="1:29" ht="18.75" hidden="1" customHeight="1" x14ac:dyDescent="0.15">
      <c r="A74" s="112"/>
      <c r="B74" s="182"/>
      <c r="C74" s="113">
        <v>0</v>
      </c>
      <c r="D74" s="114">
        <f t="shared" ref="D74" si="20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</row>
    <row r="75" spans="1:29" ht="18.75" hidden="1" customHeight="1" x14ac:dyDescent="0.15">
      <c r="A75" s="112"/>
      <c r="B75" s="182"/>
      <c r="C75" s="113">
        <v>0</v>
      </c>
      <c r="D75" s="114">
        <f t="shared" ref="D75" si="21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</row>
    <row r="76" spans="1:29" ht="18.75" hidden="1" customHeight="1" x14ac:dyDescent="0.15">
      <c r="A76" s="112"/>
      <c r="B76" s="182"/>
      <c r="C76" s="113">
        <v>0</v>
      </c>
      <c r="D76" s="114">
        <f t="shared" ref="D76" si="22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</row>
    <row r="77" spans="1:29" ht="14" hidden="1" x14ac:dyDescent="0.15">
      <c r="A77" s="112"/>
      <c r="B77" s="182"/>
      <c r="C77" s="113">
        <v>0</v>
      </c>
      <c r="D77" s="114">
        <f t="shared" ref="D77" si="23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C77" s="99"/>
    </row>
    <row r="78" spans="1:29" ht="15" hidden="1" customHeight="1" x14ac:dyDescent="0.15">
      <c r="A78" s="112"/>
      <c r="B78" s="182"/>
      <c r="C78" s="113">
        <v>0</v>
      </c>
      <c r="D78" s="117">
        <f t="shared" ref="D78" si="24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</row>
    <row r="79" spans="1:29" ht="15" hidden="1" customHeight="1" x14ac:dyDescent="0.15">
      <c r="A79" s="112"/>
      <c r="B79" s="182"/>
      <c r="C79" s="113">
        <v>0</v>
      </c>
      <c r="D79" s="114">
        <f t="shared" ref="D79" si="25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</row>
    <row r="80" spans="1:29" ht="15" hidden="1" customHeight="1" x14ac:dyDescent="0.15">
      <c r="A80" s="112"/>
      <c r="B80" s="182"/>
      <c r="C80" s="113">
        <v>0</v>
      </c>
      <c r="D80" s="117">
        <f t="shared" ref="D80" si="26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</row>
    <row r="81" spans="1:27" ht="15" hidden="1" customHeight="1" x14ac:dyDescent="0.15">
      <c r="A81" s="116"/>
      <c r="B81" s="182"/>
      <c r="C81" s="113">
        <v>0</v>
      </c>
      <c r="D81" s="114">
        <f t="shared" ref="D81" si="27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</row>
    <row r="82" spans="1:27" ht="15" hidden="1" customHeight="1" x14ac:dyDescent="0.15">
      <c r="A82" s="116"/>
      <c r="B82" s="182"/>
      <c r="C82" s="113">
        <v>0</v>
      </c>
      <c r="D82" s="114">
        <f t="shared" ref="D82" si="28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</row>
    <row r="83" spans="1:27" ht="15" hidden="1" customHeight="1" x14ac:dyDescent="0.15">
      <c r="A83" s="116"/>
      <c r="B83" s="182"/>
      <c r="C83" s="113">
        <v>0</v>
      </c>
      <c r="D83" s="114">
        <f t="shared" ref="D83" si="29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</row>
    <row r="84" spans="1:27" ht="15" hidden="1" customHeight="1" x14ac:dyDescent="0.15">
      <c r="A84" s="116"/>
      <c r="B84" s="182"/>
      <c r="C84" s="113">
        <v>0</v>
      </c>
      <c r="D84" s="114">
        <f t="shared" ref="D84" si="30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</row>
    <row r="85" spans="1:27" ht="15" hidden="1" customHeight="1" x14ac:dyDescent="0.15">
      <c r="A85" s="116"/>
      <c r="B85" s="182"/>
      <c r="C85" s="113">
        <v>0</v>
      </c>
      <c r="D85" s="114">
        <f t="shared" ref="D85" si="31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</row>
    <row r="86" spans="1:27" ht="15" hidden="1" customHeight="1" x14ac:dyDescent="0.15">
      <c r="A86" s="116"/>
      <c r="B86" s="182"/>
      <c r="C86" s="113">
        <v>0</v>
      </c>
      <c r="D86" s="114">
        <f t="shared" ref="D86" si="32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</row>
    <row r="87" spans="1:27" ht="15" hidden="1" customHeight="1" x14ac:dyDescent="0.15">
      <c r="A87" s="116"/>
      <c r="B87" s="182"/>
      <c r="C87" s="113">
        <v>0</v>
      </c>
      <c r="D87" s="114">
        <f t="shared" ref="D87" si="33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</row>
    <row r="88" spans="1:27" s="1" customFormat="1" ht="15" hidden="1" customHeight="1" x14ac:dyDescent="0.15">
      <c r="A88" s="116"/>
      <c r="B88" s="182"/>
      <c r="C88" s="113">
        <v>0</v>
      </c>
      <c r="D88" s="114">
        <f t="shared" ref="D88" si="34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A88" s="123"/>
    </row>
    <row r="89" spans="1:27" s="1" customFormat="1" ht="15" hidden="1" customHeight="1" x14ac:dyDescent="0.15">
      <c r="A89" s="118"/>
      <c r="B89" s="182"/>
      <c r="C89" s="113">
        <v>0</v>
      </c>
      <c r="D89" s="114">
        <f t="shared" ref="D89" si="35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A89" s="123"/>
    </row>
    <row r="90" spans="1:27" s="1" customFormat="1" ht="15" hidden="1" customHeight="1" x14ac:dyDescent="0.15">
      <c r="A90" s="119"/>
      <c r="B90" s="182"/>
      <c r="C90" s="113">
        <v>0</v>
      </c>
      <c r="D90" s="114">
        <f t="shared" ref="D90:D91" si="36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A90" s="123"/>
    </row>
    <row r="91" spans="1:27" s="1" customFormat="1" ht="15" hidden="1" customHeight="1" x14ac:dyDescent="0.15">
      <c r="A91" s="119"/>
      <c r="B91" s="182"/>
      <c r="C91" s="113">
        <v>0</v>
      </c>
      <c r="D91" s="114">
        <f t="shared" si="36"/>
        <v>0</v>
      </c>
      <c r="E91" s="113">
        <v>0</v>
      </c>
      <c r="F91" s="114">
        <f t="shared" ref="F91:F94" si="37">E91*$B$63</f>
        <v>0</v>
      </c>
      <c r="G91" s="113">
        <v>0</v>
      </c>
      <c r="H91" s="114">
        <f t="shared" ref="H91:H94" si="38">G91*$B$63</f>
        <v>0</v>
      </c>
      <c r="I91" s="113">
        <v>0</v>
      </c>
      <c r="J91" s="114">
        <f t="shared" ref="J91:J94" si="39">I91*$B$63</f>
        <v>0</v>
      </c>
      <c r="K91" s="113">
        <v>0</v>
      </c>
      <c r="L91" s="114">
        <f t="shared" ref="L91:L94" si="40">K91*$B$63</f>
        <v>0</v>
      </c>
      <c r="M91" s="113">
        <v>0</v>
      </c>
      <c r="N91" s="114">
        <f t="shared" ref="N91:N94" si="41">M91*$B$63</f>
        <v>0</v>
      </c>
      <c r="O91" s="113">
        <v>0</v>
      </c>
      <c r="P91" s="114">
        <f t="shared" ref="P91:P94" si="42">O91*$B$63</f>
        <v>0</v>
      </c>
      <c r="Q91" s="113">
        <v>0</v>
      </c>
      <c r="R91" s="114">
        <f t="shared" ref="R91:R94" si="43">Q91*$B$63</f>
        <v>0</v>
      </c>
      <c r="S91" s="113">
        <v>0</v>
      </c>
      <c r="T91" s="114">
        <f t="shared" ref="T91:T94" si="44">S91*$B$63</f>
        <v>0</v>
      </c>
      <c r="U91" s="113">
        <v>0</v>
      </c>
      <c r="V91" s="114">
        <f t="shared" ref="V91:V94" si="45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A91" s="123"/>
    </row>
    <row r="92" spans="1:27" s="1" customFormat="1" ht="15" hidden="1" customHeight="1" x14ac:dyDescent="0.15">
      <c r="A92" s="119"/>
      <c r="B92" s="182"/>
      <c r="C92" s="113">
        <v>0</v>
      </c>
      <c r="D92" s="114">
        <f t="shared" ref="D92" si="46">C92*$B$56</f>
        <v>0</v>
      </c>
      <c r="E92" s="113">
        <v>0</v>
      </c>
      <c r="F92" s="114">
        <f t="shared" si="37"/>
        <v>0</v>
      </c>
      <c r="G92" s="113">
        <v>0</v>
      </c>
      <c r="H92" s="114">
        <f t="shared" si="38"/>
        <v>0</v>
      </c>
      <c r="I92" s="113">
        <v>0</v>
      </c>
      <c r="J92" s="114">
        <f t="shared" si="39"/>
        <v>0</v>
      </c>
      <c r="K92" s="113">
        <v>0</v>
      </c>
      <c r="L92" s="114">
        <f t="shared" si="40"/>
        <v>0</v>
      </c>
      <c r="M92" s="113">
        <v>0</v>
      </c>
      <c r="N92" s="114">
        <f t="shared" si="41"/>
        <v>0</v>
      </c>
      <c r="O92" s="113">
        <v>0</v>
      </c>
      <c r="P92" s="114">
        <f t="shared" si="42"/>
        <v>0</v>
      </c>
      <c r="Q92" s="113">
        <v>0</v>
      </c>
      <c r="R92" s="114">
        <f t="shared" si="43"/>
        <v>0</v>
      </c>
      <c r="S92" s="113">
        <v>0</v>
      </c>
      <c r="T92" s="114">
        <f t="shared" si="44"/>
        <v>0</v>
      </c>
      <c r="U92" s="113">
        <v>0</v>
      </c>
      <c r="V92" s="114">
        <f t="shared" si="45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A92" s="123"/>
    </row>
    <row r="93" spans="1:27" s="1" customFormat="1" ht="15" hidden="1" customHeight="1" x14ac:dyDescent="0.15">
      <c r="A93" s="119"/>
      <c r="B93" s="182"/>
      <c r="C93" s="113">
        <v>0</v>
      </c>
      <c r="D93" s="114">
        <f t="shared" ref="D93" si="47">C93*$B$57</f>
        <v>0</v>
      </c>
      <c r="E93" s="113">
        <v>0</v>
      </c>
      <c r="F93" s="114">
        <f t="shared" si="37"/>
        <v>0</v>
      </c>
      <c r="G93" s="113">
        <v>0</v>
      </c>
      <c r="H93" s="114">
        <f t="shared" si="38"/>
        <v>0</v>
      </c>
      <c r="I93" s="113">
        <v>0</v>
      </c>
      <c r="J93" s="114">
        <f t="shared" si="39"/>
        <v>0</v>
      </c>
      <c r="K93" s="113">
        <v>0</v>
      </c>
      <c r="L93" s="114">
        <f t="shared" si="40"/>
        <v>0</v>
      </c>
      <c r="M93" s="113">
        <v>0</v>
      </c>
      <c r="N93" s="114">
        <f t="shared" si="41"/>
        <v>0</v>
      </c>
      <c r="O93" s="113">
        <v>0</v>
      </c>
      <c r="P93" s="114">
        <f t="shared" si="42"/>
        <v>0</v>
      </c>
      <c r="Q93" s="113">
        <v>0</v>
      </c>
      <c r="R93" s="114">
        <f t="shared" si="43"/>
        <v>0</v>
      </c>
      <c r="S93" s="113">
        <v>0</v>
      </c>
      <c r="T93" s="114">
        <f t="shared" si="44"/>
        <v>0</v>
      </c>
      <c r="U93" s="113">
        <v>0</v>
      </c>
      <c r="V93" s="114">
        <f t="shared" si="45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A93" s="123"/>
    </row>
    <row r="94" spans="1:27" s="1" customFormat="1" ht="15" hidden="1" customHeight="1" x14ac:dyDescent="0.15">
      <c r="A94" s="112"/>
      <c r="B94" s="182"/>
      <c r="C94" s="113">
        <v>0</v>
      </c>
      <c r="D94" s="114">
        <f t="shared" ref="D94" si="48">C94*$B$58</f>
        <v>0</v>
      </c>
      <c r="E94" s="113">
        <v>0</v>
      </c>
      <c r="F94" s="114">
        <f t="shared" si="37"/>
        <v>0</v>
      </c>
      <c r="G94" s="113">
        <v>0</v>
      </c>
      <c r="H94" s="114">
        <f t="shared" si="38"/>
        <v>0</v>
      </c>
      <c r="I94" s="113">
        <v>0</v>
      </c>
      <c r="J94" s="114">
        <f t="shared" si="39"/>
        <v>0</v>
      </c>
      <c r="K94" s="113">
        <v>0</v>
      </c>
      <c r="L94" s="114">
        <f t="shared" si="40"/>
        <v>0</v>
      </c>
      <c r="M94" s="113">
        <v>0</v>
      </c>
      <c r="N94" s="114">
        <f t="shared" si="41"/>
        <v>0</v>
      </c>
      <c r="O94" s="113">
        <v>0</v>
      </c>
      <c r="P94" s="114">
        <f t="shared" si="42"/>
        <v>0</v>
      </c>
      <c r="Q94" s="113">
        <v>0</v>
      </c>
      <c r="R94" s="114">
        <f t="shared" si="43"/>
        <v>0</v>
      </c>
      <c r="S94" s="113">
        <v>0</v>
      </c>
      <c r="T94" s="114">
        <f t="shared" si="44"/>
        <v>0</v>
      </c>
      <c r="U94" s="113">
        <v>0</v>
      </c>
      <c r="V94" s="114">
        <f t="shared" si="45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A94" s="123"/>
    </row>
    <row r="95" spans="1:27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A95" s="123"/>
    </row>
    <row r="96" spans="1:27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A96" s="123"/>
    </row>
    <row r="97" spans="1:26" ht="14" x14ac:dyDescent="0.15">
      <c r="A97" s="134" t="s">
        <v>13</v>
      </c>
      <c r="B97" s="135"/>
      <c r="C97" s="120"/>
      <c r="D97" s="121">
        <f>SUM(D28:D96)</f>
        <v>8926.4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</row>
    <row r="98" spans="1:26" ht="14" x14ac:dyDescent="0.15">
      <c r="A98" s="136" t="s">
        <v>14</v>
      </c>
      <c r="B98" s="132"/>
      <c r="C98" s="113"/>
      <c r="D98" s="114">
        <f>D97+D25</f>
        <v>10149.33916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</row>
    <row r="99" spans="1:26" ht="15" thickBot="1" x14ac:dyDescent="0.2">
      <c r="A99" s="137" t="s">
        <v>15</v>
      </c>
      <c r="B99" s="138">
        <v>9.7000000000000003E-2</v>
      </c>
      <c r="C99" s="126"/>
      <c r="D99" s="127">
        <f>D98*$B$99</f>
        <v>984.48589851999998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</row>
    <row r="100" spans="1:26" ht="14" x14ac:dyDescent="0.15">
      <c r="A100" s="134" t="s">
        <v>16</v>
      </c>
      <c r="B100" s="151"/>
      <c r="C100" s="120"/>
      <c r="D100" s="121">
        <f>D98+D99</f>
        <v>11133.82505852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</row>
    <row r="101" spans="1:26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</row>
    <row r="102" spans="1:26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</row>
    <row r="103" spans="1:26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</row>
    <row r="104" spans="1:26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11133.82505852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</row>
    <row r="105" spans="1:26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</row>
    <row r="106" spans="1:26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</row>
    <row r="107" spans="1:26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</row>
    <row r="108" spans="1:26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49">V104*$B$108</f>
        <v>#REF!</v>
      </c>
      <c r="W108" s="149"/>
      <c r="X108" s="145">
        <f>X104*$B$108</f>
        <v>0</v>
      </c>
      <c r="Y108" s="149"/>
      <c r="Z108" s="145">
        <f>Z104*$B$108</f>
        <v>0</v>
      </c>
    </row>
    <row r="109" spans="1:26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spans="1:26" ht="14" x14ac:dyDescent="0.15">
      <c r="A110" s="155" t="s">
        <v>31</v>
      </c>
      <c r="B110" s="150">
        <v>0.1</v>
      </c>
      <c r="C110" s="144"/>
      <c r="D110" s="170">
        <f>D100*B110</f>
        <v>1113.3825058520001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</row>
    <row r="111" spans="1:26" ht="15" thickBot="1" x14ac:dyDescent="0.2">
      <c r="A111" s="156" t="s">
        <v>32</v>
      </c>
      <c r="B111" s="157"/>
      <c r="C111" s="157"/>
      <c r="D111" s="158">
        <f>D110+D100</f>
        <v>12247.207564372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</row>
    <row r="112" spans="1:26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</row>
    <row r="113" spans="1:27" ht="15" thickBot="1" x14ac:dyDescent="0.2">
      <c r="A113" s="164" t="s">
        <v>33</v>
      </c>
      <c r="B113" s="165"/>
      <c r="C113" s="166"/>
      <c r="D113" s="167">
        <f>D112+D111</f>
        <v>12247.207564372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0">Z112+Z111</f>
        <v>39.261847644799992</v>
      </c>
    </row>
    <row r="114" spans="1:27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7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</row>
    <row r="116" spans="1:27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125"/>
    </row>
    <row r="117" spans="1:27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7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7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A119" s="124"/>
    </row>
    <row r="120" spans="1:27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124"/>
    </row>
    <row r="121" spans="1:27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7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7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7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7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7" x14ac:dyDescent="0.15">
      <c r="B126" s="122"/>
      <c r="D126" s="122"/>
    </row>
    <row r="127" spans="1:27" x14ac:dyDescent="0.15">
      <c r="B127" s="122"/>
      <c r="D127" s="122"/>
    </row>
    <row r="128" spans="1:27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76F8-888A-E440-8F72-B357BECF3EE9}">
  <sheetPr>
    <pageSetUpPr fitToPage="1"/>
  </sheetPr>
  <dimension ref="A1:AE149"/>
  <sheetViews>
    <sheetView topLeftCell="A3" workbookViewId="0">
      <selection activeCell="AB26" sqref="AB26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02" t="s">
        <v>76</v>
      </c>
      <c r="B2" s="7"/>
      <c r="C2" s="197" t="s">
        <v>73</v>
      </c>
      <c r="D2" s="198"/>
      <c r="E2" s="197" t="s">
        <v>22</v>
      </c>
      <c r="F2" s="198"/>
      <c r="G2" s="197" t="s">
        <v>23</v>
      </c>
      <c r="H2" s="198"/>
      <c r="I2" s="197" t="s">
        <v>24</v>
      </c>
      <c r="J2" s="198"/>
      <c r="K2" s="197" t="s">
        <v>25</v>
      </c>
      <c r="L2" s="198"/>
      <c r="M2" s="197" t="s">
        <v>26</v>
      </c>
      <c r="N2" s="198"/>
      <c r="O2" s="197" t="s">
        <v>27</v>
      </c>
      <c r="P2" s="198"/>
      <c r="Q2" s="197" t="s">
        <v>28</v>
      </c>
      <c r="R2" s="198"/>
      <c r="S2" s="197" t="s">
        <v>29</v>
      </c>
      <c r="T2" s="198"/>
      <c r="U2" s="197" t="s">
        <v>21</v>
      </c>
      <c r="V2" s="198"/>
      <c r="W2" s="197" t="s">
        <v>40</v>
      </c>
      <c r="X2" s="198"/>
      <c r="Y2" s="197" t="s">
        <v>41</v>
      </c>
      <c r="Z2" s="198"/>
    </row>
    <row r="3" spans="1:28" ht="45.75" customHeight="1" thickBot="1" x14ac:dyDescent="0.2">
      <c r="A3" s="203"/>
      <c r="B3" s="8" t="s">
        <v>0</v>
      </c>
      <c r="C3" s="199"/>
      <c r="D3" s="200"/>
      <c r="E3" s="199"/>
      <c r="F3" s="200"/>
      <c r="G3" s="199"/>
      <c r="H3" s="200"/>
      <c r="I3" s="199"/>
      <c r="J3" s="200"/>
      <c r="K3" s="199"/>
      <c r="L3" s="200"/>
      <c r="M3" s="199"/>
      <c r="N3" s="200"/>
      <c r="O3" s="199"/>
      <c r="P3" s="200"/>
      <c r="Q3" s="199"/>
      <c r="R3" s="200"/>
      <c r="S3" s="199"/>
      <c r="T3" s="200"/>
      <c r="U3" s="199"/>
      <c r="V3" s="200"/>
      <c r="W3" s="199"/>
      <c r="X3" s="200"/>
      <c r="Y3" s="199"/>
      <c r="Z3" s="200"/>
    </row>
    <row r="4" spans="1:28" ht="19" thickBot="1" x14ac:dyDescent="0.2">
      <c r="A4" s="192">
        <f>D113</f>
        <v>9445.0764297394999</v>
      </c>
      <c r="B4" s="8" t="s">
        <v>0</v>
      </c>
      <c r="C4" s="199"/>
      <c r="D4" s="200"/>
      <c r="E4" s="199"/>
      <c r="F4" s="200"/>
      <c r="G4" s="199"/>
      <c r="H4" s="200"/>
      <c r="I4" s="199"/>
      <c r="J4" s="200"/>
      <c r="K4" s="199"/>
      <c r="L4" s="200"/>
      <c r="M4" s="199"/>
      <c r="N4" s="200"/>
      <c r="O4" s="199"/>
      <c r="P4" s="200"/>
      <c r="Q4" s="199"/>
      <c r="R4" s="200"/>
      <c r="S4" s="199"/>
      <c r="T4" s="200"/>
      <c r="U4" s="199"/>
      <c r="V4" s="200"/>
      <c r="W4" s="199"/>
      <c r="X4" s="200"/>
      <c r="Y4" s="199"/>
      <c r="Z4" s="200"/>
    </row>
    <row r="5" spans="1:28" ht="21.75" customHeight="1" thickBot="1" x14ac:dyDescent="0.2">
      <c r="A5" s="9"/>
      <c r="B5" s="8" t="s">
        <v>0</v>
      </c>
      <c r="C5" s="199"/>
      <c r="D5" s="200"/>
      <c r="E5" s="199"/>
      <c r="F5" s="200"/>
      <c r="G5" s="199"/>
      <c r="H5" s="200"/>
      <c r="I5" s="199"/>
      <c r="J5" s="200"/>
      <c r="K5" s="199"/>
      <c r="L5" s="200"/>
      <c r="M5" s="199"/>
      <c r="N5" s="200"/>
      <c r="O5" s="199"/>
      <c r="P5" s="200"/>
      <c r="Q5" s="199"/>
      <c r="R5" s="200"/>
      <c r="S5" s="199"/>
      <c r="T5" s="200"/>
      <c r="U5" s="199"/>
      <c r="V5" s="200"/>
      <c r="W5" s="199"/>
      <c r="X5" s="200"/>
      <c r="Y5" s="199"/>
      <c r="Z5" s="200"/>
    </row>
    <row r="6" spans="1:28" ht="15" thickBot="1" x14ac:dyDescent="0.2">
      <c r="A6" s="10" t="s">
        <v>74</v>
      </c>
      <c r="B6" s="11" t="s">
        <v>0</v>
      </c>
      <c r="C6" s="195" t="s">
        <v>18</v>
      </c>
      <c r="D6" s="196"/>
      <c r="E6" s="195" t="s">
        <v>18</v>
      </c>
      <c r="F6" s="196"/>
      <c r="G6" s="195" t="s">
        <v>18</v>
      </c>
      <c r="H6" s="196"/>
      <c r="I6" s="201" t="s">
        <v>18</v>
      </c>
      <c r="J6" s="196"/>
      <c r="K6" s="201" t="s">
        <v>18</v>
      </c>
      <c r="L6" s="196"/>
      <c r="M6" s="195" t="s">
        <v>18</v>
      </c>
      <c r="N6" s="196"/>
      <c r="O6" s="195" t="s">
        <v>18</v>
      </c>
      <c r="P6" s="196"/>
      <c r="Q6" s="195" t="s">
        <v>18</v>
      </c>
      <c r="R6" s="196"/>
      <c r="S6" s="195" t="s">
        <v>18</v>
      </c>
      <c r="T6" s="196"/>
      <c r="U6" s="195" t="s">
        <v>18</v>
      </c>
      <c r="V6" s="196"/>
      <c r="W6" s="195" t="s">
        <v>18</v>
      </c>
      <c r="X6" s="196"/>
      <c r="Y6" s="195" t="s">
        <v>18</v>
      </c>
      <c r="Z6" s="196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90" t="s">
        <v>46</v>
      </c>
    </row>
    <row r="9" spans="1:28" ht="14" x14ac:dyDescent="0.15">
      <c r="A9" s="21" t="s">
        <v>47</v>
      </c>
      <c r="B9" s="22">
        <v>37</v>
      </c>
      <c r="C9" s="23">
        <v>3</v>
      </c>
      <c r="D9" s="24">
        <f>C9*$B$9</f>
        <v>111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02"/>
    </row>
    <row r="10" spans="1:28" ht="22.25" customHeight="1" x14ac:dyDescent="0.15">
      <c r="A10" s="25" t="s">
        <v>36</v>
      </c>
      <c r="B10" s="189">
        <v>28.85</v>
      </c>
      <c r="C10" s="23">
        <v>3</v>
      </c>
      <c r="D10" s="24">
        <f>C10*$B$10</f>
        <v>86.550000000000011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86"/>
    </row>
    <row r="11" spans="1:28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/>
    </row>
    <row r="12" spans="1:28" ht="14" x14ac:dyDescent="0.15">
      <c r="A12" s="27" t="s">
        <v>62</v>
      </c>
      <c r="B12" s="26">
        <v>16</v>
      </c>
      <c r="C12" s="28">
        <v>3</v>
      </c>
      <c r="D12" s="24">
        <f>C12*$B$12</f>
        <v>48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  <c r="AB12" s="102"/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7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8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8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8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8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/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 t="shared" ref="C21:D21" si="1">SUM(C9:C20)</f>
        <v>9</v>
      </c>
      <c r="D21" s="48">
        <f t="shared" si="1"/>
        <v>245.55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1.6451850000000001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9</v>
      </c>
      <c r="D25" s="64">
        <f>SUM(D21:D21, D23)</f>
        <v>247.19518500000001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 t="s">
        <v>72</v>
      </c>
      <c r="B28" s="73">
        <v>0</v>
      </c>
      <c r="C28" s="71">
        <v>1</v>
      </c>
      <c r="D28" s="38">
        <f>C28*$B$28</f>
        <v>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/>
    </row>
    <row r="29" spans="1:28" ht="14" x14ac:dyDescent="0.15">
      <c r="A29" s="72" t="s">
        <v>64</v>
      </c>
      <c r="B29" s="73">
        <v>0</v>
      </c>
      <c r="C29" s="71">
        <v>4</v>
      </c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/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5"/>
    </row>
    <row r="33" spans="1:28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5"/>
    </row>
    <row r="34" spans="1:28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/>
    </row>
    <row r="35" spans="1:28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/>
    </row>
    <row r="36" spans="1:28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28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/>
    </row>
    <row r="38" spans="1:28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28" ht="14" x14ac:dyDescent="0.15">
      <c r="A39" s="172"/>
      <c r="B39" s="173"/>
      <c r="C39" s="174"/>
      <c r="D39" s="175"/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  <c r="AB39" s="177"/>
    </row>
    <row r="40" spans="1:28" ht="15" x14ac:dyDescent="0.15">
      <c r="A40" s="89" t="s">
        <v>10</v>
      </c>
      <c r="B40" s="90">
        <v>400</v>
      </c>
      <c r="C40" s="71">
        <v>1</v>
      </c>
      <c r="D40" s="38">
        <f>C40*$B$40</f>
        <v>400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  <c r="AB40" s="169"/>
    </row>
    <row r="41" spans="1:28" ht="15" x14ac:dyDescent="0.15">
      <c r="A41" s="191" t="s">
        <v>81</v>
      </c>
      <c r="B41" s="90">
        <v>80</v>
      </c>
      <c r="C41" s="71">
        <v>1</v>
      </c>
      <c r="D41" s="38">
        <f>C41*B41</f>
        <v>80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  <c r="AB41" s="169"/>
    </row>
    <row r="42" spans="1:28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  <c r="AB42" s="99"/>
    </row>
    <row r="43" spans="1:28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  <c r="AB43" s="99"/>
    </row>
    <row r="44" spans="1:28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  <c r="AB44" s="99"/>
    </row>
    <row r="45" spans="1:28" ht="18.75" customHeight="1" x14ac:dyDescent="0.15">
      <c r="A45" s="112" t="s">
        <v>77</v>
      </c>
      <c r="B45" s="182">
        <v>500</v>
      </c>
      <c r="C45" s="113">
        <v>1</v>
      </c>
      <c r="D45" s="114">
        <f>C45*$B$45</f>
        <v>500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99"/>
    </row>
    <row r="46" spans="1:28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28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  <c r="AB47" s="99"/>
    </row>
    <row r="48" spans="1:28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  <c r="AB48" s="99"/>
    </row>
    <row r="49" spans="1:31" ht="15" x14ac:dyDescent="0.15">
      <c r="A49" s="112" t="s">
        <v>80</v>
      </c>
      <c r="B49" s="182">
        <v>3300</v>
      </c>
      <c r="C49" s="113">
        <v>2</v>
      </c>
      <c r="D49" s="114">
        <f>C49*$B$49</f>
        <v>6600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B49" s="99"/>
      <c r="AE49" s="99"/>
    </row>
    <row r="50" spans="1:31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  <c r="AB50" s="99"/>
    </row>
    <row r="51" spans="1:31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  <c r="AB51" s="99"/>
    </row>
    <row r="52" spans="1:31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  <c r="AB52" s="99"/>
    </row>
    <row r="53" spans="1:31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  <c r="AB53" s="99"/>
    </row>
    <row r="54" spans="1:31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  <c r="AB54" s="99"/>
    </row>
    <row r="55" spans="1:31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  <c r="AB55" s="99"/>
    </row>
    <row r="56" spans="1:31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  <c r="AB56" s="99"/>
    </row>
    <row r="57" spans="1:31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  <c r="AB57" s="99"/>
    </row>
    <row r="58" spans="1:31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  <c r="AB58" s="99"/>
    </row>
    <row r="59" spans="1:31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  <c r="AB59" s="99"/>
    </row>
    <row r="60" spans="1:31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B60" s="99"/>
      <c r="AC60" s="123"/>
    </row>
    <row r="61" spans="1:31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B61" s="99"/>
      <c r="AC61" s="123"/>
    </row>
    <row r="62" spans="1:31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B62" s="99"/>
      <c r="AC62" s="123"/>
    </row>
    <row r="63" spans="1:31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B63" s="99"/>
      <c r="AC63" s="123"/>
    </row>
    <row r="64" spans="1:31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B64" s="99"/>
      <c r="AC64" s="123"/>
    </row>
    <row r="65" spans="1:31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B65" s="99"/>
      <c r="AC65" s="123"/>
    </row>
    <row r="66" spans="1:31" s="1" customFormat="1" ht="33" customHeight="1" x14ac:dyDescent="0.15">
      <c r="A66" s="112"/>
      <c r="B66" s="182"/>
      <c r="C66" s="113">
        <v>1</v>
      </c>
      <c r="D66" s="114"/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B66" s="99"/>
      <c r="AC66" s="123"/>
    </row>
    <row r="67" spans="1:31" s="1" customFormat="1" ht="17.25" customHeight="1" x14ac:dyDescent="0.15">
      <c r="A67" s="112"/>
      <c r="B67" s="182"/>
      <c r="C67" s="113">
        <v>0</v>
      </c>
      <c r="D67" s="114">
        <f t="shared" ref="D67" si="15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7.25" hidden="1" customHeight="1" x14ac:dyDescent="0.15">
      <c r="A68" s="112"/>
      <c r="B68" s="182"/>
      <c r="C68" s="113">
        <v>0</v>
      </c>
      <c r="D68" s="114">
        <f t="shared" ref="D68" si="16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B68" s="99"/>
      <c r="AC68" s="123"/>
    </row>
    <row r="69" spans="1:31" s="1" customFormat="1" ht="13.5" hidden="1" customHeight="1" thickBot="1" x14ac:dyDescent="0.2">
      <c r="A69" s="178"/>
      <c r="B69" s="179"/>
      <c r="C69" s="113">
        <v>0</v>
      </c>
      <c r="D69" s="114">
        <f t="shared" ref="D69" si="17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B69" s="99"/>
      <c r="AC69" s="123"/>
    </row>
    <row r="70" spans="1:31" s="1" customFormat="1" ht="13.5" hidden="1" customHeight="1" thickBot="1" x14ac:dyDescent="0.2">
      <c r="A70" s="178"/>
      <c r="B70" s="179"/>
      <c r="C70" s="113">
        <v>0</v>
      </c>
      <c r="D70" s="114">
        <f t="shared" ref="D70" si="18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B70" s="99"/>
      <c r="AC70" s="123"/>
    </row>
    <row r="71" spans="1:31" s="1" customFormat="1" ht="13.5" hidden="1" customHeight="1" thickBot="1" x14ac:dyDescent="0.2">
      <c r="A71" s="180"/>
      <c r="B71" s="181"/>
      <c r="C71" s="113">
        <v>0</v>
      </c>
      <c r="D71" s="114">
        <f t="shared" ref="D71" si="19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B71" s="99"/>
      <c r="AC71" s="123"/>
    </row>
    <row r="72" spans="1:31" s="1" customFormat="1" ht="13.5" hidden="1" customHeight="1" thickBot="1" x14ac:dyDescent="0.2">
      <c r="A72" s="128"/>
      <c r="B72" s="129"/>
      <c r="C72" s="113">
        <v>0</v>
      </c>
      <c r="D72" s="114">
        <f t="shared" ref="D72:D73" si="20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B72" s="99"/>
      <c r="AC72" s="123"/>
    </row>
    <row r="73" spans="1:31" ht="18.75" hidden="1" customHeight="1" x14ac:dyDescent="0.15">
      <c r="A73" s="112"/>
      <c r="B73" s="182"/>
      <c r="C73" s="113">
        <v>0</v>
      </c>
      <c r="D73" s="114">
        <f t="shared" si="20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82"/>
      <c r="C74" s="113">
        <v>0</v>
      </c>
      <c r="D74" s="114">
        <f t="shared" ref="D74" si="21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82"/>
      <c r="C75" s="113">
        <v>0</v>
      </c>
      <c r="D75" s="114">
        <f t="shared" ref="D75" si="22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  <c r="AB75" s="99"/>
    </row>
    <row r="76" spans="1:31" ht="18.75" hidden="1" customHeight="1" x14ac:dyDescent="0.15">
      <c r="A76" s="112"/>
      <c r="B76" s="182"/>
      <c r="C76" s="113">
        <v>0</v>
      </c>
      <c r="D76" s="114">
        <f t="shared" ref="D76" si="23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  <c r="AB76" s="99"/>
    </row>
    <row r="77" spans="1:31" ht="14" hidden="1" x14ac:dyDescent="0.15">
      <c r="A77" s="112"/>
      <c r="B77" s="182"/>
      <c r="C77" s="113">
        <v>0</v>
      </c>
      <c r="D77" s="114">
        <f t="shared" ref="D77" si="24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B77" s="99"/>
      <c r="AE77" s="99"/>
    </row>
    <row r="78" spans="1:31" ht="15" hidden="1" customHeight="1" x14ac:dyDescent="0.15">
      <c r="A78" s="112"/>
      <c r="B78" s="182"/>
      <c r="C78" s="113">
        <v>0</v>
      </c>
      <c r="D78" s="117">
        <f t="shared" ref="D78" si="25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  <c r="AB78" s="99"/>
    </row>
    <row r="79" spans="1:31" ht="15" hidden="1" customHeight="1" x14ac:dyDescent="0.15">
      <c r="A79" s="112"/>
      <c r="B79" s="182"/>
      <c r="C79" s="113">
        <v>0</v>
      </c>
      <c r="D79" s="114">
        <f t="shared" ref="D79" si="26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  <c r="AB79" s="99"/>
    </row>
    <row r="80" spans="1:31" ht="15" hidden="1" customHeight="1" x14ac:dyDescent="0.15">
      <c r="A80" s="112"/>
      <c r="B80" s="182"/>
      <c r="C80" s="113">
        <v>0</v>
      </c>
      <c r="D80" s="117">
        <f t="shared" ref="D80" si="27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  <c r="AB80" s="99"/>
    </row>
    <row r="81" spans="1:29" ht="15" hidden="1" customHeight="1" x14ac:dyDescent="0.15">
      <c r="A81" s="116"/>
      <c r="B81" s="182"/>
      <c r="C81" s="113">
        <v>0</v>
      </c>
      <c r="D81" s="114">
        <f t="shared" ref="D81" si="28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  <c r="AB81" s="99"/>
    </row>
    <row r="82" spans="1:29" ht="15" hidden="1" customHeight="1" x14ac:dyDescent="0.15">
      <c r="A82" s="116"/>
      <c r="B82" s="182"/>
      <c r="C82" s="113">
        <v>0</v>
      </c>
      <c r="D82" s="114">
        <f t="shared" ref="D82" si="29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  <c r="AB82" s="99"/>
    </row>
    <row r="83" spans="1:29" ht="15" hidden="1" customHeight="1" x14ac:dyDescent="0.15">
      <c r="A83" s="116"/>
      <c r="B83" s="182"/>
      <c r="C83" s="113">
        <v>0</v>
      </c>
      <c r="D83" s="114">
        <f t="shared" ref="D83" si="30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  <c r="AB83" s="99"/>
    </row>
    <row r="84" spans="1:29" ht="15" hidden="1" customHeight="1" x14ac:dyDescent="0.15">
      <c r="A84" s="116"/>
      <c r="B84" s="182"/>
      <c r="C84" s="113">
        <v>0</v>
      </c>
      <c r="D84" s="114">
        <f t="shared" ref="D84" si="31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  <c r="AB84" s="99"/>
    </row>
    <row r="85" spans="1:29" ht="15" hidden="1" customHeight="1" x14ac:dyDescent="0.15">
      <c r="A85" s="116"/>
      <c r="B85" s="182"/>
      <c r="C85" s="113">
        <v>0</v>
      </c>
      <c r="D85" s="114">
        <f t="shared" ref="D85" si="32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  <c r="AB85" s="99"/>
    </row>
    <row r="86" spans="1:29" ht="15" hidden="1" customHeight="1" x14ac:dyDescent="0.15">
      <c r="A86" s="116"/>
      <c r="B86" s="182"/>
      <c r="C86" s="113">
        <v>0</v>
      </c>
      <c r="D86" s="114">
        <f t="shared" ref="D86" si="33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  <c r="AB86" s="99"/>
    </row>
    <row r="87" spans="1:29" ht="15" hidden="1" customHeight="1" x14ac:dyDescent="0.15">
      <c r="A87" s="116"/>
      <c r="B87" s="182"/>
      <c r="C87" s="113">
        <v>0</v>
      </c>
      <c r="D87" s="114">
        <f t="shared" ref="D87" si="34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  <c r="AB87" s="99"/>
    </row>
    <row r="88" spans="1:29" s="1" customFormat="1" ht="15" hidden="1" customHeight="1" x14ac:dyDescent="0.15">
      <c r="A88" s="116"/>
      <c r="B88" s="182"/>
      <c r="C88" s="113">
        <v>0</v>
      </c>
      <c r="D88" s="114">
        <f t="shared" ref="D88" si="35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B88" s="99"/>
      <c r="AC88" s="123"/>
    </row>
    <row r="89" spans="1:29" s="1" customFormat="1" ht="15" hidden="1" customHeight="1" x14ac:dyDescent="0.15">
      <c r="A89" s="118"/>
      <c r="B89" s="182"/>
      <c r="C89" s="113">
        <v>0</v>
      </c>
      <c r="D89" s="114">
        <f t="shared" ref="D89" si="36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82"/>
      <c r="C90" s="113">
        <v>0</v>
      </c>
      <c r="D90" s="114">
        <f t="shared" ref="D90:D91" si="37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82"/>
      <c r="C91" s="113">
        <v>0</v>
      </c>
      <c r="D91" s="114">
        <f t="shared" si="37"/>
        <v>0</v>
      </c>
      <c r="E91" s="113">
        <v>0</v>
      </c>
      <c r="F91" s="114">
        <f t="shared" ref="F91:F94" si="38">E91*$B$63</f>
        <v>0</v>
      </c>
      <c r="G91" s="113">
        <v>0</v>
      </c>
      <c r="H91" s="114">
        <f t="shared" ref="H91:H94" si="39">G91*$B$63</f>
        <v>0</v>
      </c>
      <c r="I91" s="113">
        <v>0</v>
      </c>
      <c r="J91" s="114">
        <f t="shared" ref="J91:J94" si="40">I91*$B$63</f>
        <v>0</v>
      </c>
      <c r="K91" s="113">
        <v>0</v>
      </c>
      <c r="L91" s="114">
        <f t="shared" ref="L91:L94" si="41">K91*$B$63</f>
        <v>0</v>
      </c>
      <c r="M91" s="113">
        <v>0</v>
      </c>
      <c r="N91" s="114">
        <f t="shared" ref="N91:N94" si="42">M91*$B$63</f>
        <v>0</v>
      </c>
      <c r="O91" s="113">
        <v>0</v>
      </c>
      <c r="P91" s="114">
        <f t="shared" ref="P91:P94" si="43">O91*$B$63</f>
        <v>0</v>
      </c>
      <c r="Q91" s="113">
        <v>0</v>
      </c>
      <c r="R91" s="114">
        <f t="shared" ref="R91:R94" si="44">Q91*$B$63</f>
        <v>0</v>
      </c>
      <c r="S91" s="113">
        <v>0</v>
      </c>
      <c r="T91" s="114">
        <f t="shared" ref="T91:T94" si="45">S91*$B$63</f>
        <v>0</v>
      </c>
      <c r="U91" s="113">
        <v>0</v>
      </c>
      <c r="V91" s="114">
        <f t="shared" ref="V91:V94" si="46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B91" s="99"/>
      <c r="AC91" s="123"/>
    </row>
    <row r="92" spans="1:29" s="1" customFormat="1" ht="15" hidden="1" customHeight="1" x14ac:dyDescent="0.15">
      <c r="A92" s="119"/>
      <c r="B92" s="182"/>
      <c r="C92" s="113">
        <v>0</v>
      </c>
      <c r="D92" s="114">
        <f t="shared" ref="D92" si="47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B92" s="99"/>
      <c r="AC92" s="123"/>
    </row>
    <row r="93" spans="1:29" s="1" customFormat="1" ht="15" hidden="1" customHeight="1" x14ac:dyDescent="0.15">
      <c r="A93" s="119"/>
      <c r="B93" s="182"/>
      <c r="C93" s="113">
        <v>0</v>
      </c>
      <c r="D93" s="114">
        <f t="shared" ref="D93" si="48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B93" s="99"/>
      <c r="AC93" s="123"/>
    </row>
    <row r="94" spans="1:29" s="1" customFormat="1" ht="15" hidden="1" customHeight="1" x14ac:dyDescent="0.15">
      <c r="A94" s="112"/>
      <c r="B94" s="182"/>
      <c r="C94" s="113">
        <v>0</v>
      </c>
      <c r="D94" s="114">
        <f t="shared" ref="D94" si="49">C94*$B$58</f>
        <v>0</v>
      </c>
      <c r="E94" s="113">
        <v>0</v>
      </c>
      <c r="F94" s="114">
        <f t="shared" si="38"/>
        <v>0</v>
      </c>
      <c r="G94" s="113">
        <v>0</v>
      </c>
      <c r="H94" s="114">
        <f t="shared" si="39"/>
        <v>0</v>
      </c>
      <c r="I94" s="113">
        <v>0</v>
      </c>
      <c r="J94" s="114">
        <f t="shared" si="40"/>
        <v>0</v>
      </c>
      <c r="K94" s="113">
        <v>0</v>
      </c>
      <c r="L94" s="114">
        <f t="shared" si="41"/>
        <v>0</v>
      </c>
      <c r="M94" s="113">
        <v>0</v>
      </c>
      <c r="N94" s="114">
        <f t="shared" si="42"/>
        <v>0</v>
      </c>
      <c r="O94" s="113">
        <v>0</v>
      </c>
      <c r="P94" s="114">
        <f t="shared" si="43"/>
        <v>0</v>
      </c>
      <c r="Q94" s="113">
        <v>0</v>
      </c>
      <c r="R94" s="114">
        <f t="shared" si="44"/>
        <v>0</v>
      </c>
      <c r="S94" s="113">
        <v>0</v>
      </c>
      <c r="T94" s="114">
        <f t="shared" si="45"/>
        <v>0</v>
      </c>
      <c r="U94" s="113">
        <v>0</v>
      </c>
      <c r="V94" s="114">
        <f t="shared" si="46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B94" s="99"/>
      <c r="AC94" s="123"/>
    </row>
    <row r="95" spans="1:29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B95" s="99"/>
      <c r="AC95" s="123"/>
    </row>
    <row r="96" spans="1:29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B96" s="99"/>
      <c r="AC96" s="123"/>
    </row>
    <row r="97" spans="1:28" ht="14" x14ac:dyDescent="0.15">
      <c r="A97" s="134" t="s">
        <v>13</v>
      </c>
      <c r="B97" s="135"/>
      <c r="C97" s="120"/>
      <c r="D97" s="121">
        <f>SUM(D28:D96)</f>
        <v>7580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  <c r="AB97" s="183"/>
    </row>
    <row r="98" spans="1:28" ht="14" x14ac:dyDescent="0.15">
      <c r="A98" s="136" t="s">
        <v>14</v>
      </c>
      <c r="B98" s="132"/>
      <c r="C98" s="113"/>
      <c r="D98" s="114">
        <f>D97+D25</f>
        <v>7827.1951849999996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  <c r="AB98" s="183"/>
    </row>
    <row r="99" spans="1:28" ht="15" thickBot="1" x14ac:dyDescent="0.2">
      <c r="A99" s="137" t="s">
        <v>15</v>
      </c>
      <c r="B99" s="138">
        <v>9.7000000000000003E-2</v>
      </c>
      <c r="C99" s="126"/>
      <c r="D99" s="127">
        <f>D98*$B$99</f>
        <v>759.23793294500001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  <c r="AB99" s="183"/>
    </row>
    <row r="100" spans="1:28" ht="14" x14ac:dyDescent="0.15">
      <c r="A100" s="134" t="s">
        <v>16</v>
      </c>
      <c r="B100" s="151"/>
      <c r="C100" s="120"/>
      <c r="D100" s="121">
        <f>D98+D99</f>
        <v>8586.433117945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  <c r="AA100" s="2"/>
      <c r="AB100" s="183"/>
    </row>
    <row r="101" spans="1:28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  <c r="AB101" s="183"/>
    </row>
    <row r="102" spans="1:28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  <c r="AB102" s="183"/>
    </row>
    <row r="103" spans="1:28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  <c r="AB103" s="183"/>
    </row>
    <row r="104" spans="1:28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8586.433117945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  <c r="AB104" s="183"/>
    </row>
    <row r="105" spans="1:28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  <c r="AB105" s="183"/>
    </row>
    <row r="106" spans="1:28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  <c r="AB106" s="183"/>
    </row>
    <row r="107" spans="1:28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  <c r="AB107" s="183"/>
    </row>
    <row r="108" spans="1:28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50">V104*$B$108</f>
        <v>#REF!</v>
      </c>
      <c r="W108" s="149"/>
      <c r="X108" s="145">
        <f>X104*$B$108</f>
        <v>0</v>
      </c>
      <c r="Y108" s="149"/>
      <c r="Z108" s="145">
        <f>Z104*$B$108</f>
        <v>0</v>
      </c>
      <c r="AB108" s="183"/>
    </row>
    <row r="109" spans="1:28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B109" s="183"/>
    </row>
    <row r="110" spans="1:28" ht="14" x14ac:dyDescent="0.15">
      <c r="A110" s="155" t="s">
        <v>31</v>
      </c>
      <c r="B110" s="150">
        <v>0.1</v>
      </c>
      <c r="C110" s="144"/>
      <c r="D110" s="170">
        <f>D100*B110</f>
        <v>858.64331179450005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  <c r="AB110" s="183"/>
    </row>
    <row r="111" spans="1:28" ht="15" thickBot="1" x14ac:dyDescent="0.2">
      <c r="A111" s="156" t="s">
        <v>32</v>
      </c>
      <c r="B111" s="157"/>
      <c r="C111" s="157"/>
      <c r="D111" s="158">
        <f>D110+D100</f>
        <v>9445.0764297394999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  <c r="AB111" s="183"/>
    </row>
    <row r="112" spans="1:28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  <c r="AB112" s="183"/>
    </row>
    <row r="113" spans="1:29" ht="15" thickBot="1" x14ac:dyDescent="0.2">
      <c r="A113" s="164" t="s">
        <v>33</v>
      </c>
      <c r="B113" s="165"/>
      <c r="C113" s="166"/>
      <c r="D113" s="167">
        <f>D112+D111</f>
        <v>9445.0764297394999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1">Z112+Z111</f>
        <v>39.261847644799992</v>
      </c>
      <c r="AB113" s="183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99"/>
    </row>
    <row r="115" spans="1:29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  <c r="AB115" s="183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9"/>
      <c r="AC116" s="125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02"/>
    </row>
    <row r="118" spans="1:29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99"/>
    </row>
    <row r="119" spans="1:29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24"/>
    </row>
    <row r="120" spans="1:29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24"/>
    </row>
    <row r="121" spans="1:29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22"/>
      <c r="D126" s="122"/>
    </row>
    <row r="127" spans="1:29" x14ac:dyDescent="0.15">
      <c r="B127" s="122"/>
      <c r="D127" s="122"/>
    </row>
    <row r="128" spans="1:29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F869-EFC1-414D-9C52-19E3DE80F231}">
  <sheetPr>
    <pageSetUpPr fitToPage="1"/>
  </sheetPr>
  <dimension ref="A1:AE149"/>
  <sheetViews>
    <sheetView topLeftCell="A11" workbookViewId="0">
      <selection activeCell="B41" sqref="B41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02" t="s">
        <v>78</v>
      </c>
      <c r="B2" s="7"/>
      <c r="C2" s="197" t="s">
        <v>73</v>
      </c>
      <c r="D2" s="198"/>
      <c r="E2" s="197" t="s">
        <v>22</v>
      </c>
      <c r="F2" s="198"/>
      <c r="G2" s="197" t="s">
        <v>23</v>
      </c>
      <c r="H2" s="198"/>
      <c r="I2" s="197" t="s">
        <v>24</v>
      </c>
      <c r="J2" s="198"/>
      <c r="K2" s="197" t="s">
        <v>25</v>
      </c>
      <c r="L2" s="198"/>
      <c r="M2" s="197" t="s">
        <v>26</v>
      </c>
      <c r="N2" s="198"/>
      <c r="O2" s="197" t="s">
        <v>27</v>
      </c>
      <c r="P2" s="198"/>
      <c r="Q2" s="197" t="s">
        <v>28</v>
      </c>
      <c r="R2" s="198"/>
      <c r="S2" s="197" t="s">
        <v>29</v>
      </c>
      <c r="T2" s="198"/>
      <c r="U2" s="197" t="s">
        <v>21</v>
      </c>
      <c r="V2" s="198"/>
      <c r="W2" s="197" t="s">
        <v>40</v>
      </c>
      <c r="X2" s="198"/>
      <c r="Y2" s="197" t="s">
        <v>41</v>
      </c>
      <c r="Z2" s="198"/>
    </row>
    <row r="3" spans="1:28" ht="45.75" customHeight="1" thickBot="1" x14ac:dyDescent="0.2">
      <c r="A3" s="203"/>
      <c r="B3" s="8" t="s">
        <v>0</v>
      </c>
      <c r="C3" s="199"/>
      <c r="D3" s="200"/>
      <c r="E3" s="199"/>
      <c r="F3" s="200"/>
      <c r="G3" s="199"/>
      <c r="H3" s="200"/>
      <c r="I3" s="199"/>
      <c r="J3" s="200"/>
      <c r="K3" s="199"/>
      <c r="L3" s="200"/>
      <c r="M3" s="199"/>
      <c r="N3" s="200"/>
      <c r="O3" s="199"/>
      <c r="P3" s="200"/>
      <c r="Q3" s="199"/>
      <c r="R3" s="200"/>
      <c r="S3" s="199"/>
      <c r="T3" s="200"/>
      <c r="U3" s="199"/>
      <c r="V3" s="200"/>
      <c r="W3" s="199"/>
      <c r="X3" s="200"/>
      <c r="Y3" s="199"/>
      <c r="Z3" s="200"/>
    </row>
    <row r="4" spans="1:28" ht="19" thickBot="1" x14ac:dyDescent="0.2">
      <c r="A4" s="192">
        <f>D113</f>
        <v>7840.1654297394998</v>
      </c>
      <c r="B4" s="8" t="s">
        <v>0</v>
      </c>
      <c r="C4" s="199"/>
      <c r="D4" s="200"/>
      <c r="E4" s="199"/>
      <c r="F4" s="200"/>
      <c r="G4" s="199"/>
      <c r="H4" s="200"/>
      <c r="I4" s="199"/>
      <c r="J4" s="200"/>
      <c r="K4" s="199"/>
      <c r="L4" s="200"/>
      <c r="M4" s="199"/>
      <c r="N4" s="200"/>
      <c r="O4" s="199"/>
      <c r="P4" s="200"/>
      <c r="Q4" s="199"/>
      <c r="R4" s="200"/>
      <c r="S4" s="199"/>
      <c r="T4" s="200"/>
      <c r="U4" s="199"/>
      <c r="V4" s="200"/>
      <c r="W4" s="199"/>
      <c r="X4" s="200"/>
      <c r="Y4" s="199"/>
      <c r="Z4" s="200"/>
    </row>
    <row r="5" spans="1:28" ht="21.75" customHeight="1" thickBot="1" x14ac:dyDescent="0.2">
      <c r="A5" s="9"/>
      <c r="B5" s="8" t="s">
        <v>0</v>
      </c>
      <c r="C5" s="199"/>
      <c r="D5" s="200"/>
      <c r="E5" s="199"/>
      <c r="F5" s="200"/>
      <c r="G5" s="199"/>
      <c r="H5" s="200"/>
      <c r="I5" s="199"/>
      <c r="J5" s="200"/>
      <c r="K5" s="199"/>
      <c r="L5" s="200"/>
      <c r="M5" s="199"/>
      <c r="N5" s="200"/>
      <c r="O5" s="199"/>
      <c r="P5" s="200"/>
      <c r="Q5" s="199"/>
      <c r="R5" s="200"/>
      <c r="S5" s="199"/>
      <c r="T5" s="200"/>
      <c r="U5" s="199"/>
      <c r="V5" s="200"/>
      <c r="W5" s="199"/>
      <c r="X5" s="200"/>
      <c r="Y5" s="199"/>
      <c r="Z5" s="200"/>
    </row>
    <row r="6" spans="1:28" ht="15" thickBot="1" x14ac:dyDescent="0.2">
      <c r="A6" s="10" t="s">
        <v>74</v>
      </c>
      <c r="B6" s="11" t="s">
        <v>0</v>
      </c>
      <c r="C6" s="195" t="s">
        <v>18</v>
      </c>
      <c r="D6" s="196"/>
      <c r="E6" s="195" t="s">
        <v>18</v>
      </c>
      <c r="F6" s="196"/>
      <c r="G6" s="195" t="s">
        <v>18</v>
      </c>
      <c r="H6" s="196"/>
      <c r="I6" s="201" t="s">
        <v>18</v>
      </c>
      <c r="J6" s="196"/>
      <c r="K6" s="201" t="s">
        <v>18</v>
      </c>
      <c r="L6" s="196"/>
      <c r="M6" s="195" t="s">
        <v>18</v>
      </c>
      <c r="N6" s="196"/>
      <c r="O6" s="195" t="s">
        <v>18</v>
      </c>
      <c r="P6" s="196"/>
      <c r="Q6" s="195" t="s">
        <v>18</v>
      </c>
      <c r="R6" s="196"/>
      <c r="S6" s="195" t="s">
        <v>18</v>
      </c>
      <c r="T6" s="196"/>
      <c r="U6" s="195" t="s">
        <v>18</v>
      </c>
      <c r="V6" s="196"/>
      <c r="W6" s="195" t="s">
        <v>18</v>
      </c>
      <c r="X6" s="196"/>
      <c r="Y6" s="195" t="s">
        <v>18</v>
      </c>
      <c r="Z6" s="196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90" t="s">
        <v>46</v>
      </c>
    </row>
    <row r="9" spans="1:28" ht="14" x14ac:dyDescent="0.15">
      <c r="A9" s="21" t="s">
        <v>47</v>
      </c>
      <c r="B9" s="22">
        <v>37</v>
      </c>
      <c r="C9" s="23">
        <v>3</v>
      </c>
      <c r="D9" s="24">
        <f>C9*$B$9</f>
        <v>111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02" t="s">
        <v>59</v>
      </c>
    </row>
    <row r="10" spans="1:28" ht="22.25" customHeight="1" x14ac:dyDescent="0.15">
      <c r="A10" s="25" t="s">
        <v>36</v>
      </c>
      <c r="B10" s="189">
        <v>28.85</v>
      </c>
      <c r="C10" s="23">
        <v>3</v>
      </c>
      <c r="D10" s="24">
        <f>C10*$B$10</f>
        <v>86.550000000000011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86"/>
    </row>
    <row r="11" spans="1:28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 t="s">
        <v>60</v>
      </c>
    </row>
    <row r="12" spans="1:28" ht="14" x14ac:dyDescent="0.15">
      <c r="A12" s="27" t="s">
        <v>62</v>
      </c>
      <c r="B12" s="26">
        <v>16</v>
      </c>
      <c r="C12" s="28">
        <v>3</v>
      </c>
      <c r="D12" s="24">
        <f>C12*$B$12</f>
        <v>48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  <c r="AB12" s="102" t="s">
        <v>61</v>
      </c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7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  <c r="AB15" t="s">
        <v>67</v>
      </c>
    </row>
    <row r="16" spans="1:28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  <c r="AB16" t="s">
        <v>66</v>
      </c>
    </row>
    <row r="17" spans="1:28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  <c r="AB17" t="s">
        <v>66</v>
      </c>
    </row>
    <row r="18" spans="1:28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  <c r="AB18" t="s">
        <v>69</v>
      </c>
    </row>
    <row r="19" spans="1:28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 t="s">
        <v>68</v>
      </c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 t="shared" ref="C21:D21" si="1">SUM(C9:C20)</f>
        <v>9</v>
      </c>
      <c r="D21" s="48">
        <f t="shared" si="1"/>
        <v>245.55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1.6451850000000001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9</v>
      </c>
      <c r="D25" s="64">
        <f>SUM(D21:D21, D23)</f>
        <v>247.19518500000001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 t="s">
        <v>72</v>
      </c>
      <c r="B28" s="73">
        <v>0</v>
      </c>
      <c r="C28" s="71">
        <v>1</v>
      </c>
      <c r="D28" s="38">
        <f>C28*$B$28</f>
        <v>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 t="s">
        <v>63</v>
      </c>
    </row>
    <row r="29" spans="1:28" ht="14" x14ac:dyDescent="0.15">
      <c r="A29" s="72" t="s">
        <v>64</v>
      </c>
      <c r="B29" s="73">
        <v>0</v>
      </c>
      <c r="C29" s="71">
        <v>4</v>
      </c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 t="s">
        <v>71</v>
      </c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5" t="s">
        <v>51</v>
      </c>
    </row>
    <row r="33" spans="1:28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5" t="s">
        <v>53</v>
      </c>
    </row>
    <row r="34" spans="1:28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 t="s">
        <v>55</v>
      </c>
    </row>
    <row r="35" spans="1:28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 t="s">
        <v>56</v>
      </c>
    </row>
    <row r="36" spans="1:28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28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 t="s">
        <v>44</v>
      </c>
    </row>
    <row r="38" spans="1:28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28" ht="14" x14ac:dyDescent="0.15">
      <c r="A39" s="172"/>
      <c r="B39" s="173"/>
      <c r="C39" s="174"/>
      <c r="D39" s="175"/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  <c r="AB39" s="177"/>
    </row>
    <row r="40" spans="1:28" ht="15" x14ac:dyDescent="0.15">
      <c r="A40" s="89" t="s">
        <v>10</v>
      </c>
      <c r="B40" s="90"/>
      <c r="C40" s="71">
        <v>1</v>
      </c>
      <c r="D40" s="38">
        <f>C40*$B$40</f>
        <v>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  <c r="AB40" s="169" t="s">
        <v>49</v>
      </c>
    </row>
    <row r="41" spans="1:28" ht="15" x14ac:dyDescent="0.15">
      <c r="A41" s="191"/>
      <c r="B41" s="90">
        <v>0</v>
      </c>
      <c r="C41" s="71">
        <v>1</v>
      </c>
      <c r="D41" s="38">
        <f>C41*B41</f>
        <v>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  <c r="AB41" s="169" t="s">
        <v>65</v>
      </c>
    </row>
    <row r="42" spans="1:28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  <c r="AB42" s="99"/>
    </row>
    <row r="43" spans="1:28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  <c r="AB43" s="99"/>
    </row>
    <row r="44" spans="1:28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  <c r="AB44" s="99"/>
    </row>
    <row r="45" spans="1:28" ht="18.75" customHeight="1" x14ac:dyDescent="0.15">
      <c r="A45" s="112" t="s">
        <v>79</v>
      </c>
      <c r="B45" s="182">
        <v>1250</v>
      </c>
      <c r="C45" s="113">
        <v>1</v>
      </c>
      <c r="D45" s="114">
        <f>C45*$B$45</f>
        <v>1250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99"/>
    </row>
    <row r="46" spans="1:28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28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  <c r="AB47" s="99"/>
    </row>
    <row r="48" spans="1:28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  <c r="AB48" s="99"/>
    </row>
    <row r="49" spans="1:31" ht="15" x14ac:dyDescent="0.15">
      <c r="A49" s="112" t="s">
        <v>75</v>
      </c>
      <c r="B49" s="182">
        <v>5000</v>
      </c>
      <c r="C49" s="113">
        <v>1</v>
      </c>
      <c r="D49" s="114">
        <f>C49*$B$49</f>
        <v>5000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B49" s="99"/>
      <c r="AE49" s="99"/>
    </row>
    <row r="50" spans="1:31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  <c r="AB50" s="99"/>
    </row>
    <row r="51" spans="1:31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  <c r="AB51" s="99"/>
    </row>
    <row r="52" spans="1:31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  <c r="AB52" s="99"/>
    </row>
    <row r="53" spans="1:31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  <c r="AB53" s="99"/>
    </row>
    <row r="54" spans="1:31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  <c r="AB54" s="99"/>
    </row>
    <row r="55" spans="1:31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  <c r="AB55" s="99"/>
    </row>
    <row r="56" spans="1:31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  <c r="AB56" s="99"/>
    </row>
    <row r="57" spans="1:31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  <c r="AB57" s="99"/>
    </row>
    <row r="58" spans="1:31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  <c r="AB58" s="99"/>
    </row>
    <row r="59" spans="1:31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  <c r="AB59" s="99"/>
    </row>
    <row r="60" spans="1:31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B60" s="99"/>
      <c r="AC60" s="123"/>
    </row>
    <row r="61" spans="1:31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B61" s="99"/>
      <c r="AC61" s="123"/>
    </row>
    <row r="62" spans="1:31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B62" s="99"/>
      <c r="AC62" s="123"/>
    </row>
    <row r="63" spans="1:31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B63" s="99"/>
      <c r="AC63" s="123"/>
    </row>
    <row r="64" spans="1:31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B64" s="99"/>
      <c r="AC64" s="123"/>
    </row>
    <row r="65" spans="1:31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B65" s="99"/>
      <c r="AC65" s="123"/>
    </row>
    <row r="66" spans="1:31" s="1" customFormat="1" ht="33" customHeight="1" x14ac:dyDescent="0.15">
      <c r="A66" s="112"/>
      <c r="B66" s="182"/>
      <c r="C66" s="113">
        <v>1</v>
      </c>
      <c r="D66" s="114"/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B66" s="99"/>
      <c r="AC66" s="123"/>
    </row>
    <row r="67" spans="1:31" s="1" customFormat="1" ht="17.25" customHeight="1" x14ac:dyDescent="0.15">
      <c r="A67" s="112"/>
      <c r="B67" s="182"/>
      <c r="C67" s="113">
        <v>0</v>
      </c>
      <c r="D67" s="114">
        <f t="shared" ref="D67" si="15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7.25" hidden="1" customHeight="1" x14ac:dyDescent="0.15">
      <c r="A68" s="112"/>
      <c r="B68" s="182"/>
      <c r="C68" s="113">
        <v>0</v>
      </c>
      <c r="D68" s="114">
        <f t="shared" ref="D68" si="16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B68" s="99"/>
      <c r="AC68" s="123"/>
    </row>
    <row r="69" spans="1:31" s="1" customFormat="1" ht="13.5" hidden="1" customHeight="1" thickBot="1" x14ac:dyDescent="0.2">
      <c r="A69" s="178"/>
      <c r="B69" s="179"/>
      <c r="C69" s="113">
        <v>0</v>
      </c>
      <c r="D69" s="114">
        <f t="shared" ref="D69" si="17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B69" s="99"/>
      <c r="AC69" s="123"/>
    </row>
    <row r="70" spans="1:31" s="1" customFormat="1" ht="13.5" hidden="1" customHeight="1" thickBot="1" x14ac:dyDescent="0.2">
      <c r="A70" s="178"/>
      <c r="B70" s="179"/>
      <c r="C70" s="113">
        <v>0</v>
      </c>
      <c r="D70" s="114">
        <f t="shared" ref="D70" si="18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B70" s="99"/>
      <c r="AC70" s="123"/>
    </row>
    <row r="71" spans="1:31" s="1" customFormat="1" ht="13.5" hidden="1" customHeight="1" thickBot="1" x14ac:dyDescent="0.2">
      <c r="A71" s="180"/>
      <c r="B71" s="181"/>
      <c r="C71" s="113">
        <v>0</v>
      </c>
      <c r="D71" s="114">
        <f t="shared" ref="D71" si="19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B71" s="99"/>
      <c r="AC71" s="123"/>
    </row>
    <row r="72" spans="1:31" s="1" customFormat="1" ht="13.5" hidden="1" customHeight="1" thickBot="1" x14ac:dyDescent="0.2">
      <c r="A72" s="128"/>
      <c r="B72" s="129"/>
      <c r="C72" s="113">
        <v>0</v>
      </c>
      <c r="D72" s="114">
        <f t="shared" ref="D72:D73" si="20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B72" s="99"/>
      <c r="AC72" s="123"/>
    </row>
    <row r="73" spans="1:31" ht="18.75" hidden="1" customHeight="1" x14ac:dyDescent="0.15">
      <c r="A73" s="112"/>
      <c r="B73" s="182"/>
      <c r="C73" s="113">
        <v>0</v>
      </c>
      <c r="D73" s="114">
        <f t="shared" si="20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82"/>
      <c r="C74" s="113">
        <v>0</v>
      </c>
      <c r="D74" s="114">
        <f t="shared" ref="D74" si="21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82"/>
      <c r="C75" s="113">
        <v>0</v>
      </c>
      <c r="D75" s="114">
        <f t="shared" ref="D75" si="22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  <c r="AB75" s="99"/>
    </row>
    <row r="76" spans="1:31" ht="18.75" hidden="1" customHeight="1" x14ac:dyDescent="0.15">
      <c r="A76" s="112"/>
      <c r="B76" s="182"/>
      <c r="C76" s="113">
        <v>0</v>
      </c>
      <c r="D76" s="114">
        <f t="shared" ref="D76" si="23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  <c r="AB76" s="99"/>
    </row>
    <row r="77" spans="1:31" ht="14" hidden="1" x14ac:dyDescent="0.15">
      <c r="A77" s="112"/>
      <c r="B77" s="182"/>
      <c r="C77" s="113">
        <v>0</v>
      </c>
      <c r="D77" s="114">
        <f t="shared" ref="D77" si="24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B77" s="99"/>
      <c r="AE77" s="99"/>
    </row>
    <row r="78" spans="1:31" ht="15" hidden="1" customHeight="1" x14ac:dyDescent="0.15">
      <c r="A78" s="112"/>
      <c r="B78" s="182"/>
      <c r="C78" s="113">
        <v>0</v>
      </c>
      <c r="D78" s="117">
        <f t="shared" ref="D78" si="25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  <c r="AB78" s="99"/>
    </row>
    <row r="79" spans="1:31" ht="15" hidden="1" customHeight="1" x14ac:dyDescent="0.15">
      <c r="A79" s="112"/>
      <c r="B79" s="182"/>
      <c r="C79" s="113">
        <v>0</v>
      </c>
      <c r="D79" s="114">
        <f t="shared" ref="D79" si="26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  <c r="AB79" s="99"/>
    </row>
    <row r="80" spans="1:31" ht="15" hidden="1" customHeight="1" x14ac:dyDescent="0.15">
      <c r="A80" s="112"/>
      <c r="B80" s="182"/>
      <c r="C80" s="113">
        <v>0</v>
      </c>
      <c r="D80" s="117">
        <f t="shared" ref="D80" si="27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  <c r="AB80" s="99"/>
    </row>
    <row r="81" spans="1:29" ht="15" hidden="1" customHeight="1" x14ac:dyDescent="0.15">
      <c r="A81" s="116"/>
      <c r="B81" s="182"/>
      <c r="C81" s="113">
        <v>0</v>
      </c>
      <c r="D81" s="114">
        <f t="shared" ref="D81" si="28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  <c r="AB81" s="99"/>
    </row>
    <row r="82" spans="1:29" ht="15" hidden="1" customHeight="1" x14ac:dyDescent="0.15">
      <c r="A82" s="116"/>
      <c r="B82" s="182"/>
      <c r="C82" s="113">
        <v>0</v>
      </c>
      <c r="D82" s="114">
        <f t="shared" ref="D82" si="29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  <c r="AB82" s="99"/>
    </row>
    <row r="83" spans="1:29" ht="15" hidden="1" customHeight="1" x14ac:dyDescent="0.15">
      <c r="A83" s="116"/>
      <c r="B83" s="182"/>
      <c r="C83" s="113">
        <v>0</v>
      </c>
      <c r="D83" s="114">
        <f t="shared" ref="D83" si="30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  <c r="AB83" s="99"/>
    </row>
    <row r="84" spans="1:29" ht="15" hidden="1" customHeight="1" x14ac:dyDescent="0.15">
      <c r="A84" s="116"/>
      <c r="B84" s="182"/>
      <c r="C84" s="113">
        <v>0</v>
      </c>
      <c r="D84" s="114">
        <f t="shared" ref="D84" si="31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  <c r="AB84" s="99"/>
    </row>
    <row r="85" spans="1:29" ht="15" hidden="1" customHeight="1" x14ac:dyDescent="0.15">
      <c r="A85" s="116"/>
      <c r="B85" s="182"/>
      <c r="C85" s="113">
        <v>0</v>
      </c>
      <c r="D85" s="114">
        <f t="shared" ref="D85" si="32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  <c r="AB85" s="99"/>
    </row>
    <row r="86" spans="1:29" ht="15" hidden="1" customHeight="1" x14ac:dyDescent="0.15">
      <c r="A86" s="116"/>
      <c r="B86" s="182"/>
      <c r="C86" s="113">
        <v>0</v>
      </c>
      <c r="D86" s="114">
        <f t="shared" ref="D86" si="33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  <c r="AB86" s="99"/>
    </row>
    <row r="87" spans="1:29" ht="15" hidden="1" customHeight="1" x14ac:dyDescent="0.15">
      <c r="A87" s="116"/>
      <c r="B87" s="182"/>
      <c r="C87" s="113">
        <v>0</v>
      </c>
      <c r="D87" s="114">
        <f t="shared" ref="D87" si="34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  <c r="AB87" s="99"/>
    </row>
    <row r="88" spans="1:29" s="1" customFormat="1" ht="15" hidden="1" customHeight="1" x14ac:dyDescent="0.15">
      <c r="A88" s="116"/>
      <c r="B88" s="182"/>
      <c r="C88" s="113">
        <v>0</v>
      </c>
      <c r="D88" s="114">
        <f t="shared" ref="D88" si="35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B88" s="99"/>
      <c r="AC88" s="123"/>
    </row>
    <row r="89" spans="1:29" s="1" customFormat="1" ht="15" hidden="1" customHeight="1" x14ac:dyDescent="0.15">
      <c r="A89" s="118"/>
      <c r="B89" s="182"/>
      <c r="C89" s="113">
        <v>0</v>
      </c>
      <c r="D89" s="114">
        <f t="shared" ref="D89" si="36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82"/>
      <c r="C90" s="113">
        <v>0</v>
      </c>
      <c r="D90" s="114">
        <f t="shared" ref="D90:D91" si="37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82"/>
      <c r="C91" s="113">
        <v>0</v>
      </c>
      <c r="D91" s="114">
        <f t="shared" si="37"/>
        <v>0</v>
      </c>
      <c r="E91" s="113">
        <v>0</v>
      </c>
      <c r="F91" s="114">
        <f t="shared" ref="F91:F94" si="38">E91*$B$63</f>
        <v>0</v>
      </c>
      <c r="G91" s="113">
        <v>0</v>
      </c>
      <c r="H91" s="114">
        <f t="shared" ref="H91:H94" si="39">G91*$B$63</f>
        <v>0</v>
      </c>
      <c r="I91" s="113">
        <v>0</v>
      </c>
      <c r="J91" s="114">
        <f t="shared" ref="J91:J94" si="40">I91*$B$63</f>
        <v>0</v>
      </c>
      <c r="K91" s="113">
        <v>0</v>
      </c>
      <c r="L91" s="114">
        <f t="shared" ref="L91:L94" si="41">K91*$B$63</f>
        <v>0</v>
      </c>
      <c r="M91" s="113">
        <v>0</v>
      </c>
      <c r="N91" s="114">
        <f t="shared" ref="N91:N94" si="42">M91*$B$63</f>
        <v>0</v>
      </c>
      <c r="O91" s="113">
        <v>0</v>
      </c>
      <c r="P91" s="114">
        <f t="shared" ref="P91:P94" si="43">O91*$B$63</f>
        <v>0</v>
      </c>
      <c r="Q91" s="113">
        <v>0</v>
      </c>
      <c r="R91" s="114">
        <f t="shared" ref="R91:R94" si="44">Q91*$B$63</f>
        <v>0</v>
      </c>
      <c r="S91" s="113">
        <v>0</v>
      </c>
      <c r="T91" s="114">
        <f t="shared" ref="T91:T94" si="45">S91*$B$63</f>
        <v>0</v>
      </c>
      <c r="U91" s="113">
        <v>0</v>
      </c>
      <c r="V91" s="114">
        <f t="shared" ref="V91:V94" si="46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B91" s="99"/>
      <c r="AC91" s="123"/>
    </row>
    <row r="92" spans="1:29" s="1" customFormat="1" ht="15" hidden="1" customHeight="1" x14ac:dyDescent="0.15">
      <c r="A92" s="119"/>
      <c r="B92" s="182"/>
      <c r="C92" s="113">
        <v>0</v>
      </c>
      <c r="D92" s="114">
        <f t="shared" ref="D92" si="47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B92" s="99"/>
      <c r="AC92" s="123"/>
    </row>
    <row r="93" spans="1:29" s="1" customFormat="1" ht="15" hidden="1" customHeight="1" x14ac:dyDescent="0.15">
      <c r="A93" s="119"/>
      <c r="B93" s="182"/>
      <c r="C93" s="113">
        <v>0</v>
      </c>
      <c r="D93" s="114">
        <f t="shared" ref="D93" si="48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B93" s="99"/>
      <c r="AC93" s="123"/>
    </row>
    <row r="94" spans="1:29" s="1" customFormat="1" ht="15" hidden="1" customHeight="1" x14ac:dyDescent="0.15">
      <c r="A94" s="112"/>
      <c r="B94" s="182"/>
      <c r="C94" s="113">
        <v>0</v>
      </c>
      <c r="D94" s="114">
        <f t="shared" ref="D94" si="49">C94*$B$58</f>
        <v>0</v>
      </c>
      <c r="E94" s="113">
        <v>0</v>
      </c>
      <c r="F94" s="114">
        <f t="shared" si="38"/>
        <v>0</v>
      </c>
      <c r="G94" s="113">
        <v>0</v>
      </c>
      <c r="H94" s="114">
        <f t="shared" si="39"/>
        <v>0</v>
      </c>
      <c r="I94" s="113">
        <v>0</v>
      </c>
      <c r="J94" s="114">
        <f t="shared" si="40"/>
        <v>0</v>
      </c>
      <c r="K94" s="113">
        <v>0</v>
      </c>
      <c r="L94" s="114">
        <f t="shared" si="41"/>
        <v>0</v>
      </c>
      <c r="M94" s="113">
        <v>0</v>
      </c>
      <c r="N94" s="114">
        <f t="shared" si="42"/>
        <v>0</v>
      </c>
      <c r="O94" s="113">
        <v>0</v>
      </c>
      <c r="P94" s="114">
        <f t="shared" si="43"/>
        <v>0</v>
      </c>
      <c r="Q94" s="113">
        <v>0</v>
      </c>
      <c r="R94" s="114">
        <f t="shared" si="44"/>
        <v>0</v>
      </c>
      <c r="S94" s="113">
        <v>0</v>
      </c>
      <c r="T94" s="114">
        <f t="shared" si="45"/>
        <v>0</v>
      </c>
      <c r="U94" s="113">
        <v>0</v>
      </c>
      <c r="V94" s="114">
        <f t="shared" si="46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B94" s="99"/>
      <c r="AC94" s="123"/>
    </row>
    <row r="95" spans="1:29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B95" s="99"/>
      <c r="AC95" s="123"/>
    </row>
    <row r="96" spans="1:29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B96" s="99"/>
      <c r="AC96" s="123"/>
    </row>
    <row r="97" spans="1:28" ht="14" x14ac:dyDescent="0.15">
      <c r="A97" s="134" t="s">
        <v>13</v>
      </c>
      <c r="B97" s="135"/>
      <c r="C97" s="120"/>
      <c r="D97" s="121">
        <f>SUM(D28:D96)</f>
        <v>6250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  <c r="AB97" s="183"/>
    </row>
    <row r="98" spans="1:28" ht="14" x14ac:dyDescent="0.15">
      <c r="A98" s="136" t="s">
        <v>14</v>
      </c>
      <c r="B98" s="132"/>
      <c r="C98" s="113"/>
      <c r="D98" s="114">
        <f>D97+D25</f>
        <v>6497.1951849999996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  <c r="AB98" s="183"/>
    </row>
    <row r="99" spans="1:28" ht="15" thickBot="1" x14ac:dyDescent="0.2">
      <c r="A99" s="137" t="s">
        <v>15</v>
      </c>
      <c r="B99" s="138">
        <v>9.7000000000000003E-2</v>
      </c>
      <c r="C99" s="126"/>
      <c r="D99" s="127">
        <f>D98*$B$99</f>
        <v>630.22793294500002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  <c r="AB99" s="183"/>
    </row>
    <row r="100" spans="1:28" ht="14" x14ac:dyDescent="0.15">
      <c r="A100" s="134" t="s">
        <v>16</v>
      </c>
      <c r="B100" s="151"/>
      <c r="C100" s="120"/>
      <c r="D100" s="121">
        <f>D98+D99</f>
        <v>7127.4231179449998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  <c r="AA100" s="2"/>
      <c r="AB100" s="183"/>
    </row>
    <row r="101" spans="1:28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  <c r="AB101" s="183"/>
    </row>
    <row r="102" spans="1:28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  <c r="AB102" s="183"/>
    </row>
    <row r="103" spans="1:28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  <c r="AB103" s="183"/>
    </row>
    <row r="104" spans="1:28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7127.4231179449998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  <c r="AB104" s="183"/>
    </row>
    <row r="105" spans="1:28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  <c r="AB105" s="183"/>
    </row>
    <row r="106" spans="1:28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  <c r="AB106" s="183"/>
    </row>
    <row r="107" spans="1:28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  <c r="AB107" s="183"/>
    </row>
    <row r="108" spans="1:28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50">V104*$B$108</f>
        <v>#REF!</v>
      </c>
      <c r="W108" s="149"/>
      <c r="X108" s="145">
        <f>X104*$B$108</f>
        <v>0</v>
      </c>
      <c r="Y108" s="149"/>
      <c r="Z108" s="145">
        <f>Z104*$B$108</f>
        <v>0</v>
      </c>
      <c r="AB108" s="183"/>
    </row>
    <row r="109" spans="1:28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B109" s="183"/>
    </row>
    <row r="110" spans="1:28" ht="14" x14ac:dyDescent="0.15">
      <c r="A110" s="155" t="s">
        <v>31</v>
      </c>
      <c r="B110" s="150">
        <v>0.1</v>
      </c>
      <c r="C110" s="144"/>
      <c r="D110" s="170">
        <f>D100*B110</f>
        <v>712.74231179449998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  <c r="AB110" s="183"/>
    </row>
    <row r="111" spans="1:28" ht="15" thickBot="1" x14ac:dyDescent="0.2">
      <c r="A111" s="156" t="s">
        <v>32</v>
      </c>
      <c r="B111" s="157"/>
      <c r="C111" s="157"/>
      <c r="D111" s="158">
        <f>D110+D100</f>
        <v>7840.1654297394998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  <c r="AB111" s="183"/>
    </row>
    <row r="112" spans="1:28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  <c r="AB112" s="183"/>
    </row>
    <row r="113" spans="1:29" ht="15" thickBot="1" x14ac:dyDescent="0.2">
      <c r="A113" s="164" t="s">
        <v>33</v>
      </c>
      <c r="B113" s="165"/>
      <c r="C113" s="166"/>
      <c r="D113" s="167">
        <f>D112+D111</f>
        <v>7840.1654297394998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1">Z112+Z111</f>
        <v>39.261847644799992</v>
      </c>
      <c r="AB113" s="183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99"/>
    </row>
    <row r="115" spans="1:29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  <c r="AB115" s="183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9"/>
      <c r="AC116" s="125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02"/>
    </row>
    <row r="118" spans="1:29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99"/>
    </row>
    <row r="119" spans="1:29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24"/>
    </row>
    <row r="120" spans="1:29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24"/>
    </row>
    <row r="121" spans="1:29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22"/>
      <c r="D126" s="122"/>
    </row>
    <row r="127" spans="1:29" x14ac:dyDescent="0.15">
      <c r="B127" s="122"/>
      <c r="D127" s="122"/>
    </row>
    <row r="128" spans="1:29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 1</vt:lpstr>
      <vt:lpstr>Item 2</vt:lpstr>
      <vt:lpstr>Item 3</vt:lpstr>
      <vt:lpstr>Impact Doors</vt:lpstr>
      <vt:lpstr>Glass Partition Frosted</vt:lpstr>
    </vt:vector>
  </TitlesOfParts>
  <Company>STEP,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2019-12-03T13:23:59Z</cp:lastPrinted>
  <dcterms:created xsi:type="dcterms:W3CDTF">2007-04-19T17:12:01Z</dcterms:created>
  <dcterms:modified xsi:type="dcterms:W3CDTF">2020-09-14T20:06:33Z</dcterms:modified>
</cp:coreProperties>
</file>