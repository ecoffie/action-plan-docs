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ria/Desktop/Consultating/USCG/"/>
    </mc:Choice>
  </mc:AlternateContent>
  <xr:revisionPtr revIDLastSave="0" documentId="13_ncr:1_{EEAC944C-E8B7-2C46-9957-7AE6A838FC7F}" xr6:coauthVersionLast="45" xr6:coauthVersionMax="45" xr10:uidLastSave="{00000000-0000-0000-0000-000000000000}"/>
  <bookViews>
    <workbookView xWindow="420" yWindow="960" windowWidth="25600" windowHeight="15940" tabRatio="706" activeTab="4" xr2:uid="{00000000-000D-0000-FFFF-FFFF00000000}"/>
  </bookViews>
  <sheets>
    <sheet name="Fishbowl Carpet" sheetId="25" r:id="rId1"/>
    <sheet name="Fishbowl Hallway" sheetId="16" r:id="rId2"/>
    <sheet name="Fishbowl Floor" sheetId="17" r:id="rId3"/>
    <sheet name="Fishbowl Door" sheetId="18" r:id="rId4"/>
    <sheet name="Mesh Screens" sheetId="24" r:id="rId5"/>
    <sheet name="Impact Doors" sheetId="20" state="hidden" r:id="rId6"/>
    <sheet name="Glass Partition Frosted" sheetId="23" state="hidden" r:id="rId7"/>
  </sheets>
  <definedNames>
    <definedName name="check" localSheetId="0">'Fishbowl Carpet'!#REF!</definedName>
    <definedName name="check" localSheetId="3">'Fishbowl Door'!#REF!</definedName>
    <definedName name="check" localSheetId="2">'Fishbowl Floor'!#REF!</definedName>
    <definedName name="check" localSheetId="1">'Fishbowl Hallway'!#REF!</definedName>
    <definedName name="check" localSheetId="6">'Glass Partition Frosted'!#REF!</definedName>
    <definedName name="check" localSheetId="5">'Impact Doors'!#REF!</definedName>
    <definedName name="check" localSheetId="4">'Mesh Screens'!#REF!</definedName>
    <definedName name="check">#REF!</definedName>
    <definedName name="_xlnm.Print_Area" localSheetId="0">'Fishbowl Carpet'!$A$1:$AA$116</definedName>
    <definedName name="_xlnm.Print_Area" localSheetId="3">'Fishbowl Door'!$A$1:$AA$114</definedName>
    <definedName name="_xlnm.Print_Area" localSheetId="2">'Fishbowl Floor'!$A$1:$AA$115</definedName>
    <definedName name="_xlnm.Print_Area" localSheetId="1">'Fishbowl Hallway'!$A$1:$AA$115</definedName>
    <definedName name="_xlnm.Print_Area" localSheetId="4">'Mesh Screens'!$A$1:$AA$115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2" i="25" l="1"/>
  <c r="Z96" i="25"/>
  <c r="X96" i="25"/>
  <c r="V96" i="25"/>
  <c r="T96" i="25"/>
  <c r="R96" i="25"/>
  <c r="P96" i="25"/>
  <c r="N96" i="25"/>
  <c r="L96" i="25"/>
  <c r="J96" i="25"/>
  <c r="H96" i="25"/>
  <c r="F96" i="25"/>
  <c r="D96" i="25"/>
  <c r="Z95" i="25"/>
  <c r="X95" i="25"/>
  <c r="V95" i="25"/>
  <c r="T95" i="25"/>
  <c r="R95" i="25"/>
  <c r="P95" i="25"/>
  <c r="N95" i="25"/>
  <c r="L95" i="25"/>
  <c r="J95" i="25"/>
  <c r="H95" i="25"/>
  <c r="F95" i="25"/>
  <c r="D95" i="25"/>
  <c r="Z94" i="25"/>
  <c r="X94" i="25"/>
  <c r="V94" i="25"/>
  <c r="T94" i="25"/>
  <c r="R94" i="25"/>
  <c r="P94" i="25"/>
  <c r="N94" i="25"/>
  <c r="L94" i="25"/>
  <c r="J94" i="25"/>
  <c r="H94" i="25"/>
  <c r="F94" i="25"/>
  <c r="D94" i="25"/>
  <c r="Z93" i="25"/>
  <c r="X93" i="25"/>
  <c r="V93" i="25"/>
  <c r="T93" i="25"/>
  <c r="R93" i="25"/>
  <c r="P93" i="25"/>
  <c r="N93" i="25"/>
  <c r="L93" i="25"/>
  <c r="J93" i="25"/>
  <c r="H93" i="25"/>
  <c r="F93" i="25"/>
  <c r="D93" i="25"/>
  <c r="Z92" i="25"/>
  <c r="X92" i="25"/>
  <c r="V92" i="25"/>
  <c r="T92" i="25"/>
  <c r="R92" i="25"/>
  <c r="P92" i="25"/>
  <c r="N92" i="25"/>
  <c r="L92" i="25"/>
  <c r="J92" i="25"/>
  <c r="H92" i="25"/>
  <c r="F92" i="25"/>
  <c r="D92" i="25"/>
  <c r="Z91" i="25"/>
  <c r="X91" i="25"/>
  <c r="V91" i="25"/>
  <c r="T91" i="25"/>
  <c r="R91" i="25"/>
  <c r="P91" i="25"/>
  <c r="N91" i="25"/>
  <c r="L91" i="25"/>
  <c r="J91" i="25"/>
  <c r="H91" i="25"/>
  <c r="F91" i="25"/>
  <c r="D91" i="25"/>
  <c r="Z90" i="25"/>
  <c r="X90" i="25"/>
  <c r="V90" i="25"/>
  <c r="T90" i="25"/>
  <c r="R90" i="25"/>
  <c r="P90" i="25"/>
  <c r="N90" i="25"/>
  <c r="L90" i="25"/>
  <c r="J90" i="25"/>
  <c r="H90" i="25"/>
  <c r="F90" i="25"/>
  <c r="D90" i="25"/>
  <c r="Z89" i="25"/>
  <c r="X89" i="25"/>
  <c r="V89" i="25"/>
  <c r="T89" i="25"/>
  <c r="R89" i="25"/>
  <c r="P89" i="25"/>
  <c r="N89" i="25"/>
  <c r="L89" i="25"/>
  <c r="J89" i="25"/>
  <c r="H89" i="25"/>
  <c r="F89" i="25"/>
  <c r="D89" i="25"/>
  <c r="Z88" i="25"/>
  <c r="X88" i="25"/>
  <c r="V88" i="25"/>
  <c r="T88" i="25"/>
  <c r="R88" i="25"/>
  <c r="P88" i="25"/>
  <c r="N88" i="25"/>
  <c r="L88" i="25"/>
  <c r="J88" i="25"/>
  <c r="H88" i="25"/>
  <c r="F88" i="25"/>
  <c r="D88" i="25"/>
  <c r="Z87" i="25"/>
  <c r="X87" i="25"/>
  <c r="V87" i="25"/>
  <c r="T87" i="25"/>
  <c r="R87" i="25"/>
  <c r="P87" i="25"/>
  <c r="N87" i="25"/>
  <c r="L87" i="25"/>
  <c r="J87" i="25"/>
  <c r="H87" i="25"/>
  <c r="F87" i="25"/>
  <c r="D87" i="25"/>
  <c r="Z86" i="25"/>
  <c r="X86" i="25"/>
  <c r="V86" i="25"/>
  <c r="T86" i="25"/>
  <c r="R86" i="25"/>
  <c r="P86" i="25"/>
  <c r="N86" i="25"/>
  <c r="L86" i="25"/>
  <c r="J86" i="25"/>
  <c r="H86" i="25"/>
  <c r="F86" i="25"/>
  <c r="D86" i="25"/>
  <c r="Z85" i="25"/>
  <c r="X85" i="25"/>
  <c r="V85" i="25"/>
  <c r="T85" i="25"/>
  <c r="R85" i="25"/>
  <c r="P85" i="25"/>
  <c r="N85" i="25"/>
  <c r="L85" i="25"/>
  <c r="J85" i="25"/>
  <c r="H85" i="25"/>
  <c r="F85" i="25"/>
  <c r="D85" i="25"/>
  <c r="Z84" i="25"/>
  <c r="X84" i="25"/>
  <c r="V84" i="25"/>
  <c r="T84" i="25"/>
  <c r="R84" i="25"/>
  <c r="P84" i="25"/>
  <c r="N84" i="25"/>
  <c r="L84" i="25"/>
  <c r="J84" i="25"/>
  <c r="H84" i="25"/>
  <c r="F84" i="25"/>
  <c r="D84" i="25"/>
  <c r="Z83" i="25"/>
  <c r="X83" i="25"/>
  <c r="V83" i="25"/>
  <c r="T83" i="25"/>
  <c r="R83" i="25"/>
  <c r="P83" i="25"/>
  <c r="N83" i="25"/>
  <c r="L83" i="25"/>
  <c r="J83" i="25"/>
  <c r="H83" i="25"/>
  <c r="F83" i="25"/>
  <c r="D83" i="25"/>
  <c r="Z82" i="25"/>
  <c r="X82" i="25"/>
  <c r="V82" i="25"/>
  <c r="T82" i="25"/>
  <c r="R82" i="25"/>
  <c r="P82" i="25"/>
  <c r="N82" i="25"/>
  <c r="L82" i="25"/>
  <c r="J82" i="25"/>
  <c r="H82" i="25"/>
  <c r="F82" i="25"/>
  <c r="D82" i="25"/>
  <c r="Z81" i="25"/>
  <c r="X81" i="25"/>
  <c r="V81" i="25"/>
  <c r="T81" i="25"/>
  <c r="R81" i="25"/>
  <c r="P81" i="25"/>
  <c r="N81" i="25"/>
  <c r="L81" i="25"/>
  <c r="J81" i="25"/>
  <c r="H81" i="25"/>
  <c r="F81" i="25"/>
  <c r="D81" i="25"/>
  <c r="Z80" i="25"/>
  <c r="X80" i="25"/>
  <c r="V80" i="25"/>
  <c r="T80" i="25"/>
  <c r="R80" i="25"/>
  <c r="P80" i="25"/>
  <c r="N80" i="25"/>
  <c r="L80" i="25"/>
  <c r="J80" i="25"/>
  <c r="H80" i="25"/>
  <c r="F80" i="25"/>
  <c r="D80" i="25"/>
  <c r="Z79" i="25"/>
  <c r="X79" i="25"/>
  <c r="V79" i="25"/>
  <c r="T79" i="25"/>
  <c r="R79" i="25"/>
  <c r="P79" i="25"/>
  <c r="N79" i="25"/>
  <c r="L79" i="25"/>
  <c r="J79" i="25"/>
  <c r="H79" i="25"/>
  <c r="F79" i="25"/>
  <c r="D79" i="25"/>
  <c r="Z78" i="25"/>
  <c r="X78" i="25"/>
  <c r="V78" i="25"/>
  <c r="T78" i="25"/>
  <c r="R78" i="25"/>
  <c r="P78" i="25"/>
  <c r="N78" i="25"/>
  <c r="L78" i="25"/>
  <c r="J78" i="25"/>
  <c r="H78" i="25"/>
  <c r="F78" i="25"/>
  <c r="D78" i="25"/>
  <c r="Z77" i="25"/>
  <c r="X77" i="25"/>
  <c r="V77" i="25"/>
  <c r="T77" i="25"/>
  <c r="R77" i="25"/>
  <c r="P77" i="25"/>
  <c r="N77" i="25"/>
  <c r="L77" i="25"/>
  <c r="J77" i="25"/>
  <c r="H77" i="25"/>
  <c r="F77" i="25"/>
  <c r="D77" i="25"/>
  <c r="Z76" i="25"/>
  <c r="X76" i="25"/>
  <c r="V76" i="25"/>
  <c r="T76" i="25"/>
  <c r="R76" i="25"/>
  <c r="P76" i="25"/>
  <c r="N76" i="25"/>
  <c r="L76" i="25"/>
  <c r="J76" i="25"/>
  <c r="H76" i="25"/>
  <c r="F76" i="25"/>
  <c r="D76" i="25"/>
  <c r="Z75" i="25"/>
  <c r="X75" i="25"/>
  <c r="V75" i="25"/>
  <c r="T75" i="25"/>
  <c r="R75" i="25"/>
  <c r="P75" i="25"/>
  <c r="N75" i="25"/>
  <c r="L75" i="25"/>
  <c r="J75" i="25"/>
  <c r="H75" i="25"/>
  <c r="F75" i="25"/>
  <c r="D75" i="25"/>
  <c r="Z74" i="25"/>
  <c r="X74" i="25"/>
  <c r="V74" i="25"/>
  <c r="T74" i="25"/>
  <c r="R74" i="25"/>
  <c r="P74" i="25"/>
  <c r="N74" i="25"/>
  <c r="L74" i="25"/>
  <c r="J74" i="25"/>
  <c r="H74" i="25"/>
  <c r="F74" i="25"/>
  <c r="D74" i="25"/>
  <c r="Z73" i="25"/>
  <c r="X73" i="25"/>
  <c r="V73" i="25"/>
  <c r="T73" i="25"/>
  <c r="R73" i="25"/>
  <c r="P73" i="25"/>
  <c r="N73" i="25"/>
  <c r="L73" i="25"/>
  <c r="J73" i="25"/>
  <c r="H73" i="25"/>
  <c r="F73" i="25"/>
  <c r="D73" i="25"/>
  <c r="Z72" i="25"/>
  <c r="X72" i="25"/>
  <c r="V72" i="25"/>
  <c r="T72" i="25"/>
  <c r="R72" i="25"/>
  <c r="P72" i="25"/>
  <c r="N72" i="25"/>
  <c r="L72" i="25"/>
  <c r="J72" i="25"/>
  <c r="H72" i="25"/>
  <c r="F72" i="25"/>
  <c r="D72" i="25"/>
  <c r="Z71" i="25"/>
  <c r="X71" i="25"/>
  <c r="V71" i="25"/>
  <c r="T71" i="25"/>
  <c r="R71" i="25"/>
  <c r="P71" i="25"/>
  <c r="N71" i="25"/>
  <c r="L71" i="25"/>
  <c r="J71" i="25"/>
  <c r="H71" i="25"/>
  <c r="F71" i="25"/>
  <c r="D71" i="25"/>
  <c r="Z70" i="25"/>
  <c r="X70" i="25"/>
  <c r="V70" i="25"/>
  <c r="T70" i="25"/>
  <c r="R70" i="25"/>
  <c r="P70" i="25"/>
  <c r="N70" i="25"/>
  <c r="L70" i="25"/>
  <c r="J70" i="25"/>
  <c r="H70" i="25"/>
  <c r="F70" i="25"/>
  <c r="D70" i="25"/>
  <c r="Z69" i="25"/>
  <c r="X69" i="25"/>
  <c r="V69" i="25"/>
  <c r="T69" i="25"/>
  <c r="R69" i="25"/>
  <c r="P69" i="25"/>
  <c r="N69" i="25"/>
  <c r="L69" i="25"/>
  <c r="J69" i="25"/>
  <c r="H69" i="25"/>
  <c r="F69" i="25"/>
  <c r="D69" i="25"/>
  <c r="Z68" i="25"/>
  <c r="X68" i="25"/>
  <c r="V68" i="25"/>
  <c r="T68" i="25"/>
  <c r="R68" i="25"/>
  <c r="P68" i="25"/>
  <c r="N68" i="25"/>
  <c r="L68" i="25"/>
  <c r="J68" i="25"/>
  <c r="H68" i="25"/>
  <c r="F68" i="25"/>
  <c r="D68" i="25"/>
  <c r="Z67" i="25"/>
  <c r="X67" i="25"/>
  <c r="V67" i="25"/>
  <c r="T67" i="25"/>
  <c r="R67" i="25"/>
  <c r="P67" i="25"/>
  <c r="N67" i="25"/>
  <c r="L67" i="25"/>
  <c r="J67" i="25"/>
  <c r="H67" i="25"/>
  <c r="F67" i="25"/>
  <c r="D67" i="25"/>
  <c r="Z66" i="25"/>
  <c r="X66" i="25"/>
  <c r="V66" i="25"/>
  <c r="T66" i="25"/>
  <c r="R66" i="25"/>
  <c r="P66" i="25"/>
  <c r="N66" i="25"/>
  <c r="L66" i="25"/>
  <c r="J66" i="25"/>
  <c r="H66" i="25"/>
  <c r="F66" i="25"/>
  <c r="D66" i="25"/>
  <c r="Z65" i="25"/>
  <c r="X65" i="25"/>
  <c r="V65" i="25"/>
  <c r="T65" i="25"/>
  <c r="R65" i="25"/>
  <c r="P65" i="25"/>
  <c r="N65" i="25"/>
  <c r="L65" i="25"/>
  <c r="J65" i="25"/>
  <c r="H65" i="25"/>
  <c r="F65" i="25"/>
  <c r="D65" i="25"/>
  <c r="Z64" i="25"/>
  <c r="X64" i="25"/>
  <c r="V64" i="25"/>
  <c r="T64" i="25"/>
  <c r="R64" i="25"/>
  <c r="P64" i="25"/>
  <c r="N64" i="25"/>
  <c r="L64" i="25"/>
  <c r="J64" i="25"/>
  <c r="H64" i="25"/>
  <c r="F64" i="25"/>
  <c r="D64" i="25"/>
  <c r="Z63" i="25"/>
  <c r="X63" i="25"/>
  <c r="V63" i="25"/>
  <c r="T63" i="25"/>
  <c r="R63" i="25"/>
  <c r="P63" i="25"/>
  <c r="N63" i="25"/>
  <c r="L63" i="25"/>
  <c r="J63" i="25"/>
  <c r="H63" i="25"/>
  <c r="F63" i="25"/>
  <c r="D63" i="25"/>
  <c r="Z62" i="25"/>
  <c r="X62" i="25"/>
  <c r="V62" i="25"/>
  <c r="T62" i="25"/>
  <c r="R62" i="25"/>
  <c r="P62" i="25"/>
  <c r="N62" i="25"/>
  <c r="L62" i="25"/>
  <c r="J62" i="25"/>
  <c r="H62" i="25"/>
  <c r="F62" i="25"/>
  <c r="D62" i="25"/>
  <c r="Z61" i="25"/>
  <c r="X61" i="25"/>
  <c r="V61" i="25"/>
  <c r="T61" i="25"/>
  <c r="R61" i="25"/>
  <c r="P61" i="25"/>
  <c r="N61" i="25"/>
  <c r="L61" i="25"/>
  <c r="J61" i="25"/>
  <c r="H61" i="25"/>
  <c r="F61" i="25"/>
  <c r="D61" i="25"/>
  <c r="Z60" i="25"/>
  <c r="X60" i="25"/>
  <c r="V60" i="25"/>
  <c r="T60" i="25"/>
  <c r="R60" i="25"/>
  <c r="P60" i="25"/>
  <c r="N60" i="25"/>
  <c r="L60" i="25"/>
  <c r="J60" i="25"/>
  <c r="H60" i="25"/>
  <c r="F60" i="25"/>
  <c r="D60" i="25"/>
  <c r="Z59" i="25"/>
  <c r="X59" i="25"/>
  <c r="V59" i="25"/>
  <c r="T59" i="25"/>
  <c r="R59" i="25"/>
  <c r="P59" i="25"/>
  <c r="N59" i="25"/>
  <c r="L59" i="25"/>
  <c r="J59" i="25"/>
  <c r="H59" i="25"/>
  <c r="F59" i="25"/>
  <c r="D59" i="25"/>
  <c r="Z58" i="25"/>
  <c r="X58" i="25"/>
  <c r="V58" i="25"/>
  <c r="T58" i="25"/>
  <c r="R58" i="25"/>
  <c r="P58" i="25"/>
  <c r="N58" i="25"/>
  <c r="L58" i="25"/>
  <c r="J58" i="25"/>
  <c r="H58" i="25"/>
  <c r="F58" i="25"/>
  <c r="D58" i="25"/>
  <c r="Z57" i="25"/>
  <c r="X57" i="25"/>
  <c r="V57" i="25"/>
  <c r="T57" i="25"/>
  <c r="R57" i="25"/>
  <c r="P57" i="25"/>
  <c r="N57" i="25"/>
  <c r="L57" i="25"/>
  <c r="J57" i="25"/>
  <c r="H57" i="25"/>
  <c r="F57" i="25"/>
  <c r="D57" i="25"/>
  <c r="Z56" i="25"/>
  <c r="X56" i="25"/>
  <c r="V56" i="25"/>
  <c r="T56" i="25"/>
  <c r="R56" i="25"/>
  <c r="P56" i="25"/>
  <c r="N56" i="25"/>
  <c r="L56" i="25"/>
  <c r="J56" i="25"/>
  <c r="H56" i="25"/>
  <c r="F56" i="25"/>
  <c r="D56" i="25"/>
  <c r="Z55" i="25"/>
  <c r="X55" i="25"/>
  <c r="V55" i="25"/>
  <c r="T55" i="25"/>
  <c r="R55" i="25"/>
  <c r="P55" i="25"/>
  <c r="N55" i="25"/>
  <c r="L55" i="25"/>
  <c r="J55" i="25"/>
  <c r="H55" i="25"/>
  <c r="F55" i="25"/>
  <c r="D55" i="25"/>
  <c r="Z54" i="25"/>
  <c r="X54" i="25"/>
  <c r="V54" i="25"/>
  <c r="T54" i="25"/>
  <c r="R54" i="25"/>
  <c r="P54" i="25"/>
  <c r="N54" i="25"/>
  <c r="L54" i="25"/>
  <c r="J54" i="25"/>
  <c r="H54" i="25"/>
  <c r="F54" i="25"/>
  <c r="D54" i="25"/>
  <c r="Z53" i="25"/>
  <c r="X53" i="25"/>
  <c r="V53" i="25"/>
  <c r="T53" i="25"/>
  <c r="R53" i="25"/>
  <c r="P53" i="25"/>
  <c r="N53" i="25"/>
  <c r="L53" i="25"/>
  <c r="J53" i="25"/>
  <c r="H53" i="25"/>
  <c r="F53" i="25"/>
  <c r="D53" i="25"/>
  <c r="Z52" i="25"/>
  <c r="X52" i="25"/>
  <c r="V52" i="25"/>
  <c r="T52" i="25"/>
  <c r="R52" i="25"/>
  <c r="P52" i="25"/>
  <c r="N52" i="25"/>
  <c r="L52" i="25"/>
  <c r="J52" i="25"/>
  <c r="H52" i="25"/>
  <c r="F52" i="25"/>
  <c r="D52" i="25"/>
  <c r="Z51" i="25"/>
  <c r="X51" i="25"/>
  <c r="V51" i="25"/>
  <c r="T51" i="25"/>
  <c r="R51" i="25"/>
  <c r="P51" i="25"/>
  <c r="N51" i="25"/>
  <c r="L51" i="25"/>
  <c r="J51" i="25"/>
  <c r="H51" i="25"/>
  <c r="F51" i="25"/>
  <c r="D51" i="25"/>
  <c r="Z50" i="25"/>
  <c r="X50" i="25"/>
  <c r="V50" i="25"/>
  <c r="T50" i="25"/>
  <c r="R50" i="25"/>
  <c r="P50" i="25"/>
  <c r="N50" i="25"/>
  <c r="L50" i="25"/>
  <c r="J50" i="25"/>
  <c r="H50" i="25"/>
  <c r="F50" i="25"/>
  <c r="D50" i="25"/>
  <c r="Z49" i="25"/>
  <c r="X49" i="25"/>
  <c r="V49" i="25"/>
  <c r="T49" i="25"/>
  <c r="R49" i="25"/>
  <c r="P49" i="25"/>
  <c r="N49" i="25"/>
  <c r="L49" i="25"/>
  <c r="J49" i="25"/>
  <c r="H49" i="25"/>
  <c r="F49" i="25"/>
  <c r="D49" i="25"/>
  <c r="Z48" i="25"/>
  <c r="X48" i="25"/>
  <c r="V48" i="25"/>
  <c r="T48" i="25"/>
  <c r="R48" i="25"/>
  <c r="P48" i="25"/>
  <c r="N48" i="25"/>
  <c r="L48" i="25"/>
  <c r="J48" i="25"/>
  <c r="H48" i="25"/>
  <c r="F48" i="25"/>
  <c r="D48" i="25"/>
  <c r="Z47" i="25"/>
  <c r="X47" i="25"/>
  <c r="V47" i="25"/>
  <c r="T47" i="25"/>
  <c r="R47" i="25"/>
  <c r="P47" i="25"/>
  <c r="N47" i="25"/>
  <c r="L47" i="25"/>
  <c r="J47" i="25"/>
  <c r="H47" i="25"/>
  <c r="F47" i="25"/>
  <c r="D47" i="25"/>
  <c r="Z46" i="25"/>
  <c r="X46" i="25"/>
  <c r="V46" i="25"/>
  <c r="T46" i="25"/>
  <c r="R46" i="25"/>
  <c r="P46" i="25"/>
  <c r="N46" i="25"/>
  <c r="L46" i="25"/>
  <c r="J46" i="25"/>
  <c r="H46" i="25"/>
  <c r="F46" i="25"/>
  <c r="D46" i="25"/>
  <c r="Z45" i="25"/>
  <c r="X45" i="25"/>
  <c r="V45" i="25"/>
  <c r="T45" i="25"/>
  <c r="R45" i="25"/>
  <c r="P45" i="25"/>
  <c r="N45" i="25"/>
  <c r="L45" i="25"/>
  <c r="J45" i="25"/>
  <c r="H45" i="25"/>
  <c r="F45" i="25"/>
  <c r="D45" i="25"/>
  <c r="V43" i="25"/>
  <c r="T43" i="25"/>
  <c r="Z43" i="25" s="1"/>
  <c r="R43" i="25"/>
  <c r="X43" i="25" s="1"/>
  <c r="P43" i="25"/>
  <c r="N43" i="25"/>
  <c r="L43" i="25"/>
  <c r="J43" i="25"/>
  <c r="H43" i="25"/>
  <c r="F43" i="25"/>
  <c r="D43" i="25"/>
  <c r="Z41" i="25"/>
  <c r="X41" i="25"/>
  <c r="V41" i="25"/>
  <c r="T41" i="25"/>
  <c r="R41" i="25"/>
  <c r="P41" i="25"/>
  <c r="N41" i="25"/>
  <c r="L41" i="25"/>
  <c r="J41" i="25"/>
  <c r="H41" i="25"/>
  <c r="F41" i="25"/>
  <c r="D41" i="25"/>
  <c r="Z40" i="25"/>
  <c r="X40" i="25"/>
  <c r="V40" i="25"/>
  <c r="T40" i="25"/>
  <c r="R40" i="25"/>
  <c r="P40" i="25"/>
  <c r="N40" i="25"/>
  <c r="L40" i="25"/>
  <c r="J40" i="25"/>
  <c r="H40" i="25"/>
  <c r="F40" i="25"/>
  <c r="D40" i="25"/>
  <c r="Z37" i="25"/>
  <c r="X37" i="25"/>
  <c r="V37" i="25"/>
  <c r="T37" i="25"/>
  <c r="R37" i="25"/>
  <c r="P37" i="25"/>
  <c r="N37" i="25"/>
  <c r="L37" i="25"/>
  <c r="J37" i="25"/>
  <c r="H37" i="25"/>
  <c r="F37" i="25"/>
  <c r="D37" i="25"/>
  <c r="Z36" i="25"/>
  <c r="X36" i="25"/>
  <c r="V36" i="25"/>
  <c r="T36" i="25"/>
  <c r="R36" i="25"/>
  <c r="P36" i="25"/>
  <c r="N36" i="25"/>
  <c r="L36" i="25"/>
  <c r="J36" i="25"/>
  <c r="H36" i="25"/>
  <c r="F36" i="25"/>
  <c r="D36" i="25"/>
  <c r="Z35" i="25"/>
  <c r="X35" i="25"/>
  <c r="V35" i="25"/>
  <c r="T35" i="25"/>
  <c r="R35" i="25"/>
  <c r="P35" i="25"/>
  <c r="N35" i="25"/>
  <c r="L35" i="25"/>
  <c r="J35" i="25"/>
  <c r="H35" i="25"/>
  <c r="F35" i="25"/>
  <c r="D35" i="25"/>
  <c r="Z34" i="25"/>
  <c r="X34" i="25"/>
  <c r="V34" i="25"/>
  <c r="T34" i="25"/>
  <c r="R34" i="25"/>
  <c r="P34" i="25"/>
  <c r="N34" i="25"/>
  <c r="L34" i="25"/>
  <c r="J34" i="25"/>
  <c r="H34" i="25"/>
  <c r="F34" i="25"/>
  <c r="D34" i="25"/>
  <c r="Z33" i="25"/>
  <c r="X33" i="25"/>
  <c r="V33" i="25"/>
  <c r="T33" i="25"/>
  <c r="R33" i="25"/>
  <c r="P33" i="25"/>
  <c r="N33" i="25"/>
  <c r="L33" i="25"/>
  <c r="J33" i="25"/>
  <c r="H33" i="25"/>
  <c r="F33" i="25"/>
  <c r="D33" i="25"/>
  <c r="Z32" i="25"/>
  <c r="X32" i="25"/>
  <c r="V32" i="25"/>
  <c r="T32" i="25"/>
  <c r="R32" i="25"/>
  <c r="P32" i="25"/>
  <c r="N32" i="25"/>
  <c r="L32" i="25"/>
  <c r="J32" i="25"/>
  <c r="H32" i="25"/>
  <c r="F32" i="25"/>
  <c r="D32" i="25"/>
  <c r="V30" i="25"/>
  <c r="T30" i="25"/>
  <c r="R30" i="25"/>
  <c r="P30" i="25"/>
  <c r="N30" i="25"/>
  <c r="L30" i="25"/>
  <c r="J30" i="25"/>
  <c r="H30" i="25"/>
  <c r="F30" i="25"/>
  <c r="Z29" i="25"/>
  <c r="X29" i="25"/>
  <c r="V29" i="25"/>
  <c r="T29" i="25"/>
  <c r="R29" i="25"/>
  <c r="P29" i="25"/>
  <c r="N29" i="25"/>
  <c r="L29" i="25"/>
  <c r="J29" i="25"/>
  <c r="H29" i="25"/>
  <c r="F29" i="25"/>
  <c r="D29" i="25"/>
  <c r="Z28" i="25"/>
  <c r="Z97" i="25" s="1"/>
  <c r="X28" i="25"/>
  <c r="V28" i="25"/>
  <c r="T28" i="25"/>
  <c r="T97" i="25" s="1"/>
  <c r="T98" i="25" s="1"/>
  <c r="R28" i="25"/>
  <c r="R97" i="25" s="1"/>
  <c r="R98" i="25" s="1"/>
  <c r="P28" i="25"/>
  <c r="P97" i="25" s="1"/>
  <c r="P98" i="25" s="1"/>
  <c r="N28" i="25"/>
  <c r="L28" i="25"/>
  <c r="L97" i="25" s="1"/>
  <c r="L98" i="25" s="1"/>
  <c r="J28" i="25"/>
  <c r="J97" i="25" s="1"/>
  <c r="J98" i="25" s="1"/>
  <c r="H28" i="25"/>
  <c r="H97" i="25" s="1"/>
  <c r="H98" i="25" s="1"/>
  <c r="F28" i="25"/>
  <c r="D28" i="25"/>
  <c r="D97" i="25" s="1"/>
  <c r="W25" i="25"/>
  <c r="U25" i="25"/>
  <c r="Q25" i="25"/>
  <c r="M25" i="25"/>
  <c r="I25" i="25"/>
  <c r="E25" i="25"/>
  <c r="Y21" i="25"/>
  <c r="Y25" i="25" s="1"/>
  <c r="U21" i="25"/>
  <c r="T21" i="25"/>
  <c r="S21" i="25"/>
  <c r="S25" i="25" s="1"/>
  <c r="Q21" i="25"/>
  <c r="P21" i="25"/>
  <c r="O21" i="25"/>
  <c r="O25" i="25" s="1"/>
  <c r="M21" i="25"/>
  <c r="L21" i="25"/>
  <c r="K21" i="25"/>
  <c r="K25" i="25" s="1"/>
  <c r="I21" i="25"/>
  <c r="H21" i="25"/>
  <c r="G21" i="25"/>
  <c r="G25" i="25" s="1"/>
  <c r="E21" i="25"/>
  <c r="C21" i="25"/>
  <c r="C25" i="25" s="1"/>
  <c r="Z19" i="25"/>
  <c r="X19" i="25"/>
  <c r="V19" i="25"/>
  <c r="T19" i="25"/>
  <c r="R19" i="25"/>
  <c r="P19" i="25"/>
  <c r="N19" i="25"/>
  <c r="L19" i="25"/>
  <c r="J19" i="25"/>
  <c r="H19" i="25"/>
  <c r="F19" i="25"/>
  <c r="D19" i="25"/>
  <c r="Z18" i="25"/>
  <c r="X18" i="25"/>
  <c r="V18" i="25"/>
  <c r="T18" i="25"/>
  <c r="R18" i="25"/>
  <c r="P18" i="25"/>
  <c r="N18" i="25"/>
  <c r="L18" i="25"/>
  <c r="J18" i="25"/>
  <c r="H18" i="25"/>
  <c r="F18" i="25"/>
  <c r="D18" i="25"/>
  <c r="Z17" i="25"/>
  <c r="X17" i="25"/>
  <c r="V17" i="25"/>
  <c r="T17" i="25"/>
  <c r="R17" i="25"/>
  <c r="P17" i="25"/>
  <c r="N17" i="25"/>
  <c r="L17" i="25"/>
  <c r="J17" i="25"/>
  <c r="H17" i="25"/>
  <c r="F17" i="25"/>
  <c r="D17" i="25"/>
  <c r="Z16" i="25"/>
  <c r="X16" i="25"/>
  <c r="V16" i="25"/>
  <c r="T16" i="25"/>
  <c r="R16" i="25"/>
  <c r="P16" i="25"/>
  <c r="N16" i="25"/>
  <c r="L16" i="25"/>
  <c r="J16" i="25"/>
  <c r="H16" i="25"/>
  <c r="F16" i="25"/>
  <c r="D16" i="25"/>
  <c r="Z15" i="25"/>
  <c r="X15" i="25"/>
  <c r="V15" i="25"/>
  <c r="T15" i="25"/>
  <c r="R15" i="25"/>
  <c r="P15" i="25"/>
  <c r="N15" i="25"/>
  <c r="L15" i="25"/>
  <c r="J15" i="25"/>
  <c r="H15" i="25"/>
  <c r="F15" i="25"/>
  <c r="D15" i="25"/>
  <c r="Z12" i="25"/>
  <c r="X12" i="25"/>
  <c r="V12" i="25"/>
  <c r="T12" i="25"/>
  <c r="R12" i="25"/>
  <c r="P12" i="25"/>
  <c r="N12" i="25"/>
  <c r="L12" i="25"/>
  <c r="J12" i="25"/>
  <c r="H12" i="25"/>
  <c r="F12" i="25"/>
  <c r="D12" i="25"/>
  <c r="Z11" i="25"/>
  <c r="X11" i="25"/>
  <c r="V11" i="25"/>
  <c r="T11" i="25"/>
  <c r="R11" i="25"/>
  <c r="P11" i="25"/>
  <c r="N11" i="25"/>
  <c r="L11" i="25"/>
  <c r="J11" i="25"/>
  <c r="H11" i="25"/>
  <c r="F11" i="25"/>
  <c r="D11" i="25"/>
  <c r="Z10" i="25"/>
  <c r="X10" i="25"/>
  <c r="V10" i="25"/>
  <c r="T10" i="25"/>
  <c r="R10" i="25"/>
  <c r="P10" i="25"/>
  <c r="N10" i="25"/>
  <c r="L10" i="25"/>
  <c r="J10" i="25"/>
  <c r="H10" i="25"/>
  <c r="F10" i="25"/>
  <c r="D10" i="25"/>
  <c r="Z9" i="25"/>
  <c r="Z21" i="25" s="1"/>
  <c r="X9" i="25"/>
  <c r="X21" i="25" s="1"/>
  <c r="V9" i="25"/>
  <c r="V21" i="25" s="1"/>
  <c r="T9" i="25"/>
  <c r="R9" i="25"/>
  <c r="R21" i="25" s="1"/>
  <c r="P9" i="25"/>
  <c r="N9" i="25"/>
  <c r="N21" i="25" s="1"/>
  <c r="L9" i="25"/>
  <c r="J9" i="25"/>
  <c r="J21" i="25" s="1"/>
  <c r="H9" i="25"/>
  <c r="F9" i="25"/>
  <c r="F21" i="25" s="1"/>
  <c r="D9" i="25"/>
  <c r="F97" i="25" l="1"/>
  <c r="F98" i="25" s="1"/>
  <c r="N97" i="25"/>
  <c r="N98" i="25" s="1"/>
  <c r="V97" i="25"/>
  <c r="V98" i="25" s="1"/>
  <c r="V100" i="25" s="1"/>
  <c r="D21" i="25"/>
  <c r="D23" i="25" s="1"/>
  <c r="D25" i="25" s="1"/>
  <c r="D98" i="25" s="1"/>
  <c r="X23" i="25"/>
  <c r="X25" i="25" s="1"/>
  <c r="P25" i="25"/>
  <c r="T99" i="25"/>
  <c r="T100" i="25" s="1"/>
  <c r="J23" i="25"/>
  <c r="J25" i="25" s="1"/>
  <c r="R25" i="25"/>
  <c r="R23" i="25"/>
  <c r="Z23" i="25"/>
  <c r="Z25" i="25" s="1"/>
  <c r="Z98" i="25" s="1"/>
  <c r="P99" i="25"/>
  <c r="P100" i="25" s="1"/>
  <c r="X97" i="25"/>
  <c r="F99" i="25"/>
  <c r="F100" i="25" s="1"/>
  <c r="N99" i="25"/>
  <c r="N100" i="25" s="1"/>
  <c r="V99" i="25"/>
  <c r="L99" i="25"/>
  <c r="L100" i="25" s="1"/>
  <c r="H99" i="25"/>
  <c r="H100" i="25" s="1"/>
  <c r="F23" i="25"/>
  <c r="F25" i="25" s="1"/>
  <c r="N23" i="25"/>
  <c r="N25" i="25"/>
  <c r="V23" i="25"/>
  <c r="V25" i="25" s="1"/>
  <c r="T25" i="25"/>
  <c r="J99" i="25"/>
  <c r="J100" i="25" s="1"/>
  <c r="R99" i="25"/>
  <c r="R100" i="25" s="1"/>
  <c r="P23" i="25"/>
  <c r="L23" i="25"/>
  <c r="L25" i="25" s="1"/>
  <c r="T23" i="25"/>
  <c r="H23" i="25"/>
  <c r="H25" i="25" s="1"/>
  <c r="D112" i="24"/>
  <c r="Z96" i="24"/>
  <c r="X96" i="24"/>
  <c r="V96" i="24"/>
  <c r="T96" i="24"/>
  <c r="R96" i="24"/>
  <c r="P96" i="24"/>
  <c r="N96" i="24"/>
  <c r="L96" i="24"/>
  <c r="J96" i="24"/>
  <c r="H96" i="24"/>
  <c r="F96" i="24"/>
  <c r="D96" i="24"/>
  <c r="Z95" i="24"/>
  <c r="X95" i="24"/>
  <c r="V95" i="24"/>
  <c r="T95" i="24"/>
  <c r="R95" i="24"/>
  <c r="P95" i="24"/>
  <c r="N95" i="24"/>
  <c r="L95" i="24"/>
  <c r="J95" i="24"/>
  <c r="H95" i="24"/>
  <c r="F95" i="24"/>
  <c r="D95" i="24"/>
  <c r="Z94" i="24"/>
  <c r="X94" i="24"/>
  <c r="V94" i="24"/>
  <c r="T94" i="24"/>
  <c r="R94" i="24"/>
  <c r="P94" i="24"/>
  <c r="N94" i="24"/>
  <c r="L94" i="24"/>
  <c r="J94" i="24"/>
  <c r="H94" i="24"/>
  <c r="F94" i="24"/>
  <c r="D94" i="24"/>
  <c r="Z93" i="24"/>
  <c r="X93" i="24"/>
  <c r="V93" i="24"/>
  <c r="T93" i="24"/>
  <c r="R93" i="24"/>
  <c r="P93" i="24"/>
  <c r="N93" i="24"/>
  <c r="L93" i="24"/>
  <c r="J93" i="24"/>
  <c r="H93" i="24"/>
  <c r="F93" i="24"/>
  <c r="D93" i="24"/>
  <c r="Z92" i="24"/>
  <c r="X92" i="24"/>
  <c r="V92" i="24"/>
  <c r="T92" i="24"/>
  <c r="R92" i="24"/>
  <c r="P92" i="24"/>
  <c r="N92" i="24"/>
  <c r="L92" i="24"/>
  <c r="J92" i="24"/>
  <c r="H92" i="24"/>
  <c r="F92" i="24"/>
  <c r="D92" i="24"/>
  <c r="Z91" i="24"/>
  <c r="X91" i="24"/>
  <c r="V91" i="24"/>
  <c r="T91" i="24"/>
  <c r="R91" i="24"/>
  <c r="P91" i="24"/>
  <c r="N91" i="24"/>
  <c r="L91" i="24"/>
  <c r="J91" i="24"/>
  <c r="H91" i="24"/>
  <c r="F91" i="24"/>
  <c r="D91" i="24"/>
  <c r="Z90" i="24"/>
  <c r="X90" i="24"/>
  <c r="V90" i="24"/>
  <c r="T90" i="24"/>
  <c r="R90" i="24"/>
  <c r="P90" i="24"/>
  <c r="N90" i="24"/>
  <c r="L90" i="24"/>
  <c r="J90" i="24"/>
  <c r="H90" i="24"/>
  <c r="F90" i="24"/>
  <c r="D90" i="24"/>
  <c r="Z89" i="24"/>
  <c r="X89" i="24"/>
  <c r="V89" i="24"/>
  <c r="T89" i="24"/>
  <c r="R89" i="24"/>
  <c r="P89" i="24"/>
  <c r="N89" i="24"/>
  <c r="L89" i="24"/>
  <c r="J89" i="24"/>
  <c r="H89" i="24"/>
  <c r="F89" i="24"/>
  <c r="D89" i="24"/>
  <c r="Z88" i="24"/>
  <c r="X88" i="24"/>
  <c r="V88" i="24"/>
  <c r="T88" i="24"/>
  <c r="R88" i="24"/>
  <c r="P88" i="24"/>
  <c r="N88" i="24"/>
  <c r="L88" i="24"/>
  <c r="J88" i="24"/>
  <c r="H88" i="24"/>
  <c r="F88" i="24"/>
  <c r="D88" i="24"/>
  <c r="Z87" i="24"/>
  <c r="X87" i="24"/>
  <c r="V87" i="24"/>
  <c r="T87" i="24"/>
  <c r="R87" i="24"/>
  <c r="P87" i="24"/>
  <c r="N87" i="24"/>
  <c r="L87" i="24"/>
  <c r="J87" i="24"/>
  <c r="H87" i="24"/>
  <c r="F87" i="24"/>
  <c r="D87" i="24"/>
  <c r="Z86" i="24"/>
  <c r="X86" i="24"/>
  <c r="V86" i="24"/>
  <c r="T86" i="24"/>
  <c r="R86" i="24"/>
  <c r="P86" i="24"/>
  <c r="N86" i="24"/>
  <c r="L86" i="24"/>
  <c r="J86" i="24"/>
  <c r="H86" i="24"/>
  <c r="F86" i="24"/>
  <c r="D86" i="24"/>
  <c r="Z85" i="24"/>
  <c r="X85" i="24"/>
  <c r="V85" i="24"/>
  <c r="T85" i="24"/>
  <c r="R85" i="24"/>
  <c r="P85" i="24"/>
  <c r="N85" i="24"/>
  <c r="L85" i="24"/>
  <c r="J85" i="24"/>
  <c r="H85" i="24"/>
  <c r="F85" i="24"/>
  <c r="D85" i="24"/>
  <c r="Z84" i="24"/>
  <c r="X84" i="24"/>
  <c r="V84" i="24"/>
  <c r="T84" i="24"/>
  <c r="R84" i="24"/>
  <c r="P84" i="24"/>
  <c r="N84" i="24"/>
  <c r="L84" i="24"/>
  <c r="J84" i="24"/>
  <c r="H84" i="24"/>
  <c r="F84" i="24"/>
  <c r="D84" i="24"/>
  <c r="Z83" i="24"/>
  <c r="X83" i="24"/>
  <c r="V83" i="24"/>
  <c r="T83" i="24"/>
  <c r="R83" i="24"/>
  <c r="P83" i="24"/>
  <c r="N83" i="24"/>
  <c r="L83" i="24"/>
  <c r="J83" i="24"/>
  <c r="H83" i="24"/>
  <c r="F83" i="24"/>
  <c r="D83" i="24"/>
  <c r="Z82" i="24"/>
  <c r="X82" i="24"/>
  <c r="V82" i="24"/>
  <c r="T82" i="24"/>
  <c r="R82" i="24"/>
  <c r="P82" i="24"/>
  <c r="N82" i="24"/>
  <c r="L82" i="24"/>
  <c r="J82" i="24"/>
  <c r="H82" i="24"/>
  <c r="F82" i="24"/>
  <c r="D82" i="24"/>
  <c r="Z81" i="24"/>
  <c r="X81" i="24"/>
  <c r="V81" i="24"/>
  <c r="T81" i="24"/>
  <c r="R81" i="24"/>
  <c r="P81" i="24"/>
  <c r="N81" i="24"/>
  <c r="L81" i="24"/>
  <c r="J81" i="24"/>
  <c r="H81" i="24"/>
  <c r="F81" i="24"/>
  <c r="D81" i="24"/>
  <c r="Z80" i="24"/>
  <c r="X80" i="24"/>
  <c r="V80" i="24"/>
  <c r="T80" i="24"/>
  <c r="R80" i="24"/>
  <c r="P80" i="24"/>
  <c r="N80" i="24"/>
  <c r="L80" i="24"/>
  <c r="J80" i="24"/>
  <c r="H80" i="24"/>
  <c r="F80" i="24"/>
  <c r="D80" i="24"/>
  <c r="Z79" i="24"/>
  <c r="X79" i="24"/>
  <c r="V79" i="24"/>
  <c r="T79" i="24"/>
  <c r="R79" i="24"/>
  <c r="P79" i="24"/>
  <c r="N79" i="24"/>
  <c r="L79" i="24"/>
  <c r="J79" i="24"/>
  <c r="H79" i="24"/>
  <c r="F79" i="24"/>
  <c r="D79" i="24"/>
  <c r="Z78" i="24"/>
  <c r="X78" i="24"/>
  <c r="V78" i="24"/>
  <c r="T78" i="24"/>
  <c r="R78" i="24"/>
  <c r="P78" i="24"/>
  <c r="N78" i="24"/>
  <c r="L78" i="24"/>
  <c r="J78" i="24"/>
  <c r="H78" i="24"/>
  <c r="F78" i="24"/>
  <c r="D78" i="24"/>
  <c r="Z77" i="24"/>
  <c r="X77" i="24"/>
  <c r="V77" i="24"/>
  <c r="T77" i="24"/>
  <c r="R77" i="24"/>
  <c r="P77" i="24"/>
  <c r="N77" i="24"/>
  <c r="L77" i="24"/>
  <c r="J77" i="24"/>
  <c r="H77" i="24"/>
  <c r="F77" i="24"/>
  <c r="D77" i="24"/>
  <c r="Z76" i="24"/>
  <c r="X76" i="24"/>
  <c r="V76" i="24"/>
  <c r="T76" i="24"/>
  <c r="R76" i="24"/>
  <c r="P76" i="24"/>
  <c r="N76" i="24"/>
  <c r="L76" i="24"/>
  <c r="J76" i="24"/>
  <c r="H76" i="24"/>
  <c r="F76" i="24"/>
  <c r="D76" i="24"/>
  <c r="Z75" i="24"/>
  <c r="X75" i="24"/>
  <c r="V75" i="24"/>
  <c r="T75" i="24"/>
  <c r="R75" i="24"/>
  <c r="P75" i="24"/>
  <c r="N75" i="24"/>
  <c r="L75" i="24"/>
  <c r="J75" i="24"/>
  <c r="H75" i="24"/>
  <c r="F75" i="24"/>
  <c r="D75" i="24"/>
  <c r="Z74" i="24"/>
  <c r="X74" i="24"/>
  <c r="V74" i="24"/>
  <c r="T74" i="24"/>
  <c r="R74" i="24"/>
  <c r="P74" i="24"/>
  <c r="N74" i="24"/>
  <c r="L74" i="24"/>
  <c r="J74" i="24"/>
  <c r="H74" i="24"/>
  <c r="F74" i="24"/>
  <c r="D74" i="24"/>
  <c r="Z73" i="24"/>
  <c r="X73" i="24"/>
  <c r="V73" i="24"/>
  <c r="T73" i="24"/>
  <c r="R73" i="24"/>
  <c r="P73" i="24"/>
  <c r="N73" i="24"/>
  <c r="L73" i="24"/>
  <c r="J73" i="24"/>
  <c r="H73" i="24"/>
  <c r="F73" i="24"/>
  <c r="D73" i="24"/>
  <c r="Z72" i="24"/>
  <c r="X72" i="24"/>
  <c r="V72" i="24"/>
  <c r="T72" i="24"/>
  <c r="R72" i="24"/>
  <c r="P72" i="24"/>
  <c r="N72" i="24"/>
  <c r="L72" i="24"/>
  <c r="J72" i="24"/>
  <c r="H72" i="24"/>
  <c r="F72" i="24"/>
  <c r="D72" i="24"/>
  <c r="Z71" i="24"/>
  <c r="X71" i="24"/>
  <c r="V71" i="24"/>
  <c r="T71" i="24"/>
  <c r="R71" i="24"/>
  <c r="P71" i="24"/>
  <c r="N71" i="24"/>
  <c r="L71" i="24"/>
  <c r="J71" i="24"/>
  <c r="H71" i="24"/>
  <c r="F71" i="24"/>
  <c r="D71" i="24"/>
  <c r="Z70" i="24"/>
  <c r="X70" i="24"/>
  <c r="V70" i="24"/>
  <c r="T70" i="24"/>
  <c r="R70" i="24"/>
  <c r="P70" i="24"/>
  <c r="N70" i="24"/>
  <c r="L70" i="24"/>
  <c r="J70" i="24"/>
  <c r="H70" i="24"/>
  <c r="F70" i="24"/>
  <c r="D70" i="24"/>
  <c r="Z69" i="24"/>
  <c r="X69" i="24"/>
  <c r="V69" i="24"/>
  <c r="T69" i="24"/>
  <c r="R69" i="24"/>
  <c r="P69" i="24"/>
  <c r="N69" i="24"/>
  <c r="L69" i="24"/>
  <c r="J69" i="24"/>
  <c r="H69" i="24"/>
  <c r="F69" i="24"/>
  <c r="D69" i="24"/>
  <c r="Z68" i="24"/>
  <c r="X68" i="24"/>
  <c r="V68" i="24"/>
  <c r="T68" i="24"/>
  <c r="R68" i="24"/>
  <c r="P68" i="24"/>
  <c r="N68" i="24"/>
  <c r="L68" i="24"/>
  <c r="J68" i="24"/>
  <c r="H68" i="24"/>
  <c r="F68" i="24"/>
  <c r="D68" i="24"/>
  <c r="Z67" i="24"/>
  <c r="X67" i="24"/>
  <c r="V67" i="24"/>
  <c r="T67" i="24"/>
  <c r="R67" i="24"/>
  <c r="P67" i="24"/>
  <c r="N67" i="24"/>
  <c r="L67" i="24"/>
  <c r="J67" i="24"/>
  <c r="H67" i="24"/>
  <c r="F67" i="24"/>
  <c r="D67" i="24"/>
  <c r="Z66" i="24"/>
  <c r="X66" i="24"/>
  <c r="V66" i="24"/>
  <c r="T66" i="24"/>
  <c r="R66" i="24"/>
  <c r="P66" i="24"/>
  <c r="N66" i="24"/>
  <c r="L66" i="24"/>
  <c r="J66" i="24"/>
  <c r="H66" i="24"/>
  <c r="F66" i="24"/>
  <c r="Z65" i="24"/>
  <c r="X65" i="24"/>
  <c r="V65" i="24"/>
  <c r="T65" i="24"/>
  <c r="R65" i="24"/>
  <c r="P65" i="24"/>
  <c r="N65" i="24"/>
  <c r="L65" i="24"/>
  <c r="J65" i="24"/>
  <c r="H65" i="24"/>
  <c r="F65" i="24"/>
  <c r="D65" i="24"/>
  <c r="Z64" i="24"/>
  <c r="X64" i="24"/>
  <c r="V64" i="24"/>
  <c r="T64" i="24"/>
  <c r="R64" i="24"/>
  <c r="P64" i="24"/>
  <c r="N64" i="24"/>
  <c r="L64" i="24"/>
  <c r="J64" i="24"/>
  <c r="H64" i="24"/>
  <c r="F64" i="24"/>
  <c r="D64" i="24"/>
  <c r="Z63" i="24"/>
  <c r="X63" i="24"/>
  <c r="V63" i="24"/>
  <c r="T63" i="24"/>
  <c r="R63" i="24"/>
  <c r="P63" i="24"/>
  <c r="N63" i="24"/>
  <c r="L63" i="24"/>
  <c r="J63" i="24"/>
  <c r="H63" i="24"/>
  <c r="F63" i="24"/>
  <c r="D63" i="24"/>
  <c r="Z62" i="24"/>
  <c r="X62" i="24"/>
  <c r="V62" i="24"/>
  <c r="T62" i="24"/>
  <c r="R62" i="24"/>
  <c r="P62" i="24"/>
  <c r="N62" i="24"/>
  <c r="L62" i="24"/>
  <c r="J62" i="24"/>
  <c r="H62" i="24"/>
  <c r="F62" i="24"/>
  <c r="D62" i="24"/>
  <c r="Z61" i="24"/>
  <c r="X61" i="24"/>
  <c r="V61" i="24"/>
  <c r="T61" i="24"/>
  <c r="R61" i="24"/>
  <c r="P61" i="24"/>
  <c r="N61" i="24"/>
  <c r="L61" i="24"/>
  <c r="J61" i="24"/>
  <c r="H61" i="24"/>
  <c r="F61" i="24"/>
  <c r="D61" i="24"/>
  <c r="Z60" i="24"/>
  <c r="X60" i="24"/>
  <c r="V60" i="24"/>
  <c r="T60" i="24"/>
  <c r="R60" i="24"/>
  <c r="P60" i="24"/>
  <c r="N60" i="24"/>
  <c r="L60" i="24"/>
  <c r="J60" i="24"/>
  <c r="H60" i="24"/>
  <c r="F60" i="24"/>
  <c r="D60" i="24"/>
  <c r="Z59" i="24"/>
  <c r="X59" i="24"/>
  <c r="V59" i="24"/>
  <c r="T59" i="24"/>
  <c r="R59" i="24"/>
  <c r="P59" i="24"/>
  <c r="N59" i="24"/>
  <c r="L59" i="24"/>
  <c r="J59" i="24"/>
  <c r="H59" i="24"/>
  <c r="F59" i="24"/>
  <c r="D59" i="24"/>
  <c r="Z58" i="24"/>
  <c r="X58" i="24"/>
  <c r="V58" i="24"/>
  <c r="T58" i="24"/>
  <c r="R58" i="24"/>
  <c r="P58" i="24"/>
  <c r="N58" i="24"/>
  <c r="L58" i="24"/>
  <c r="J58" i="24"/>
  <c r="H58" i="24"/>
  <c r="F58" i="24"/>
  <c r="D58" i="24"/>
  <c r="Z57" i="24"/>
  <c r="X57" i="24"/>
  <c r="V57" i="24"/>
  <c r="T57" i="24"/>
  <c r="R57" i="24"/>
  <c r="P57" i="24"/>
  <c r="N57" i="24"/>
  <c r="L57" i="24"/>
  <c r="J57" i="24"/>
  <c r="H57" i="24"/>
  <c r="F57" i="24"/>
  <c r="D57" i="24"/>
  <c r="Z56" i="24"/>
  <c r="X56" i="24"/>
  <c r="V56" i="24"/>
  <c r="T56" i="24"/>
  <c r="R56" i="24"/>
  <c r="P56" i="24"/>
  <c r="N56" i="24"/>
  <c r="L56" i="24"/>
  <c r="J56" i="24"/>
  <c r="H56" i="24"/>
  <c r="F56" i="24"/>
  <c r="D56" i="24"/>
  <c r="Z55" i="24"/>
  <c r="X55" i="24"/>
  <c r="V55" i="24"/>
  <c r="T55" i="24"/>
  <c r="R55" i="24"/>
  <c r="P55" i="24"/>
  <c r="N55" i="24"/>
  <c r="L55" i="24"/>
  <c r="J55" i="24"/>
  <c r="H55" i="24"/>
  <c r="F55" i="24"/>
  <c r="D55" i="24"/>
  <c r="Z54" i="24"/>
  <c r="X54" i="24"/>
  <c r="V54" i="24"/>
  <c r="T54" i="24"/>
  <c r="R54" i="24"/>
  <c r="P54" i="24"/>
  <c r="N54" i="24"/>
  <c r="L54" i="24"/>
  <c r="J54" i="24"/>
  <c r="H54" i="24"/>
  <c r="F54" i="24"/>
  <c r="D54" i="24"/>
  <c r="Z53" i="24"/>
  <c r="X53" i="24"/>
  <c r="V53" i="24"/>
  <c r="T53" i="24"/>
  <c r="R53" i="24"/>
  <c r="P53" i="24"/>
  <c r="N53" i="24"/>
  <c r="L53" i="24"/>
  <c r="J53" i="24"/>
  <c r="H53" i="24"/>
  <c r="F53" i="24"/>
  <c r="D53" i="24"/>
  <c r="Z52" i="24"/>
  <c r="X52" i="24"/>
  <c r="V52" i="24"/>
  <c r="T52" i="24"/>
  <c r="R52" i="24"/>
  <c r="P52" i="24"/>
  <c r="N52" i="24"/>
  <c r="L52" i="24"/>
  <c r="J52" i="24"/>
  <c r="H52" i="24"/>
  <c r="F52" i="24"/>
  <c r="D52" i="24"/>
  <c r="Z51" i="24"/>
  <c r="X51" i="24"/>
  <c r="V51" i="24"/>
  <c r="T51" i="24"/>
  <c r="R51" i="24"/>
  <c r="P51" i="24"/>
  <c r="N51" i="24"/>
  <c r="L51" i="24"/>
  <c r="J51" i="24"/>
  <c r="H51" i="24"/>
  <c r="F51" i="24"/>
  <c r="D51" i="24"/>
  <c r="Z50" i="24"/>
  <c r="X50" i="24"/>
  <c r="V50" i="24"/>
  <c r="T50" i="24"/>
  <c r="R50" i="24"/>
  <c r="P50" i="24"/>
  <c r="N50" i="24"/>
  <c r="L50" i="24"/>
  <c r="J50" i="24"/>
  <c r="H50" i="24"/>
  <c r="F50" i="24"/>
  <c r="D50" i="24"/>
  <c r="Z49" i="24"/>
  <c r="X49" i="24"/>
  <c r="V49" i="24"/>
  <c r="T49" i="24"/>
  <c r="R49" i="24"/>
  <c r="P49" i="24"/>
  <c r="N49" i="24"/>
  <c r="L49" i="24"/>
  <c r="J49" i="24"/>
  <c r="H49" i="24"/>
  <c r="F49" i="24"/>
  <c r="D49" i="24"/>
  <c r="Z48" i="24"/>
  <c r="X48" i="24"/>
  <c r="V48" i="24"/>
  <c r="T48" i="24"/>
  <c r="R48" i="24"/>
  <c r="P48" i="24"/>
  <c r="N48" i="24"/>
  <c r="L48" i="24"/>
  <c r="J48" i="24"/>
  <c r="H48" i="24"/>
  <c r="F48" i="24"/>
  <c r="D48" i="24"/>
  <c r="Z47" i="24"/>
  <c r="X47" i="24"/>
  <c r="V47" i="24"/>
  <c r="T47" i="24"/>
  <c r="R47" i="24"/>
  <c r="P47" i="24"/>
  <c r="N47" i="24"/>
  <c r="L47" i="24"/>
  <c r="J47" i="24"/>
  <c r="H47" i="24"/>
  <c r="F47" i="24"/>
  <c r="D47" i="24"/>
  <c r="Z46" i="24"/>
  <c r="X46" i="24"/>
  <c r="V46" i="24"/>
  <c r="T46" i="24"/>
  <c r="R46" i="24"/>
  <c r="P46" i="24"/>
  <c r="N46" i="24"/>
  <c r="L46" i="24"/>
  <c r="J46" i="24"/>
  <c r="H46" i="24"/>
  <c r="F46" i="24"/>
  <c r="D46" i="24"/>
  <c r="Z45" i="24"/>
  <c r="X45" i="24"/>
  <c r="V45" i="24"/>
  <c r="T45" i="24"/>
  <c r="R45" i="24"/>
  <c r="P45" i="24"/>
  <c r="N45" i="24"/>
  <c r="L45" i="24"/>
  <c r="J45" i="24"/>
  <c r="H45" i="24"/>
  <c r="F45" i="24"/>
  <c r="D45" i="24"/>
  <c r="X43" i="24"/>
  <c r="V43" i="24"/>
  <c r="T43" i="24"/>
  <c r="Z43" i="24" s="1"/>
  <c r="R43" i="24"/>
  <c r="P43" i="24"/>
  <c r="N43" i="24"/>
  <c r="L43" i="24"/>
  <c r="J43" i="24"/>
  <c r="H43" i="24"/>
  <c r="F43" i="24"/>
  <c r="D43" i="24"/>
  <c r="Z41" i="24"/>
  <c r="X41" i="24"/>
  <c r="V41" i="24"/>
  <c r="T41" i="24"/>
  <c r="R41" i="24"/>
  <c r="P41" i="24"/>
  <c r="N41" i="24"/>
  <c r="L41" i="24"/>
  <c r="J41" i="24"/>
  <c r="H41" i="24"/>
  <c r="F41" i="24"/>
  <c r="D41" i="24"/>
  <c r="Z40" i="24"/>
  <c r="X40" i="24"/>
  <c r="V40" i="24"/>
  <c r="T40" i="24"/>
  <c r="R40" i="24"/>
  <c r="P40" i="24"/>
  <c r="N40" i="24"/>
  <c r="L40" i="24"/>
  <c r="J40" i="24"/>
  <c r="H40" i="24"/>
  <c r="F40" i="24"/>
  <c r="D40" i="24"/>
  <c r="Z37" i="24"/>
  <c r="X37" i="24"/>
  <c r="V37" i="24"/>
  <c r="T37" i="24"/>
  <c r="R37" i="24"/>
  <c r="P37" i="24"/>
  <c r="N37" i="24"/>
  <c r="L37" i="24"/>
  <c r="J37" i="24"/>
  <c r="H37" i="24"/>
  <c r="F37" i="24"/>
  <c r="D37" i="24"/>
  <c r="Z36" i="24"/>
  <c r="X36" i="24"/>
  <c r="V36" i="24"/>
  <c r="T36" i="24"/>
  <c r="R36" i="24"/>
  <c r="P36" i="24"/>
  <c r="N36" i="24"/>
  <c r="L36" i="24"/>
  <c r="J36" i="24"/>
  <c r="H36" i="24"/>
  <c r="F36" i="24"/>
  <c r="D36" i="24"/>
  <c r="Z35" i="24"/>
  <c r="X35" i="24"/>
  <c r="V35" i="24"/>
  <c r="T35" i="24"/>
  <c r="R35" i="24"/>
  <c r="P35" i="24"/>
  <c r="N35" i="24"/>
  <c r="L35" i="24"/>
  <c r="J35" i="24"/>
  <c r="H35" i="24"/>
  <c r="F35" i="24"/>
  <c r="D35" i="24"/>
  <c r="Z34" i="24"/>
  <c r="X34" i="24"/>
  <c r="V34" i="24"/>
  <c r="T34" i="24"/>
  <c r="R34" i="24"/>
  <c r="P34" i="24"/>
  <c r="N34" i="24"/>
  <c r="L34" i="24"/>
  <c r="J34" i="24"/>
  <c r="H34" i="24"/>
  <c r="F34" i="24"/>
  <c r="D34" i="24"/>
  <c r="Z33" i="24"/>
  <c r="X33" i="24"/>
  <c r="V33" i="24"/>
  <c r="T33" i="24"/>
  <c r="R33" i="24"/>
  <c r="P33" i="24"/>
  <c r="N33" i="24"/>
  <c r="L33" i="24"/>
  <c r="J33" i="24"/>
  <c r="H33" i="24"/>
  <c r="F33" i="24"/>
  <c r="D33" i="24"/>
  <c r="Z32" i="24"/>
  <c r="X32" i="24"/>
  <c r="V32" i="24"/>
  <c r="T32" i="24"/>
  <c r="R32" i="24"/>
  <c r="P32" i="24"/>
  <c r="N32" i="24"/>
  <c r="L32" i="24"/>
  <c r="J32" i="24"/>
  <c r="H32" i="24"/>
  <c r="F32" i="24"/>
  <c r="D32" i="24"/>
  <c r="V30" i="24"/>
  <c r="T30" i="24"/>
  <c r="R30" i="24"/>
  <c r="P30" i="24"/>
  <c r="N30" i="24"/>
  <c r="L30" i="24"/>
  <c r="J30" i="24"/>
  <c r="H30" i="24"/>
  <c r="F30" i="24"/>
  <c r="Z29" i="24"/>
  <c r="X29" i="24"/>
  <c r="V29" i="24"/>
  <c r="T29" i="24"/>
  <c r="R29" i="24"/>
  <c r="P29" i="24"/>
  <c r="N29" i="24"/>
  <c r="L29" i="24"/>
  <c r="J29" i="24"/>
  <c r="H29" i="24"/>
  <c r="F29" i="24"/>
  <c r="D29" i="24"/>
  <c r="Z28" i="24"/>
  <c r="X28" i="24"/>
  <c r="V28" i="24"/>
  <c r="V97" i="24" s="1"/>
  <c r="V98" i="24" s="1"/>
  <c r="T28" i="24"/>
  <c r="T97" i="24" s="1"/>
  <c r="T98" i="24" s="1"/>
  <c r="R28" i="24"/>
  <c r="R97" i="24" s="1"/>
  <c r="R98" i="24" s="1"/>
  <c r="P28" i="24"/>
  <c r="P97" i="24" s="1"/>
  <c r="P98" i="24" s="1"/>
  <c r="N28" i="24"/>
  <c r="N97" i="24" s="1"/>
  <c r="N98" i="24" s="1"/>
  <c r="L28" i="24"/>
  <c r="L97" i="24" s="1"/>
  <c r="L98" i="24" s="1"/>
  <c r="J28" i="24"/>
  <c r="J97" i="24" s="1"/>
  <c r="J98" i="24" s="1"/>
  <c r="H28" i="24"/>
  <c r="H97" i="24" s="1"/>
  <c r="H98" i="24" s="1"/>
  <c r="F28" i="24"/>
  <c r="F97" i="24" s="1"/>
  <c r="F98" i="24" s="1"/>
  <c r="D28" i="24"/>
  <c r="D97" i="24" s="1"/>
  <c r="W25" i="24"/>
  <c r="Z21" i="24"/>
  <c r="Y21" i="24"/>
  <c r="Y25" i="24" s="1"/>
  <c r="X21" i="24"/>
  <c r="X23" i="24" s="1"/>
  <c r="U21" i="24"/>
  <c r="U25" i="24" s="1"/>
  <c r="S21" i="24"/>
  <c r="S25" i="24" s="1"/>
  <c r="Q21" i="24"/>
  <c r="Q25" i="24" s="1"/>
  <c r="O21" i="24"/>
  <c r="O25" i="24" s="1"/>
  <c r="M21" i="24"/>
  <c r="M25" i="24" s="1"/>
  <c r="K21" i="24"/>
  <c r="K25" i="24" s="1"/>
  <c r="I21" i="24"/>
  <c r="I25" i="24" s="1"/>
  <c r="G21" i="24"/>
  <c r="G25" i="24" s="1"/>
  <c r="E21" i="24"/>
  <c r="E25" i="24" s="1"/>
  <c r="C21" i="24"/>
  <c r="C25" i="24" s="1"/>
  <c r="Z19" i="24"/>
  <c r="X19" i="24"/>
  <c r="V19" i="24"/>
  <c r="T19" i="24"/>
  <c r="R19" i="24"/>
  <c r="P19" i="24"/>
  <c r="N19" i="24"/>
  <c r="L19" i="24"/>
  <c r="J19" i="24"/>
  <c r="H19" i="24"/>
  <c r="F19" i="24"/>
  <c r="D19" i="24"/>
  <c r="Z18" i="24"/>
  <c r="X18" i="24"/>
  <c r="V18" i="24"/>
  <c r="T18" i="24"/>
  <c r="R18" i="24"/>
  <c r="P18" i="24"/>
  <c r="N18" i="24"/>
  <c r="L18" i="24"/>
  <c r="J18" i="24"/>
  <c r="H18" i="24"/>
  <c r="F18" i="24"/>
  <c r="D18" i="24"/>
  <c r="Z17" i="24"/>
  <c r="X17" i="24"/>
  <c r="V17" i="24"/>
  <c r="T17" i="24"/>
  <c r="R17" i="24"/>
  <c r="P17" i="24"/>
  <c r="N17" i="24"/>
  <c r="L17" i="24"/>
  <c r="J17" i="24"/>
  <c r="H17" i="24"/>
  <c r="F17" i="24"/>
  <c r="D17" i="24"/>
  <c r="Z16" i="24"/>
  <c r="X16" i="24"/>
  <c r="V16" i="24"/>
  <c r="T16" i="24"/>
  <c r="R16" i="24"/>
  <c r="P16" i="24"/>
  <c r="N16" i="24"/>
  <c r="L16" i="24"/>
  <c r="J16" i="24"/>
  <c r="H16" i="24"/>
  <c r="F16" i="24"/>
  <c r="D16" i="24"/>
  <c r="Z15" i="24"/>
  <c r="X15" i="24"/>
  <c r="V15" i="24"/>
  <c r="T15" i="24"/>
  <c r="R15" i="24"/>
  <c r="P15" i="24"/>
  <c r="N15" i="24"/>
  <c r="L15" i="24"/>
  <c r="J15" i="24"/>
  <c r="H15" i="24"/>
  <c r="F15" i="24"/>
  <c r="D15" i="24"/>
  <c r="Z12" i="24"/>
  <c r="X12" i="24"/>
  <c r="V12" i="24"/>
  <c r="T12" i="24"/>
  <c r="R12" i="24"/>
  <c r="P12" i="24"/>
  <c r="N12" i="24"/>
  <c r="L12" i="24"/>
  <c r="J12" i="24"/>
  <c r="H12" i="24"/>
  <c r="F12" i="24"/>
  <c r="D12" i="24"/>
  <c r="Z11" i="24"/>
  <c r="X11" i="24"/>
  <c r="V11" i="24"/>
  <c r="T11" i="24"/>
  <c r="R11" i="24"/>
  <c r="P11" i="24"/>
  <c r="N11" i="24"/>
  <c r="L11" i="24"/>
  <c r="J11" i="24"/>
  <c r="H11" i="24"/>
  <c r="F11" i="24"/>
  <c r="D11" i="24"/>
  <c r="Z10" i="24"/>
  <c r="X10" i="24"/>
  <c r="V10" i="24"/>
  <c r="T10" i="24"/>
  <c r="R10" i="24"/>
  <c r="P10" i="24"/>
  <c r="N10" i="24"/>
  <c r="L10" i="24"/>
  <c r="J10" i="24"/>
  <c r="H10" i="24"/>
  <c r="F10" i="24"/>
  <c r="D10" i="24"/>
  <c r="Z9" i="24"/>
  <c r="X9" i="24"/>
  <c r="V9" i="24"/>
  <c r="V21" i="24" s="1"/>
  <c r="T9" i="24"/>
  <c r="T21" i="24" s="1"/>
  <c r="R9" i="24"/>
  <c r="R21" i="24" s="1"/>
  <c r="P9" i="24"/>
  <c r="P21" i="24" s="1"/>
  <c r="N9" i="24"/>
  <c r="N21" i="24" s="1"/>
  <c r="L9" i="24"/>
  <c r="L21" i="24" s="1"/>
  <c r="J9" i="24"/>
  <c r="J21" i="24" s="1"/>
  <c r="H9" i="24"/>
  <c r="H21" i="24" s="1"/>
  <c r="F9" i="24"/>
  <c r="F21" i="24" s="1"/>
  <c r="D9" i="24"/>
  <c r="D21" i="24" s="1"/>
  <c r="L104" i="25" l="1"/>
  <c r="L102" i="25"/>
  <c r="Z99" i="25"/>
  <c r="Z100" i="25" s="1"/>
  <c r="D99" i="25"/>
  <c r="D100" i="25" s="1"/>
  <c r="R104" i="25"/>
  <c r="R102" i="25"/>
  <c r="H104" i="25"/>
  <c r="H102" i="25"/>
  <c r="N102" i="25"/>
  <c r="N104" i="25"/>
  <c r="P104" i="25"/>
  <c r="P102" i="25"/>
  <c r="X98" i="25"/>
  <c r="J104" i="25"/>
  <c r="J102" i="25"/>
  <c r="V104" i="25"/>
  <c r="V102" i="25"/>
  <c r="F104" i="25"/>
  <c r="F102" i="25"/>
  <c r="T104" i="25"/>
  <c r="T102" i="25"/>
  <c r="X97" i="24"/>
  <c r="P23" i="24"/>
  <c r="P25" i="24"/>
  <c r="L99" i="24"/>
  <c r="L100" i="24" s="1"/>
  <c r="R23" i="24"/>
  <c r="R25" i="24" s="1"/>
  <c r="N99" i="24"/>
  <c r="N100" i="24" s="1"/>
  <c r="L23" i="24"/>
  <c r="L25" i="24"/>
  <c r="Z25" i="24"/>
  <c r="P100" i="24"/>
  <c r="P99" i="24"/>
  <c r="H23" i="24"/>
  <c r="H25" i="24" s="1"/>
  <c r="T99" i="24"/>
  <c r="T100" i="24" s="1"/>
  <c r="J25" i="24"/>
  <c r="J23" i="24"/>
  <c r="F99" i="24"/>
  <c r="F100" i="24" s="1"/>
  <c r="V99" i="24"/>
  <c r="V100" i="24" s="1"/>
  <c r="D23" i="24"/>
  <c r="D25" i="24"/>
  <c r="D98" i="24" s="1"/>
  <c r="T23" i="24"/>
  <c r="T25" i="24" s="1"/>
  <c r="H99" i="24"/>
  <c r="H100" i="24" s="1"/>
  <c r="F25" i="24"/>
  <c r="F23" i="24"/>
  <c r="N23" i="24"/>
  <c r="N25" i="24" s="1"/>
  <c r="V25" i="24"/>
  <c r="V23" i="24"/>
  <c r="J99" i="24"/>
  <c r="J100" i="24" s="1"/>
  <c r="R99" i="24"/>
  <c r="R100" i="24" s="1"/>
  <c r="Z97" i="24"/>
  <c r="X25" i="24"/>
  <c r="X98" i="24" s="1"/>
  <c r="Z23" i="24"/>
  <c r="D110" i="25" l="1"/>
  <c r="D111" i="25" s="1"/>
  <c r="D113" i="25" s="1"/>
  <c r="A4" i="25" s="1"/>
  <c r="D102" i="25"/>
  <c r="D104" i="25" s="1"/>
  <c r="Z110" i="25"/>
  <c r="Z111" i="25" s="1"/>
  <c r="Z112" i="25" s="1"/>
  <c r="Z113" i="25" s="1"/>
  <c r="Z102" i="25"/>
  <c r="Z104" i="25" s="1"/>
  <c r="F106" i="25"/>
  <c r="F108" i="25"/>
  <c r="F110" i="25" s="1"/>
  <c r="J108" i="25"/>
  <c r="J110" i="25" s="1"/>
  <c r="J106" i="25"/>
  <c r="N108" i="25"/>
  <c r="N110" i="25" s="1"/>
  <c r="N106" i="25"/>
  <c r="X100" i="25"/>
  <c r="X99" i="25"/>
  <c r="R108" i="25"/>
  <c r="R110" i="25" s="1"/>
  <c r="R106" i="25"/>
  <c r="T108" i="25"/>
  <c r="T110" i="25" s="1"/>
  <c r="T106" i="25"/>
  <c r="V106" i="25"/>
  <c r="V108" i="25"/>
  <c r="V110" i="25" s="1"/>
  <c r="P108" i="25"/>
  <c r="P110" i="25" s="1"/>
  <c r="P106" i="25"/>
  <c r="H108" i="25"/>
  <c r="H110" i="25" s="1"/>
  <c r="H106" i="25"/>
  <c r="L108" i="25"/>
  <c r="L110" i="25" s="1"/>
  <c r="L106" i="25"/>
  <c r="T104" i="24"/>
  <c r="T102" i="24"/>
  <c r="X99" i="24"/>
  <c r="X100" i="24" s="1"/>
  <c r="J104" i="24"/>
  <c r="J102" i="24"/>
  <c r="F104" i="24"/>
  <c r="F102" i="24"/>
  <c r="L104" i="24"/>
  <c r="L102" i="24"/>
  <c r="D99" i="24"/>
  <c r="D100" i="24" s="1"/>
  <c r="H104" i="24"/>
  <c r="H102" i="24"/>
  <c r="N104" i="24"/>
  <c r="N102" i="24"/>
  <c r="V104" i="24"/>
  <c r="V102" i="24"/>
  <c r="P104" i="24"/>
  <c r="P102" i="24"/>
  <c r="R104" i="24"/>
  <c r="R102" i="24"/>
  <c r="Z98" i="24"/>
  <c r="D112" i="23"/>
  <c r="Z96" i="23"/>
  <c r="X96" i="23"/>
  <c r="V96" i="23"/>
  <c r="T96" i="23"/>
  <c r="R96" i="23"/>
  <c r="P96" i="23"/>
  <c r="N96" i="23"/>
  <c r="L96" i="23"/>
  <c r="J96" i="23"/>
  <c r="H96" i="23"/>
  <c r="F96" i="23"/>
  <c r="D96" i="23"/>
  <c r="Z95" i="23"/>
  <c r="X95" i="23"/>
  <c r="V95" i="23"/>
  <c r="T95" i="23"/>
  <c r="R95" i="23"/>
  <c r="P95" i="23"/>
  <c r="N95" i="23"/>
  <c r="L95" i="23"/>
  <c r="J95" i="23"/>
  <c r="H95" i="23"/>
  <c r="F95" i="23"/>
  <c r="D95" i="23"/>
  <c r="Z94" i="23"/>
  <c r="X94" i="23"/>
  <c r="V94" i="23"/>
  <c r="T94" i="23"/>
  <c r="R94" i="23"/>
  <c r="P94" i="23"/>
  <c r="N94" i="23"/>
  <c r="L94" i="23"/>
  <c r="J94" i="23"/>
  <c r="H94" i="23"/>
  <c r="F94" i="23"/>
  <c r="D94" i="23"/>
  <c r="Z93" i="23"/>
  <c r="X93" i="23"/>
  <c r="V93" i="23"/>
  <c r="T93" i="23"/>
  <c r="R93" i="23"/>
  <c r="P93" i="23"/>
  <c r="N93" i="23"/>
  <c r="L93" i="23"/>
  <c r="J93" i="23"/>
  <c r="H93" i="23"/>
  <c r="F93" i="23"/>
  <c r="D93" i="23"/>
  <c r="Z92" i="23"/>
  <c r="X92" i="23"/>
  <c r="V92" i="23"/>
  <c r="T92" i="23"/>
  <c r="R92" i="23"/>
  <c r="P92" i="23"/>
  <c r="N92" i="23"/>
  <c r="L92" i="23"/>
  <c r="J92" i="23"/>
  <c r="H92" i="23"/>
  <c r="F92" i="23"/>
  <c r="D92" i="23"/>
  <c r="Z91" i="23"/>
  <c r="X91" i="23"/>
  <c r="V91" i="23"/>
  <c r="T91" i="23"/>
  <c r="R91" i="23"/>
  <c r="P91" i="23"/>
  <c r="N91" i="23"/>
  <c r="L91" i="23"/>
  <c r="J91" i="23"/>
  <c r="H91" i="23"/>
  <c r="F91" i="23"/>
  <c r="D91" i="23"/>
  <c r="Z90" i="23"/>
  <c r="X90" i="23"/>
  <c r="V90" i="23"/>
  <c r="T90" i="23"/>
  <c r="R90" i="23"/>
  <c r="P90" i="23"/>
  <c r="N90" i="23"/>
  <c r="L90" i="23"/>
  <c r="J90" i="23"/>
  <c r="H90" i="23"/>
  <c r="F90" i="23"/>
  <c r="D90" i="23"/>
  <c r="Z89" i="23"/>
  <c r="X89" i="23"/>
  <c r="V89" i="23"/>
  <c r="T89" i="23"/>
  <c r="R89" i="23"/>
  <c r="P89" i="23"/>
  <c r="N89" i="23"/>
  <c r="L89" i="23"/>
  <c r="J89" i="23"/>
  <c r="H89" i="23"/>
  <c r="F89" i="23"/>
  <c r="D89" i="23"/>
  <c r="Z88" i="23"/>
  <c r="X88" i="23"/>
  <c r="V88" i="23"/>
  <c r="T88" i="23"/>
  <c r="R88" i="23"/>
  <c r="P88" i="23"/>
  <c r="N88" i="23"/>
  <c r="L88" i="23"/>
  <c r="J88" i="23"/>
  <c r="H88" i="23"/>
  <c r="F88" i="23"/>
  <c r="D88" i="23"/>
  <c r="Z87" i="23"/>
  <c r="X87" i="23"/>
  <c r="V87" i="23"/>
  <c r="T87" i="23"/>
  <c r="R87" i="23"/>
  <c r="P87" i="23"/>
  <c r="N87" i="23"/>
  <c r="L87" i="23"/>
  <c r="J87" i="23"/>
  <c r="H87" i="23"/>
  <c r="F87" i="23"/>
  <c r="D87" i="23"/>
  <c r="Z86" i="23"/>
  <c r="X86" i="23"/>
  <c r="V86" i="23"/>
  <c r="T86" i="23"/>
  <c r="R86" i="23"/>
  <c r="P86" i="23"/>
  <c r="N86" i="23"/>
  <c r="L86" i="23"/>
  <c r="J86" i="23"/>
  <c r="H86" i="23"/>
  <c r="F86" i="23"/>
  <c r="D86" i="23"/>
  <c r="Z85" i="23"/>
  <c r="X85" i="23"/>
  <c r="V85" i="23"/>
  <c r="T85" i="23"/>
  <c r="R85" i="23"/>
  <c r="P85" i="23"/>
  <c r="N85" i="23"/>
  <c r="L85" i="23"/>
  <c r="J85" i="23"/>
  <c r="H85" i="23"/>
  <c r="F85" i="23"/>
  <c r="D85" i="23"/>
  <c r="Z84" i="23"/>
  <c r="X84" i="23"/>
  <c r="V84" i="23"/>
  <c r="T84" i="23"/>
  <c r="R84" i="23"/>
  <c r="P84" i="23"/>
  <c r="N84" i="23"/>
  <c r="L84" i="23"/>
  <c r="J84" i="23"/>
  <c r="H84" i="23"/>
  <c r="F84" i="23"/>
  <c r="D84" i="23"/>
  <c r="Z83" i="23"/>
  <c r="X83" i="23"/>
  <c r="V83" i="23"/>
  <c r="T83" i="23"/>
  <c r="R83" i="23"/>
  <c r="P83" i="23"/>
  <c r="N83" i="23"/>
  <c r="L83" i="23"/>
  <c r="J83" i="23"/>
  <c r="H83" i="23"/>
  <c r="F83" i="23"/>
  <c r="D83" i="23"/>
  <c r="Z82" i="23"/>
  <c r="X82" i="23"/>
  <c r="V82" i="23"/>
  <c r="T82" i="23"/>
  <c r="R82" i="23"/>
  <c r="P82" i="23"/>
  <c r="N82" i="23"/>
  <c r="L82" i="23"/>
  <c r="J82" i="23"/>
  <c r="H82" i="23"/>
  <c r="F82" i="23"/>
  <c r="D82" i="23"/>
  <c r="Z81" i="23"/>
  <c r="X81" i="23"/>
  <c r="V81" i="23"/>
  <c r="T81" i="23"/>
  <c r="R81" i="23"/>
  <c r="P81" i="23"/>
  <c r="N81" i="23"/>
  <c r="L81" i="23"/>
  <c r="J81" i="23"/>
  <c r="H81" i="23"/>
  <c r="F81" i="23"/>
  <c r="D81" i="23"/>
  <c r="Z80" i="23"/>
  <c r="X80" i="23"/>
  <c r="V80" i="23"/>
  <c r="T80" i="23"/>
  <c r="R80" i="23"/>
  <c r="P80" i="23"/>
  <c r="N80" i="23"/>
  <c r="L80" i="23"/>
  <c r="J80" i="23"/>
  <c r="H80" i="23"/>
  <c r="F80" i="23"/>
  <c r="D80" i="23"/>
  <c r="Z79" i="23"/>
  <c r="X79" i="23"/>
  <c r="V79" i="23"/>
  <c r="T79" i="23"/>
  <c r="R79" i="23"/>
  <c r="P79" i="23"/>
  <c r="N79" i="23"/>
  <c r="L79" i="23"/>
  <c r="J79" i="23"/>
  <c r="H79" i="23"/>
  <c r="F79" i="23"/>
  <c r="D79" i="23"/>
  <c r="Z78" i="23"/>
  <c r="X78" i="23"/>
  <c r="V78" i="23"/>
  <c r="T78" i="23"/>
  <c r="R78" i="23"/>
  <c r="P78" i="23"/>
  <c r="N78" i="23"/>
  <c r="L78" i="23"/>
  <c r="J78" i="23"/>
  <c r="H78" i="23"/>
  <c r="F78" i="23"/>
  <c r="D78" i="23"/>
  <c r="Z77" i="23"/>
  <c r="X77" i="23"/>
  <c r="V77" i="23"/>
  <c r="T77" i="23"/>
  <c r="R77" i="23"/>
  <c r="P77" i="23"/>
  <c r="N77" i="23"/>
  <c r="L77" i="23"/>
  <c r="J77" i="23"/>
  <c r="H77" i="23"/>
  <c r="F77" i="23"/>
  <c r="D77" i="23"/>
  <c r="Z76" i="23"/>
  <c r="X76" i="23"/>
  <c r="V76" i="23"/>
  <c r="T76" i="23"/>
  <c r="R76" i="23"/>
  <c r="P76" i="23"/>
  <c r="N76" i="23"/>
  <c r="L76" i="23"/>
  <c r="J76" i="23"/>
  <c r="H76" i="23"/>
  <c r="F76" i="23"/>
  <c r="D76" i="23"/>
  <c r="Z75" i="23"/>
  <c r="X75" i="23"/>
  <c r="V75" i="23"/>
  <c r="T75" i="23"/>
  <c r="R75" i="23"/>
  <c r="P75" i="23"/>
  <c r="N75" i="23"/>
  <c r="L75" i="23"/>
  <c r="J75" i="23"/>
  <c r="H75" i="23"/>
  <c r="F75" i="23"/>
  <c r="D75" i="23"/>
  <c r="Z74" i="23"/>
  <c r="X74" i="23"/>
  <c r="V74" i="23"/>
  <c r="T74" i="23"/>
  <c r="R74" i="23"/>
  <c r="P74" i="23"/>
  <c r="N74" i="23"/>
  <c r="L74" i="23"/>
  <c r="J74" i="23"/>
  <c r="H74" i="23"/>
  <c r="F74" i="23"/>
  <c r="D74" i="23"/>
  <c r="Z73" i="23"/>
  <c r="X73" i="23"/>
  <c r="V73" i="23"/>
  <c r="T73" i="23"/>
  <c r="R73" i="23"/>
  <c r="P73" i="23"/>
  <c r="N73" i="23"/>
  <c r="L73" i="23"/>
  <c r="J73" i="23"/>
  <c r="H73" i="23"/>
  <c r="F73" i="23"/>
  <c r="D73" i="23"/>
  <c r="Z72" i="23"/>
  <c r="X72" i="23"/>
  <c r="V72" i="23"/>
  <c r="T72" i="23"/>
  <c r="R72" i="23"/>
  <c r="P72" i="23"/>
  <c r="N72" i="23"/>
  <c r="L72" i="23"/>
  <c r="J72" i="23"/>
  <c r="H72" i="23"/>
  <c r="F72" i="23"/>
  <c r="D72" i="23"/>
  <c r="Z71" i="23"/>
  <c r="X71" i="23"/>
  <c r="V71" i="23"/>
  <c r="T71" i="23"/>
  <c r="R71" i="23"/>
  <c r="P71" i="23"/>
  <c r="N71" i="23"/>
  <c r="L71" i="23"/>
  <c r="J71" i="23"/>
  <c r="H71" i="23"/>
  <c r="F71" i="23"/>
  <c r="D71" i="23"/>
  <c r="Z70" i="23"/>
  <c r="X70" i="23"/>
  <c r="V70" i="23"/>
  <c r="T70" i="23"/>
  <c r="R70" i="23"/>
  <c r="P70" i="23"/>
  <c r="N70" i="23"/>
  <c r="L70" i="23"/>
  <c r="J70" i="23"/>
  <c r="H70" i="23"/>
  <c r="F70" i="23"/>
  <c r="D70" i="23"/>
  <c r="Z69" i="23"/>
  <c r="X69" i="23"/>
  <c r="V69" i="23"/>
  <c r="T69" i="23"/>
  <c r="R69" i="23"/>
  <c r="P69" i="23"/>
  <c r="N69" i="23"/>
  <c r="L69" i="23"/>
  <c r="J69" i="23"/>
  <c r="H69" i="23"/>
  <c r="F69" i="23"/>
  <c r="D69" i="23"/>
  <c r="Z68" i="23"/>
  <c r="X68" i="23"/>
  <c r="V68" i="23"/>
  <c r="T68" i="23"/>
  <c r="R68" i="23"/>
  <c r="P68" i="23"/>
  <c r="N68" i="23"/>
  <c r="L68" i="23"/>
  <c r="J68" i="23"/>
  <c r="H68" i="23"/>
  <c r="F68" i="23"/>
  <c r="D68" i="23"/>
  <c r="Z67" i="23"/>
  <c r="X67" i="23"/>
  <c r="V67" i="23"/>
  <c r="T67" i="23"/>
  <c r="R67" i="23"/>
  <c r="P67" i="23"/>
  <c r="N67" i="23"/>
  <c r="L67" i="23"/>
  <c r="J67" i="23"/>
  <c r="H67" i="23"/>
  <c r="F67" i="23"/>
  <c r="D67" i="23"/>
  <c r="Z66" i="23"/>
  <c r="X66" i="23"/>
  <c r="V66" i="23"/>
  <c r="T66" i="23"/>
  <c r="R66" i="23"/>
  <c r="P66" i="23"/>
  <c r="N66" i="23"/>
  <c r="L66" i="23"/>
  <c r="J66" i="23"/>
  <c r="H66" i="23"/>
  <c r="F66" i="23"/>
  <c r="Z65" i="23"/>
  <c r="X65" i="23"/>
  <c r="V65" i="23"/>
  <c r="T65" i="23"/>
  <c r="R65" i="23"/>
  <c r="P65" i="23"/>
  <c r="N65" i="23"/>
  <c r="L65" i="23"/>
  <c r="J65" i="23"/>
  <c r="H65" i="23"/>
  <c r="F65" i="23"/>
  <c r="D65" i="23"/>
  <c r="Z64" i="23"/>
  <c r="X64" i="23"/>
  <c r="V64" i="23"/>
  <c r="T64" i="23"/>
  <c r="R64" i="23"/>
  <c r="P64" i="23"/>
  <c r="N64" i="23"/>
  <c r="L64" i="23"/>
  <c r="J64" i="23"/>
  <c r="H64" i="23"/>
  <c r="F64" i="23"/>
  <c r="D64" i="23"/>
  <c r="Z63" i="23"/>
  <c r="X63" i="23"/>
  <c r="V63" i="23"/>
  <c r="T63" i="23"/>
  <c r="R63" i="23"/>
  <c r="P63" i="23"/>
  <c r="N63" i="23"/>
  <c r="L63" i="23"/>
  <c r="J63" i="23"/>
  <c r="H63" i="23"/>
  <c r="F63" i="23"/>
  <c r="D63" i="23"/>
  <c r="Z62" i="23"/>
  <c r="X62" i="23"/>
  <c r="V62" i="23"/>
  <c r="T62" i="23"/>
  <c r="R62" i="23"/>
  <c r="P62" i="23"/>
  <c r="N62" i="23"/>
  <c r="L62" i="23"/>
  <c r="J62" i="23"/>
  <c r="H62" i="23"/>
  <c r="F62" i="23"/>
  <c r="D62" i="23"/>
  <c r="Z61" i="23"/>
  <c r="X61" i="23"/>
  <c r="V61" i="23"/>
  <c r="T61" i="23"/>
  <c r="R61" i="23"/>
  <c r="P61" i="23"/>
  <c r="N61" i="23"/>
  <c r="L61" i="23"/>
  <c r="J61" i="23"/>
  <c r="H61" i="23"/>
  <c r="F61" i="23"/>
  <c r="D61" i="23"/>
  <c r="Z60" i="23"/>
  <c r="X60" i="23"/>
  <c r="V60" i="23"/>
  <c r="T60" i="23"/>
  <c r="R60" i="23"/>
  <c r="P60" i="23"/>
  <c r="N60" i="23"/>
  <c r="L60" i="23"/>
  <c r="J60" i="23"/>
  <c r="H60" i="23"/>
  <c r="F60" i="23"/>
  <c r="D60" i="23"/>
  <c r="Z59" i="23"/>
  <c r="X59" i="23"/>
  <c r="V59" i="23"/>
  <c r="T59" i="23"/>
  <c r="R59" i="23"/>
  <c r="P59" i="23"/>
  <c r="N59" i="23"/>
  <c r="L59" i="23"/>
  <c r="J59" i="23"/>
  <c r="H59" i="23"/>
  <c r="F59" i="23"/>
  <c r="D59" i="23"/>
  <c r="Z58" i="23"/>
  <c r="X58" i="23"/>
  <c r="V58" i="23"/>
  <c r="T58" i="23"/>
  <c r="R58" i="23"/>
  <c r="P58" i="23"/>
  <c r="N58" i="23"/>
  <c r="L58" i="23"/>
  <c r="J58" i="23"/>
  <c r="H58" i="23"/>
  <c r="F58" i="23"/>
  <c r="D58" i="23"/>
  <c r="Z57" i="23"/>
  <c r="X57" i="23"/>
  <c r="V57" i="23"/>
  <c r="T57" i="23"/>
  <c r="R57" i="23"/>
  <c r="P57" i="23"/>
  <c r="N57" i="23"/>
  <c r="L57" i="23"/>
  <c r="J57" i="23"/>
  <c r="H57" i="23"/>
  <c r="F57" i="23"/>
  <c r="D57" i="23"/>
  <c r="Z56" i="23"/>
  <c r="X56" i="23"/>
  <c r="V56" i="23"/>
  <c r="T56" i="23"/>
  <c r="R56" i="23"/>
  <c r="P56" i="23"/>
  <c r="N56" i="23"/>
  <c r="L56" i="23"/>
  <c r="J56" i="23"/>
  <c r="H56" i="23"/>
  <c r="F56" i="23"/>
  <c r="D56" i="23"/>
  <c r="Z55" i="23"/>
  <c r="X55" i="23"/>
  <c r="V55" i="23"/>
  <c r="T55" i="23"/>
  <c r="R55" i="23"/>
  <c r="P55" i="23"/>
  <c r="N55" i="23"/>
  <c r="L55" i="23"/>
  <c r="J55" i="23"/>
  <c r="H55" i="23"/>
  <c r="F55" i="23"/>
  <c r="D55" i="23"/>
  <c r="Z54" i="23"/>
  <c r="X54" i="23"/>
  <c r="V54" i="23"/>
  <c r="T54" i="23"/>
  <c r="R54" i="23"/>
  <c r="P54" i="23"/>
  <c r="N54" i="23"/>
  <c r="L54" i="23"/>
  <c r="J54" i="23"/>
  <c r="H54" i="23"/>
  <c r="F54" i="23"/>
  <c r="D54" i="23"/>
  <c r="Z53" i="23"/>
  <c r="X53" i="23"/>
  <c r="V53" i="23"/>
  <c r="T53" i="23"/>
  <c r="R53" i="23"/>
  <c r="P53" i="23"/>
  <c r="N53" i="23"/>
  <c r="L53" i="23"/>
  <c r="J53" i="23"/>
  <c r="H53" i="23"/>
  <c r="F53" i="23"/>
  <c r="D53" i="23"/>
  <c r="Z52" i="23"/>
  <c r="X52" i="23"/>
  <c r="V52" i="23"/>
  <c r="T52" i="23"/>
  <c r="R52" i="23"/>
  <c r="P52" i="23"/>
  <c r="N52" i="23"/>
  <c r="L52" i="23"/>
  <c r="J52" i="23"/>
  <c r="H52" i="23"/>
  <c r="F52" i="23"/>
  <c r="D52" i="23"/>
  <c r="Z51" i="23"/>
  <c r="X51" i="23"/>
  <c r="V51" i="23"/>
  <c r="T51" i="23"/>
  <c r="R51" i="23"/>
  <c r="P51" i="23"/>
  <c r="N51" i="23"/>
  <c r="L51" i="23"/>
  <c r="J51" i="23"/>
  <c r="H51" i="23"/>
  <c r="F51" i="23"/>
  <c r="D51" i="23"/>
  <c r="Z50" i="23"/>
  <c r="X50" i="23"/>
  <c r="V50" i="23"/>
  <c r="T50" i="23"/>
  <c r="R50" i="23"/>
  <c r="P50" i="23"/>
  <c r="N50" i="23"/>
  <c r="L50" i="23"/>
  <c r="J50" i="23"/>
  <c r="H50" i="23"/>
  <c r="F50" i="23"/>
  <c r="D50" i="23"/>
  <c r="Z49" i="23"/>
  <c r="X49" i="23"/>
  <c r="V49" i="23"/>
  <c r="T49" i="23"/>
  <c r="R49" i="23"/>
  <c r="P49" i="23"/>
  <c r="N49" i="23"/>
  <c r="L49" i="23"/>
  <c r="J49" i="23"/>
  <c r="H49" i="23"/>
  <c r="F49" i="23"/>
  <c r="D49" i="23"/>
  <c r="Z48" i="23"/>
  <c r="X48" i="23"/>
  <c r="V48" i="23"/>
  <c r="T48" i="23"/>
  <c r="R48" i="23"/>
  <c r="P48" i="23"/>
  <c r="N48" i="23"/>
  <c r="L48" i="23"/>
  <c r="J48" i="23"/>
  <c r="H48" i="23"/>
  <c r="F48" i="23"/>
  <c r="D48" i="23"/>
  <c r="Z47" i="23"/>
  <c r="X47" i="23"/>
  <c r="V47" i="23"/>
  <c r="T47" i="23"/>
  <c r="R47" i="23"/>
  <c r="P47" i="23"/>
  <c r="N47" i="23"/>
  <c r="L47" i="23"/>
  <c r="J47" i="23"/>
  <c r="H47" i="23"/>
  <c r="F47" i="23"/>
  <c r="D47" i="23"/>
  <c r="Z46" i="23"/>
  <c r="X46" i="23"/>
  <c r="V46" i="23"/>
  <c r="T46" i="23"/>
  <c r="R46" i="23"/>
  <c r="P46" i="23"/>
  <c r="N46" i="23"/>
  <c r="L46" i="23"/>
  <c r="J46" i="23"/>
  <c r="H46" i="23"/>
  <c r="F46" i="23"/>
  <c r="D46" i="23"/>
  <c r="Z45" i="23"/>
  <c r="X45" i="23"/>
  <c r="V45" i="23"/>
  <c r="T45" i="23"/>
  <c r="R45" i="23"/>
  <c r="P45" i="23"/>
  <c r="N45" i="23"/>
  <c r="L45" i="23"/>
  <c r="J45" i="23"/>
  <c r="H45" i="23"/>
  <c r="F45" i="23"/>
  <c r="D45" i="23"/>
  <c r="V43" i="23"/>
  <c r="T43" i="23"/>
  <c r="Z43" i="23" s="1"/>
  <c r="R43" i="23"/>
  <c r="X43" i="23" s="1"/>
  <c r="P43" i="23"/>
  <c r="N43" i="23"/>
  <c r="L43" i="23"/>
  <c r="J43" i="23"/>
  <c r="H43" i="23"/>
  <c r="F43" i="23"/>
  <c r="D43" i="23"/>
  <c r="Z41" i="23"/>
  <c r="X41" i="23"/>
  <c r="V41" i="23"/>
  <c r="T41" i="23"/>
  <c r="R41" i="23"/>
  <c r="P41" i="23"/>
  <c r="N41" i="23"/>
  <c r="L41" i="23"/>
  <c r="J41" i="23"/>
  <c r="H41" i="23"/>
  <c r="F41" i="23"/>
  <c r="D41" i="23"/>
  <c r="Z40" i="23"/>
  <c r="X40" i="23"/>
  <c r="V40" i="23"/>
  <c r="T40" i="23"/>
  <c r="R40" i="23"/>
  <c r="P40" i="23"/>
  <c r="N40" i="23"/>
  <c r="L40" i="23"/>
  <c r="J40" i="23"/>
  <c r="H40" i="23"/>
  <c r="F40" i="23"/>
  <c r="D40" i="23"/>
  <c r="Z37" i="23"/>
  <c r="X37" i="23"/>
  <c r="V37" i="23"/>
  <c r="T37" i="23"/>
  <c r="R37" i="23"/>
  <c r="P37" i="23"/>
  <c r="N37" i="23"/>
  <c r="L37" i="23"/>
  <c r="J37" i="23"/>
  <c r="H37" i="23"/>
  <c r="F37" i="23"/>
  <c r="D37" i="23"/>
  <c r="Z36" i="23"/>
  <c r="X36" i="23"/>
  <c r="V36" i="23"/>
  <c r="T36" i="23"/>
  <c r="R36" i="23"/>
  <c r="P36" i="23"/>
  <c r="N36" i="23"/>
  <c r="L36" i="23"/>
  <c r="J36" i="23"/>
  <c r="H36" i="23"/>
  <c r="F36" i="23"/>
  <c r="D36" i="23"/>
  <c r="Z35" i="23"/>
  <c r="X35" i="23"/>
  <c r="V35" i="23"/>
  <c r="T35" i="23"/>
  <c r="R35" i="23"/>
  <c r="P35" i="23"/>
  <c r="N35" i="23"/>
  <c r="L35" i="23"/>
  <c r="J35" i="23"/>
  <c r="H35" i="23"/>
  <c r="F35" i="23"/>
  <c r="D35" i="23"/>
  <c r="Z34" i="23"/>
  <c r="X34" i="23"/>
  <c r="V34" i="23"/>
  <c r="T34" i="23"/>
  <c r="R34" i="23"/>
  <c r="P34" i="23"/>
  <c r="N34" i="23"/>
  <c r="L34" i="23"/>
  <c r="J34" i="23"/>
  <c r="H34" i="23"/>
  <c r="F34" i="23"/>
  <c r="D34" i="23"/>
  <c r="Z33" i="23"/>
  <c r="X33" i="23"/>
  <c r="V33" i="23"/>
  <c r="T33" i="23"/>
  <c r="R33" i="23"/>
  <c r="P33" i="23"/>
  <c r="N33" i="23"/>
  <c r="L33" i="23"/>
  <c r="J33" i="23"/>
  <c r="H33" i="23"/>
  <c r="F33" i="23"/>
  <c r="D33" i="23"/>
  <c r="Z32" i="23"/>
  <c r="X32" i="23"/>
  <c r="V32" i="23"/>
  <c r="T32" i="23"/>
  <c r="R32" i="23"/>
  <c r="P32" i="23"/>
  <c r="N32" i="23"/>
  <c r="L32" i="23"/>
  <c r="J32" i="23"/>
  <c r="H32" i="23"/>
  <c r="F32" i="23"/>
  <c r="D32" i="23"/>
  <c r="V30" i="23"/>
  <c r="T30" i="23"/>
  <c r="R30" i="23"/>
  <c r="P30" i="23"/>
  <c r="N30" i="23"/>
  <c r="L30" i="23"/>
  <c r="J30" i="23"/>
  <c r="H30" i="23"/>
  <c r="F30" i="23"/>
  <c r="Z29" i="23"/>
  <c r="X29" i="23"/>
  <c r="V29" i="23"/>
  <c r="T29" i="23"/>
  <c r="R29" i="23"/>
  <c r="P29" i="23"/>
  <c r="N29" i="23"/>
  <c r="L29" i="23"/>
  <c r="J29" i="23"/>
  <c r="H29" i="23"/>
  <c r="F29" i="23"/>
  <c r="D29" i="23"/>
  <c r="Z28" i="23"/>
  <c r="Z97" i="23" s="1"/>
  <c r="X28" i="23"/>
  <c r="V28" i="23"/>
  <c r="V97" i="23" s="1"/>
  <c r="V98" i="23" s="1"/>
  <c r="T28" i="23"/>
  <c r="T97" i="23" s="1"/>
  <c r="T98" i="23" s="1"/>
  <c r="R28" i="23"/>
  <c r="R97" i="23" s="1"/>
  <c r="R98" i="23" s="1"/>
  <c r="P28" i="23"/>
  <c r="P97" i="23" s="1"/>
  <c r="P98" i="23" s="1"/>
  <c r="N28" i="23"/>
  <c r="N97" i="23" s="1"/>
  <c r="N98" i="23" s="1"/>
  <c r="L28" i="23"/>
  <c r="L97" i="23" s="1"/>
  <c r="L98" i="23" s="1"/>
  <c r="J28" i="23"/>
  <c r="J97" i="23" s="1"/>
  <c r="J98" i="23" s="1"/>
  <c r="H28" i="23"/>
  <c r="H97" i="23" s="1"/>
  <c r="H98" i="23" s="1"/>
  <c r="F28" i="23"/>
  <c r="F97" i="23" s="1"/>
  <c r="F98" i="23" s="1"/>
  <c r="D28" i="23"/>
  <c r="W25" i="23"/>
  <c r="Y21" i="23"/>
  <c r="Y25" i="23" s="1"/>
  <c r="X21" i="23"/>
  <c r="X23" i="23" s="1"/>
  <c r="U21" i="23"/>
  <c r="U25" i="23" s="1"/>
  <c r="S21" i="23"/>
  <c r="S25" i="23" s="1"/>
  <c r="Q21" i="23"/>
  <c r="Q25" i="23" s="1"/>
  <c r="O21" i="23"/>
  <c r="O25" i="23" s="1"/>
  <c r="M21" i="23"/>
  <c r="M25" i="23" s="1"/>
  <c r="K21" i="23"/>
  <c r="K25" i="23" s="1"/>
  <c r="I21" i="23"/>
  <c r="I25" i="23" s="1"/>
  <c r="G21" i="23"/>
  <c r="G25" i="23" s="1"/>
  <c r="E21" i="23"/>
  <c r="E25" i="23" s="1"/>
  <c r="C21" i="23"/>
  <c r="C25" i="23" s="1"/>
  <c r="Z19" i="23"/>
  <c r="X19" i="23"/>
  <c r="V19" i="23"/>
  <c r="T19" i="23"/>
  <c r="R19" i="23"/>
  <c r="P19" i="23"/>
  <c r="N19" i="23"/>
  <c r="L19" i="23"/>
  <c r="J19" i="23"/>
  <c r="H19" i="23"/>
  <c r="F19" i="23"/>
  <c r="D19" i="23"/>
  <c r="Z18" i="23"/>
  <c r="X18" i="23"/>
  <c r="V18" i="23"/>
  <c r="T18" i="23"/>
  <c r="R18" i="23"/>
  <c r="P18" i="23"/>
  <c r="N18" i="23"/>
  <c r="L18" i="23"/>
  <c r="J18" i="23"/>
  <c r="H18" i="23"/>
  <c r="F18" i="23"/>
  <c r="D18" i="23"/>
  <c r="Z17" i="23"/>
  <c r="X17" i="23"/>
  <c r="V17" i="23"/>
  <c r="T17" i="23"/>
  <c r="R17" i="23"/>
  <c r="P17" i="23"/>
  <c r="N17" i="23"/>
  <c r="L17" i="23"/>
  <c r="J17" i="23"/>
  <c r="H17" i="23"/>
  <c r="F17" i="23"/>
  <c r="D17" i="23"/>
  <c r="Z16" i="23"/>
  <c r="X16" i="23"/>
  <c r="V16" i="23"/>
  <c r="T16" i="23"/>
  <c r="R16" i="23"/>
  <c r="P16" i="23"/>
  <c r="N16" i="23"/>
  <c r="L16" i="23"/>
  <c r="J16" i="23"/>
  <c r="H16" i="23"/>
  <c r="F16" i="23"/>
  <c r="D16" i="23"/>
  <c r="Z15" i="23"/>
  <c r="X15" i="23"/>
  <c r="V15" i="23"/>
  <c r="T15" i="23"/>
  <c r="R15" i="23"/>
  <c r="P15" i="23"/>
  <c r="N15" i="23"/>
  <c r="L15" i="23"/>
  <c r="J15" i="23"/>
  <c r="H15" i="23"/>
  <c r="F15" i="23"/>
  <c r="D15" i="23"/>
  <c r="Z12" i="23"/>
  <c r="X12" i="23"/>
  <c r="V12" i="23"/>
  <c r="T12" i="23"/>
  <c r="R12" i="23"/>
  <c r="P12" i="23"/>
  <c r="N12" i="23"/>
  <c r="L12" i="23"/>
  <c r="J12" i="23"/>
  <c r="H12" i="23"/>
  <c r="F12" i="23"/>
  <c r="D12" i="23"/>
  <c r="Z11" i="23"/>
  <c r="X11" i="23"/>
  <c r="V11" i="23"/>
  <c r="T11" i="23"/>
  <c r="R11" i="23"/>
  <c r="P11" i="23"/>
  <c r="N11" i="23"/>
  <c r="L11" i="23"/>
  <c r="J11" i="23"/>
  <c r="H11" i="23"/>
  <c r="F11" i="23"/>
  <c r="D11" i="23"/>
  <c r="Z10" i="23"/>
  <c r="X10" i="23"/>
  <c r="V10" i="23"/>
  <c r="T10" i="23"/>
  <c r="R10" i="23"/>
  <c r="P10" i="23"/>
  <c r="N10" i="23"/>
  <c r="L10" i="23"/>
  <c r="J10" i="23"/>
  <c r="H10" i="23"/>
  <c r="F10" i="23"/>
  <c r="D10" i="23"/>
  <c r="Z9" i="23"/>
  <c r="Z21" i="23" s="1"/>
  <c r="X9" i="23"/>
  <c r="V9" i="23"/>
  <c r="V21" i="23" s="1"/>
  <c r="T9" i="23"/>
  <c r="T21" i="23" s="1"/>
  <c r="R9" i="23"/>
  <c r="R21" i="23" s="1"/>
  <c r="P9" i="23"/>
  <c r="P21" i="23" s="1"/>
  <c r="N9" i="23"/>
  <c r="N21" i="23" s="1"/>
  <c r="L9" i="23"/>
  <c r="L21" i="23" s="1"/>
  <c r="J9" i="23"/>
  <c r="J21" i="23" s="1"/>
  <c r="H9" i="23"/>
  <c r="H21" i="23" s="1"/>
  <c r="F9" i="23"/>
  <c r="F21" i="23" s="1"/>
  <c r="D9" i="23"/>
  <c r="D21" i="23" s="1"/>
  <c r="D112" i="20"/>
  <c r="Z96" i="20"/>
  <c r="X96" i="20"/>
  <c r="V96" i="20"/>
  <c r="T96" i="20"/>
  <c r="R96" i="20"/>
  <c r="P96" i="20"/>
  <c r="N96" i="20"/>
  <c r="L96" i="20"/>
  <c r="J96" i="20"/>
  <c r="H96" i="20"/>
  <c r="F96" i="20"/>
  <c r="D96" i="20"/>
  <c r="Z95" i="20"/>
  <c r="X95" i="20"/>
  <c r="V95" i="20"/>
  <c r="T95" i="20"/>
  <c r="R95" i="20"/>
  <c r="P95" i="20"/>
  <c r="N95" i="20"/>
  <c r="L95" i="20"/>
  <c r="J95" i="20"/>
  <c r="H95" i="20"/>
  <c r="F95" i="20"/>
  <c r="D95" i="20"/>
  <c r="Z94" i="20"/>
  <c r="X94" i="20"/>
  <c r="V94" i="20"/>
  <c r="T94" i="20"/>
  <c r="R94" i="20"/>
  <c r="P94" i="20"/>
  <c r="N94" i="20"/>
  <c r="L94" i="20"/>
  <c r="J94" i="20"/>
  <c r="H94" i="20"/>
  <c r="F94" i="20"/>
  <c r="D94" i="20"/>
  <c r="Z93" i="20"/>
  <c r="X93" i="20"/>
  <c r="V93" i="20"/>
  <c r="T93" i="20"/>
  <c r="R93" i="20"/>
  <c r="P93" i="20"/>
  <c r="N93" i="20"/>
  <c r="L93" i="20"/>
  <c r="J93" i="20"/>
  <c r="H93" i="20"/>
  <c r="F93" i="20"/>
  <c r="D93" i="20"/>
  <c r="Z92" i="20"/>
  <c r="X92" i="20"/>
  <c r="V92" i="20"/>
  <c r="T92" i="20"/>
  <c r="R92" i="20"/>
  <c r="P92" i="20"/>
  <c r="N92" i="20"/>
  <c r="L92" i="20"/>
  <c r="J92" i="20"/>
  <c r="H92" i="20"/>
  <c r="F92" i="20"/>
  <c r="D92" i="20"/>
  <c r="Z91" i="20"/>
  <c r="X91" i="20"/>
  <c r="V91" i="20"/>
  <c r="T91" i="20"/>
  <c r="R91" i="20"/>
  <c r="P91" i="20"/>
  <c r="N91" i="20"/>
  <c r="L91" i="20"/>
  <c r="J91" i="20"/>
  <c r="H91" i="20"/>
  <c r="F91" i="20"/>
  <c r="D91" i="20"/>
  <c r="Z90" i="20"/>
  <c r="X90" i="20"/>
  <c r="V90" i="20"/>
  <c r="T90" i="20"/>
  <c r="R90" i="20"/>
  <c r="P90" i="20"/>
  <c r="N90" i="20"/>
  <c r="L90" i="20"/>
  <c r="J90" i="20"/>
  <c r="H90" i="20"/>
  <c r="F90" i="20"/>
  <c r="D90" i="20"/>
  <c r="Z89" i="20"/>
  <c r="X89" i="20"/>
  <c r="V89" i="20"/>
  <c r="T89" i="20"/>
  <c r="R89" i="20"/>
  <c r="P89" i="20"/>
  <c r="N89" i="20"/>
  <c r="L89" i="20"/>
  <c r="J89" i="20"/>
  <c r="H89" i="20"/>
  <c r="F89" i="20"/>
  <c r="D89" i="20"/>
  <c r="Z88" i="20"/>
  <c r="X88" i="20"/>
  <c r="V88" i="20"/>
  <c r="T88" i="20"/>
  <c r="R88" i="20"/>
  <c r="P88" i="20"/>
  <c r="N88" i="20"/>
  <c r="L88" i="20"/>
  <c r="J88" i="20"/>
  <c r="H88" i="20"/>
  <c r="F88" i="20"/>
  <c r="D88" i="20"/>
  <c r="Z87" i="20"/>
  <c r="X87" i="20"/>
  <c r="V87" i="20"/>
  <c r="T87" i="20"/>
  <c r="R87" i="20"/>
  <c r="P87" i="20"/>
  <c r="N87" i="20"/>
  <c r="L87" i="20"/>
  <c r="J87" i="20"/>
  <c r="H87" i="20"/>
  <c r="F87" i="20"/>
  <c r="D87" i="20"/>
  <c r="Z86" i="20"/>
  <c r="X86" i="20"/>
  <c r="V86" i="20"/>
  <c r="T86" i="20"/>
  <c r="R86" i="20"/>
  <c r="P86" i="20"/>
  <c r="N86" i="20"/>
  <c r="L86" i="20"/>
  <c r="J86" i="20"/>
  <c r="H86" i="20"/>
  <c r="F86" i="20"/>
  <c r="D86" i="20"/>
  <c r="Z85" i="20"/>
  <c r="X85" i="20"/>
  <c r="V85" i="20"/>
  <c r="T85" i="20"/>
  <c r="R85" i="20"/>
  <c r="P85" i="20"/>
  <c r="N85" i="20"/>
  <c r="L85" i="20"/>
  <c r="J85" i="20"/>
  <c r="H85" i="20"/>
  <c r="F85" i="20"/>
  <c r="D85" i="20"/>
  <c r="Z84" i="20"/>
  <c r="X84" i="20"/>
  <c r="V84" i="20"/>
  <c r="T84" i="20"/>
  <c r="R84" i="20"/>
  <c r="P84" i="20"/>
  <c r="N84" i="20"/>
  <c r="L84" i="20"/>
  <c r="J84" i="20"/>
  <c r="H84" i="20"/>
  <c r="F84" i="20"/>
  <c r="D84" i="20"/>
  <c r="Z83" i="20"/>
  <c r="X83" i="20"/>
  <c r="V83" i="20"/>
  <c r="T83" i="20"/>
  <c r="R83" i="20"/>
  <c r="P83" i="20"/>
  <c r="N83" i="20"/>
  <c r="L83" i="20"/>
  <c r="J83" i="20"/>
  <c r="H83" i="20"/>
  <c r="F83" i="20"/>
  <c r="D83" i="20"/>
  <c r="Z82" i="20"/>
  <c r="X82" i="20"/>
  <c r="V82" i="20"/>
  <c r="T82" i="20"/>
  <c r="R82" i="20"/>
  <c r="P82" i="20"/>
  <c r="N82" i="20"/>
  <c r="L82" i="20"/>
  <c r="J82" i="20"/>
  <c r="H82" i="20"/>
  <c r="F82" i="20"/>
  <c r="D82" i="20"/>
  <c r="Z81" i="20"/>
  <c r="X81" i="20"/>
  <c r="V81" i="20"/>
  <c r="T81" i="20"/>
  <c r="R81" i="20"/>
  <c r="P81" i="20"/>
  <c r="N81" i="20"/>
  <c r="L81" i="20"/>
  <c r="J81" i="20"/>
  <c r="H81" i="20"/>
  <c r="F81" i="20"/>
  <c r="D81" i="20"/>
  <c r="Z80" i="20"/>
  <c r="X80" i="20"/>
  <c r="V80" i="20"/>
  <c r="T80" i="20"/>
  <c r="R80" i="20"/>
  <c r="P80" i="20"/>
  <c r="N80" i="20"/>
  <c r="L80" i="20"/>
  <c r="J80" i="20"/>
  <c r="H80" i="20"/>
  <c r="F80" i="20"/>
  <c r="D80" i="20"/>
  <c r="Z79" i="20"/>
  <c r="X79" i="20"/>
  <c r="V79" i="20"/>
  <c r="T79" i="20"/>
  <c r="R79" i="20"/>
  <c r="P79" i="20"/>
  <c r="N79" i="20"/>
  <c r="L79" i="20"/>
  <c r="J79" i="20"/>
  <c r="H79" i="20"/>
  <c r="F79" i="20"/>
  <c r="D79" i="20"/>
  <c r="Z78" i="20"/>
  <c r="X78" i="20"/>
  <c r="V78" i="20"/>
  <c r="T78" i="20"/>
  <c r="R78" i="20"/>
  <c r="P78" i="20"/>
  <c r="N78" i="20"/>
  <c r="L78" i="20"/>
  <c r="J78" i="20"/>
  <c r="H78" i="20"/>
  <c r="F78" i="20"/>
  <c r="D78" i="20"/>
  <c r="Z77" i="20"/>
  <c r="X77" i="20"/>
  <c r="V77" i="20"/>
  <c r="T77" i="20"/>
  <c r="R77" i="20"/>
  <c r="P77" i="20"/>
  <c r="N77" i="20"/>
  <c r="L77" i="20"/>
  <c r="J77" i="20"/>
  <c r="H77" i="20"/>
  <c r="F77" i="20"/>
  <c r="D77" i="20"/>
  <c r="Z76" i="20"/>
  <c r="X76" i="20"/>
  <c r="V76" i="20"/>
  <c r="T76" i="20"/>
  <c r="R76" i="20"/>
  <c r="P76" i="20"/>
  <c r="N76" i="20"/>
  <c r="L76" i="20"/>
  <c r="J76" i="20"/>
  <c r="H76" i="20"/>
  <c r="F76" i="20"/>
  <c r="D76" i="20"/>
  <c r="Z75" i="20"/>
  <c r="X75" i="20"/>
  <c r="V75" i="20"/>
  <c r="T75" i="20"/>
  <c r="R75" i="20"/>
  <c r="P75" i="20"/>
  <c r="N75" i="20"/>
  <c r="L75" i="20"/>
  <c r="J75" i="20"/>
  <c r="H75" i="20"/>
  <c r="F75" i="20"/>
  <c r="D75" i="20"/>
  <c r="Z74" i="20"/>
  <c r="X74" i="20"/>
  <c r="V74" i="20"/>
  <c r="T74" i="20"/>
  <c r="R74" i="20"/>
  <c r="P74" i="20"/>
  <c r="N74" i="20"/>
  <c r="L74" i="20"/>
  <c r="J74" i="20"/>
  <c r="H74" i="20"/>
  <c r="F74" i="20"/>
  <c r="D74" i="20"/>
  <c r="Z73" i="20"/>
  <c r="X73" i="20"/>
  <c r="V73" i="20"/>
  <c r="T73" i="20"/>
  <c r="R73" i="20"/>
  <c r="P73" i="20"/>
  <c r="N73" i="20"/>
  <c r="L73" i="20"/>
  <c r="J73" i="20"/>
  <c r="H73" i="20"/>
  <c r="F73" i="20"/>
  <c r="D73" i="20"/>
  <c r="Z72" i="20"/>
  <c r="X72" i="20"/>
  <c r="V72" i="20"/>
  <c r="T72" i="20"/>
  <c r="R72" i="20"/>
  <c r="P72" i="20"/>
  <c r="N72" i="20"/>
  <c r="L72" i="20"/>
  <c r="J72" i="20"/>
  <c r="H72" i="20"/>
  <c r="F72" i="20"/>
  <c r="D72" i="20"/>
  <c r="Z71" i="20"/>
  <c r="X71" i="20"/>
  <c r="V71" i="20"/>
  <c r="T71" i="20"/>
  <c r="R71" i="20"/>
  <c r="P71" i="20"/>
  <c r="N71" i="20"/>
  <c r="L71" i="20"/>
  <c r="J71" i="20"/>
  <c r="H71" i="20"/>
  <c r="F71" i="20"/>
  <c r="D71" i="20"/>
  <c r="Z70" i="20"/>
  <c r="X70" i="20"/>
  <c r="V70" i="20"/>
  <c r="T70" i="20"/>
  <c r="R70" i="20"/>
  <c r="P70" i="20"/>
  <c r="N70" i="20"/>
  <c r="L70" i="20"/>
  <c r="J70" i="20"/>
  <c r="H70" i="20"/>
  <c r="F70" i="20"/>
  <c r="D70" i="20"/>
  <c r="Z69" i="20"/>
  <c r="X69" i="20"/>
  <c r="V69" i="20"/>
  <c r="T69" i="20"/>
  <c r="R69" i="20"/>
  <c r="P69" i="20"/>
  <c r="N69" i="20"/>
  <c r="L69" i="20"/>
  <c r="J69" i="20"/>
  <c r="H69" i="20"/>
  <c r="F69" i="20"/>
  <c r="D69" i="20"/>
  <c r="Z68" i="20"/>
  <c r="X68" i="20"/>
  <c r="V68" i="20"/>
  <c r="T68" i="20"/>
  <c r="R68" i="20"/>
  <c r="P68" i="20"/>
  <c r="N68" i="20"/>
  <c r="L68" i="20"/>
  <c r="J68" i="20"/>
  <c r="H68" i="20"/>
  <c r="F68" i="20"/>
  <c r="D68" i="20"/>
  <c r="Z67" i="20"/>
  <c r="X67" i="20"/>
  <c r="V67" i="20"/>
  <c r="T67" i="20"/>
  <c r="R67" i="20"/>
  <c r="P67" i="20"/>
  <c r="N67" i="20"/>
  <c r="L67" i="20"/>
  <c r="J67" i="20"/>
  <c r="H67" i="20"/>
  <c r="F67" i="20"/>
  <c r="D67" i="20"/>
  <c r="Z66" i="20"/>
  <c r="X66" i="20"/>
  <c r="V66" i="20"/>
  <c r="T66" i="20"/>
  <c r="R66" i="20"/>
  <c r="P66" i="20"/>
  <c r="N66" i="20"/>
  <c r="L66" i="20"/>
  <c r="J66" i="20"/>
  <c r="H66" i="20"/>
  <c r="F66" i="20"/>
  <c r="Z65" i="20"/>
  <c r="X65" i="20"/>
  <c r="V65" i="20"/>
  <c r="T65" i="20"/>
  <c r="R65" i="20"/>
  <c r="P65" i="20"/>
  <c r="N65" i="20"/>
  <c r="L65" i="20"/>
  <c r="J65" i="20"/>
  <c r="H65" i="20"/>
  <c r="F65" i="20"/>
  <c r="D65" i="20"/>
  <c r="Z64" i="20"/>
  <c r="X64" i="20"/>
  <c r="V64" i="20"/>
  <c r="T64" i="20"/>
  <c r="R64" i="20"/>
  <c r="P64" i="20"/>
  <c r="N64" i="20"/>
  <c r="L64" i="20"/>
  <c r="J64" i="20"/>
  <c r="H64" i="20"/>
  <c r="F64" i="20"/>
  <c r="D64" i="20"/>
  <c r="Z63" i="20"/>
  <c r="X63" i="20"/>
  <c r="V63" i="20"/>
  <c r="T63" i="20"/>
  <c r="R63" i="20"/>
  <c r="P63" i="20"/>
  <c r="N63" i="20"/>
  <c r="L63" i="20"/>
  <c r="J63" i="20"/>
  <c r="H63" i="20"/>
  <c r="F63" i="20"/>
  <c r="D63" i="20"/>
  <c r="Z62" i="20"/>
  <c r="X62" i="20"/>
  <c r="V62" i="20"/>
  <c r="T62" i="20"/>
  <c r="R62" i="20"/>
  <c r="P62" i="20"/>
  <c r="N62" i="20"/>
  <c r="L62" i="20"/>
  <c r="J62" i="20"/>
  <c r="H62" i="20"/>
  <c r="F62" i="20"/>
  <c r="D62" i="20"/>
  <c r="Z61" i="20"/>
  <c r="X61" i="20"/>
  <c r="V61" i="20"/>
  <c r="T61" i="20"/>
  <c r="R61" i="20"/>
  <c r="P61" i="20"/>
  <c r="N61" i="20"/>
  <c r="L61" i="20"/>
  <c r="J61" i="20"/>
  <c r="H61" i="20"/>
  <c r="F61" i="20"/>
  <c r="D61" i="20"/>
  <c r="Z60" i="20"/>
  <c r="X60" i="20"/>
  <c r="V60" i="20"/>
  <c r="T60" i="20"/>
  <c r="R60" i="20"/>
  <c r="P60" i="20"/>
  <c r="N60" i="20"/>
  <c r="L60" i="20"/>
  <c r="J60" i="20"/>
  <c r="H60" i="20"/>
  <c r="F60" i="20"/>
  <c r="D60" i="20"/>
  <c r="Z59" i="20"/>
  <c r="X59" i="20"/>
  <c r="V59" i="20"/>
  <c r="T59" i="20"/>
  <c r="R59" i="20"/>
  <c r="P59" i="20"/>
  <c r="N59" i="20"/>
  <c r="L59" i="20"/>
  <c r="J59" i="20"/>
  <c r="H59" i="20"/>
  <c r="F59" i="20"/>
  <c r="D59" i="20"/>
  <c r="Z58" i="20"/>
  <c r="X58" i="20"/>
  <c r="V58" i="20"/>
  <c r="T58" i="20"/>
  <c r="R58" i="20"/>
  <c r="P58" i="20"/>
  <c r="N58" i="20"/>
  <c r="L58" i="20"/>
  <c r="J58" i="20"/>
  <c r="H58" i="20"/>
  <c r="F58" i="20"/>
  <c r="D58" i="20"/>
  <c r="Z57" i="20"/>
  <c r="X57" i="20"/>
  <c r="V57" i="20"/>
  <c r="T57" i="20"/>
  <c r="R57" i="20"/>
  <c r="P57" i="20"/>
  <c r="N57" i="20"/>
  <c r="L57" i="20"/>
  <c r="J57" i="20"/>
  <c r="H57" i="20"/>
  <c r="F57" i="20"/>
  <c r="D57" i="20"/>
  <c r="Z56" i="20"/>
  <c r="X56" i="20"/>
  <c r="V56" i="20"/>
  <c r="T56" i="20"/>
  <c r="R56" i="20"/>
  <c r="P56" i="20"/>
  <c r="N56" i="20"/>
  <c r="L56" i="20"/>
  <c r="J56" i="20"/>
  <c r="H56" i="20"/>
  <c r="F56" i="20"/>
  <c r="D56" i="20"/>
  <c r="Z55" i="20"/>
  <c r="X55" i="20"/>
  <c r="V55" i="20"/>
  <c r="T55" i="20"/>
  <c r="R55" i="20"/>
  <c r="P55" i="20"/>
  <c r="N55" i="20"/>
  <c r="L55" i="20"/>
  <c r="J55" i="20"/>
  <c r="H55" i="20"/>
  <c r="F55" i="20"/>
  <c r="D55" i="20"/>
  <c r="Z54" i="20"/>
  <c r="X54" i="20"/>
  <c r="V54" i="20"/>
  <c r="T54" i="20"/>
  <c r="R54" i="20"/>
  <c r="P54" i="20"/>
  <c r="N54" i="20"/>
  <c r="L54" i="20"/>
  <c r="J54" i="20"/>
  <c r="H54" i="20"/>
  <c r="F54" i="20"/>
  <c r="D54" i="20"/>
  <c r="Z53" i="20"/>
  <c r="X53" i="20"/>
  <c r="V53" i="20"/>
  <c r="T53" i="20"/>
  <c r="R53" i="20"/>
  <c r="P53" i="20"/>
  <c r="N53" i="20"/>
  <c r="L53" i="20"/>
  <c r="J53" i="20"/>
  <c r="H53" i="20"/>
  <c r="F53" i="20"/>
  <c r="D53" i="20"/>
  <c r="Z52" i="20"/>
  <c r="X52" i="20"/>
  <c r="V52" i="20"/>
  <c r="T52" i="20"/>
  <c r="R52" i="20"/>
  <c r="P52" i="20"/>
  <c r="N52" i="20"/>
  <c r="L52" i="20"/>
  <c r="J52" i="20"/>
  <c r="H52" i="20"/>
  <c r="F52" i="20"/>
  <c r="D52" i="20"/>
  <c r="Z51" i="20"/>
  <c r="X51" i="20"/>
  <c r="V51" i="20"/>
  <c r="T51" i="20"/>
  <c r="R51" i="20"/>
  <c r="P51" i="20"/>
  <c r="N51" i="20"/>
  <c r="L51" i="20"/>
  <c r="J51" i="20"/>
  <c r="H51" i="20"/>
  <c r="F51" i="20"/>
  <c r="D51" i="20"/>
  <c r="Z50" i="20"/>
  <c r="X50" i="20"/>
  <c r="V50" i="20"/>
  <c r="T50" i="20"/>
  <c r="R50" i="20"/>
  <c r="P50" i="20"/>
  <c r="N50" i="20"/>
  <c r="L50" i="20"/>
  <c r="J50" i="20"/>
  <c r="H50" i="20"/>
  <c r="F50" i="20"/>
  <c r="D50" i="20"/>
  <c r="Z49" i="20"/>
  <c r="X49" i="20"/>
  <c r="V49" i="20"/>
  <c r="T49" i="20"/>
  <c r="R49" i="20"/>
  <c r="P49" i="20"/>
  <c r="N49" i="20"/>
  <c r="L49" i="20"/>
  <c r="J49" i="20"/>
  <c r="H49" i="20"/>
  <c r="F49" i="20"/>
  <c r="D49" i="20"/>
  <c r="Z48" i="20"/>
  <c r="X48" i="20"/>
  <c r="V48" i="20"/>
  <c r="T48" i="20"/>
  <c r="R48" i="20"/>
  <c r="P48" i="20"/>
  <c r="N48" i="20"/>
  <c r="L48" i="20"/>
  <c r="J48" i="20"/>
  <c r="H48" i="20"/>
  <c r="F48" i="20"/>
  <c r="D48" i="20"/>
  <c r="Z47" i="20"/>
  <c r="X47" i="20"/>
  <c r="V47" i="20"/>
  <c r="T47" i="20"/>
  <c r="R47" i="20"/>
  <c r="P47" i="20"/>
  <c r="N47" i="20"/>
  <c r="L47" i="20"/>
  <c r="J47" i="20"/>
  <c r="H47" i="20"/>
  <c r="F47" i="20"/>
  <c r="D47" i="20"/>
  <c r="Z46" i="20"/>
  <c r="X46" i="20"/>
  <c r="V46" i="20"/>
  <c r="T46" i="20"/>
  <c r="R46" i="20"/>
  <c r="P46" i="20"/>
  <c r="N46" i="20"/>
  <c r="L46" i="20"/>
  <c r="J46" i="20"/>
  <c r="H46" i="20"/>
  <c r="F46" i="20"/>
  <c r="D46" i="20"/>
  <c r="Z45" i="20"/>
  <c r="X45" i="20"/>
  <c r="V45" i="20"/>
  <c r="T45" i="20"/>
  <c r="R45" i="20"/>
  <c r="P45" i="20"/>
  <c r="N45" i="20"/>
  <c r="L45" i="20"/>
  <c r="J45" i="20"/>
  <c r="H45" i="20"/>
  <c r="F45" i="20"/>
  <c r="D45" i="20"/>
  <c r="V43" i="20"/>
  <c r="T43" i="20"/>
  <c r="Z43" i="20" s="1"/>
  <c r="R43" i="20"/>
  <c r="X43" i="20" s="1"/>
  <c r="P43" i="20"/>
  <c r="N43" i="20"/>
  <c r="L43" i="20"/>
  <c r="J43" i="20"/>
  <c r="H43" i="20"/>
  <c r="F43" i="20"/>
  <c r="D43" i="20"/>
  <c r="Z41" i="20"/>
  <c r="X41" i="20"/>
  <c r="V41" i="20"/>
  <c r="T41" i="20"/>
  <c r="R41" i="20"/>
  <c r="P41" i="20"/>
  <c r="N41" i="20"/>
  <c r="L41" i="20"/>
  <c r="J41" i="20"/>
  <c r="H41" i="20"/>
  <c r="F41" i="20"/>
  <c r="D41" i="20"/>
  <c r="Z40" i="20"/>
  <c r="X40" i="20"/>
  <c r="V40" i="20"/>
  <c r="T40" i="20"/>
  <c r="R40" i="20"/>
  <c r="P40" i="20"/>
  <c r="N40" i="20"/>
  <c r="L40" i="20"/>
  <c r="J40" i="20"/>
  <c r="H40" i="20"/>
  <c r="F40" i="20"/>
  <c r="D40" i="20"/>
  <c r="Z37" i="20"/>
  <c r="X37" i="20"/>
  <c r="V37" i="20"/>
  <c r="T37" i="20"/>
  <c r="R37" i="20"/>
  <c r="P37" i="20"/>
  <c r="N37" i="20"/>
  <c r="L37" i="20"/>
  <c r="J37" i="20"/>
  <c r="H37" i="20"/>
  <c r="F37" i="20"/>
  <c r="D37" i="20"/>
  <c r="Z36" i="20"/>
  <c r="X36" i="20"/>
  <c r="V36" i="20"/>
  <c r="T36" i="20"/>
  <c r="R36" i="20"/>
  <c r="P36" i="20"/>
  <c r="N36" i="20"/>
  <c r="L36" i="20"/>
  <c r="J36" i="20"/>
  <c r="H36" i="20"/>
  <c r="F36" i="20"/>
  <c r="D36" i="20"/>
  <c r="Z35" i="20"/>
  <c r="X35" i="20"/>
  <c r="V35" i="20"/>
  <c r="T35" i="20"/>
  <c r="R35" i="20"/>
  <c r="P35" i="20"/>
  <c r="N35" i="20"/>
  <c r="L35" i="20"/>
  <c r="J35" i="20"/>
  <c r="H35" i="20"/>
  <c r="F35" i="20"/>
  <c r="D35" i="20"/>
  <c r="Z34" i="20"/>
  <c r="X34" i="20"/>
  <c r="V34" i="20"/>
  <c r="T34" i="20"/>
  <c r="R34" i="20"/>
  <c r="P34" i="20"/>
  <c r="N34" i="20"/>
  <c r="L34" i="20"/>
  <c r="J34" i="20"/>
  <c r="H34" i="20"/>
  <c r="F34" i="20"/>
  <c r="D34" i="20"/>
  <c r="Z33" i="20"/>
  <c r="X33" i="20"/>
  <c r="V33" i="20"/>
  <c r="T33" i="20"/>
  <c r="R33" i="20"/>
  <c r="P33" i="20"/>
  <c r="N33" i="20"/>
  <c r="L33" i="20"/>
  <c r="J33" i="20"/>
  <c r="H33" i="20"/>
  <c r="F33" i="20"/>
  <c r="D33" i="20"/>
  <c r="Z32" i="20"/>
  <c r="X32" i="20"/>
  <c r="V32" i="20"/>
  <c r="T32" i="20"/>
  <c r="R32" i="20"/>
  <c r="P32" i="20"/>
  <c r="N32" i="20"/>
  <c r="L32" i="20"/>
  <c r="J32" i="20"/>
  <c r="H32" i="20"/>
  <c r="F32" i="20"/>
  <c r="D32" i="20"/>
  <c r="V30" i="20"/>
  <c r="T30" i="20"/>
  <c r="R30" i="20"/>
  <c r="P30" i="20"/>
  <c r="N30" i="20"/>
  <c r="L30" i="20"/>
  <c r="J30" i="20"/>
  <c r="H30" i="20"/>
  <c r="F30" i="20"/>
  <c r="Z29" i="20"/>
  <c r="X29" i="20"/>
  <c r="V29" i="20"/>
  <c r="T29" i="20"/>
  <c r="R29" i="20"/>
  <c r="P29" i="20"/>
  <c r="N29" i="20"/>
  <c r="L29" i="20"/>
  <c r="J29" i="20"/>
  <c r="H29" i="20"/>
  <c r="F29" i="20"/>
  <c r="D29" i="20"/>
  <c r="Z28" i="20"/>
  <c r="Z97" i="20" s="1"/>
  <c r="X28" i="20"/>
  <c r="V28" i="20"/>
  <c r="V97" i="20" s="1"/>
  <c r="V98" i="20" s="1"/>
  <c r="T28" i="20"/>
  <c r="T97" i="20" s="1"/>
  <c r="T98" i="20" s="1"/>
  <c r="R28" i="20"/>
  <c r="R97" i="20" s="1"/>
  <c r="R98" i="20" s="1"/>
  <c r="P28" i="20"/>
  <c r="P97" i="20" s="1"/>
  <c r="P98" i="20" s="1"/>
  <c r="N28" i="20"/>
  <c r="N97" i="20" s="1"/>
  <c r="N98" i="20" s="1"/>
  <c r="L28" i="20"/>
  <c r="L97" i="20" s="1"/>
  <c r="L98" i="20" s="1"/>
  <c r="J28" i="20"/>
  <c r="J97" i="20" s="1"/>
  <c r="J98" i="20" s="1"/>
  <c r="H28" i="20"/>
  <c r="H97" i="20" s="1"/>
  <c r="H98" i="20" s="1"/>
  <c r="F28" i="20"/>
  <c r="F97" i="20" s="1"/>
  <c r="F98" i="20" s="1"/>
  <c r="D28" i="20"/>
  <c r="W25" i="20"/>
  <c r="Y21" i="20"/>
  <c r="Y25" i="20" s="1"/>
  <c r="X21" i="20"/>
  <c r="U21" i="20"/>
  <c r="U25" i="20" s="1"/>
  <c r="S21" i="20"/>
  <c r="S25" i="20" s="1"/>
  <c r="Q21" i="20"/>
  <c r="Q25" i="20" s="1"/>
  <c r="O21" i="20"/>
  <c r="O25" i="20" s="1"/>
  <c r="M21" i="20"/>
  <c r="M25" i="20" s="1"/>
  <c r="K21" i="20"/>
  <c r="K25" i="20" s="1"/>
  <c r="I21" i="20"/>
  <c r="I25" i="20" s="1"/>
  <c r="G21" i="20"/>
  <c r="G25" i="20" s="1"/>
  <c r="E21" i="20"/>
  <c r="E25" i="20" s="1"/>
  <c r="C21" i="20"/>
  <c r="C25" i="20" s="1"/>
  <c r="Z19" i="20"/>
  <c r="X19" i="20"/>
  <c r="V19" i="20"/>
  <c r="T19" i="20"/>
  <c r="R19" i="20"/>
  <c r="P19" i="20"/>
  <c r="N19" i="20"/>
  <c r="L19" i="20"/>
  <c r="J19" i="20"/>
  <c r="H19" i="20"/>
  <c r="F19" i="20"/>
  <c r="D19" i="20"/>
  <c r="Z18" i="20"/>
  <c r="X18" i="20"/>
  <c r="V18" i="20"/>
  <c r="T18" i="20"/>
  <c r="R18" i="20"/>
  <c r="P18" i="20"/>
  <c r="N18" i="20"/>
  <c r="L18" i="20"/>
  <c r="J18" i="20"/>
  <c r="H18" i="20"/>
  <c r="F18" i="20"/>
  <c r="D18" i="20"/>
  <c r="Z17" i="20"/>
  <c r="X17" i="20"/>
  <c r="V17" i="20"/>
  <c r="T17" i="20"/>
  <c r="R17" i="20"/>
  <c r="P17" i="20"/>
  <c r="N17" i="20"/>
  <c r="L17" i="20"/>
  <c r="J17" i="20"/>
  <c r="H17" i="20"/>
  <c r="F17" i="20"/>
  <c r="D17" i="20"/>
  <c r="Z16" i="20"/>
  <c r="X16" i="20"/>
  <c r="V16" i="20"/>
  <c r="T16" i="20"/>
  <c r="R16" i="20"/>
  <c r="P16" i="20"/>
  <c r="N16" i="20"/>
  <c r="L16" i="20"/>
  <c r="J16" i="20"/>
  <c r="H16" i="20"/>
  <c r="F16" i="20"/>
  <c r="D16" i="20"/>
  <c r="Z15" i="20"/>
  <c r="X15" i="20"/>
  <c r="V15" i="20"/>
  <c r="T15" i="20"/>
  <c r="R15" i="20"/>
  <c r="P15" i="20"/>
  <c r="N15" i="20"/>
  <c r="L15" i="20"/>
  <c r="J15" i="20"/>
  <c r="H15" i="20"/>
  <c r="F15" i="20"/>
  <c r="D15" i="20"/>
  <c r="Z12" i="20"/>
  <c r="X12" i="20"/>
  <c r="V12" i="20"/>
  <c r="T12" i="20"/>
  <c r="R12" i="20"/>
  <c r="P12" i="20"/>
  <c r="N12" i="20"/>
  <c r="L12" i="20"/>
  <c r="J12" i="20"/>
  <c r="H12" i="20"/>
  <c r="F12" i="20"/>
  <c r="D12" i="20"/>
  <c r="Z11" i="20"/>
  <c r="X11" i="20"/>
  <c r="V11" i="20"/>
  <c r="T11" i="20"/>
  <c r="R11" i="20"/>
  <c r="P11" i="20"/>
  <c r="N11" i="20"/>
  <c r="L11" i="20"/>
  <c r="J11" i="20"/>
  <c r="H11" i="20"/>
  <c r="F11" i="20"/>
  <c r="D11" i="20"/>
  <c r="Z10" i="20"/>
  <c r="X10" i="20"/>
  <c r="V10" i="20"/>
  <c r="T10" i="20"/>
  <c r="R10" i="20"/>
  <c r="P10" i="20"/>
  <c r="N10" i="20"/>
  <c r="L10" i="20"/>
  <c r="J10" i="20"/>
  <c r="H10" i="20"/>
  <c r="F10" i="20"/>
  <c r="D10" i="20"/>
  <c r="Z9" i="20"/>
  <c r="Z21" i="20" s="1"/>
  <c r="X9" i="20"/>
  <c r="V9" i="20"/>
  <c r="V21" i="20" s="1"/>
  <c r="T9" i="20"/>
  <c r="T21" i="20" s="1"/>
  <c r="R9" i="20"/>
  <c r="R21" i="20" s="1"/>
  <c r="P9" i="20"/>
  <c r="P21" i="20" s="1"/>
  <c r="N9" i="20"/>
  <c r="N21" i="20" s="1"/>
  <c r="L9" i="20"/>
  <c r="L21" i="20" s="1"/>
  <c r="J9" i="20"/>
  <c r="J21" i="20" s="1"/>
  <c r="H9" i="20"/>
  <c r="H21" i="20" s="1"/>
  <c r="F9" i="20"/>
  <c r="F21" i="20" s="1"/>
  <c r="D9" i="20"/>
  <c r="D21" i="20" s="1"/>
  <c r="D112" i="18"/>
  <c r="Z96" i="18"/>
  <c r="X96" i="18"/>
  <c r="V96" i="18"/>
  <c r="T96" i="18"/>
  <c r="R96" i="18"/>
  <c r="P96" i="18"/>
  <c r="N96" i="18"/>
  <c r="L96" i="18"/>
  <c r="J96" i="18"/>
  <c r="H96" i="18"/>
  <c r="F96" i="18"/>
  <c r="D96" i="18"/>
  <c r="Z95" i="18"/>
  <c r="X95" i="18"/>
  <c r="V95" i="18"/>
  <c r="T95" i="18"/>
  <c r="R95" i="18"/>
  <c r="P95" i="18"/>
  <c r="N95" i="18"/>
  <c r="L95" i="18"/>
  <c r="J95" i="18"/>
  <c r="H95" i="18"/>
  <c r="F95" i="18"/>
  <c r="D95" i="18"/>
  <c r="Z94" i="18"/>
  <c r="X94" i="18"/>
  <c r="V94" i="18"/>
  <c r="T94" i="18"/>
  <c r="R94" i="18"/>
  <c r="P94" i="18"/>
  <c r="N94" i="18"/>
  <c r="L94" i="18"/>
  <c r="J94" i="18"/>
  <c r="H94" i="18"/>
  <c r="F94" i="18"/>
  <c r="D94" i="18"/>
  <c r="Z93" i="18"/>
  <c r="X93" i="18"/>
  <c r="V93" i="18"/>
  <c r="T93" i="18"/>
  <c r="R93" i="18"/>
  <c r="P93" i="18"/>
  <c r="N93" i="18"/>
  <c r="L93" i="18"/>
  <c r="J93" i="18"/>
  <c r="H93" i="18"/>
  <c r="F93" i="18"/>
  <c r="D93" i="18"/>
  <c r="Z92" i="18"/>
  <c r="X92" i="18"/>
  <c r="V92" i="18"/>
  <c r="T92" i="18"/>
  <c r="R92" i="18"/>
  <c r="P92" i="18"/>
  <c r="N92" i="18"/>
  <c r="L92" i="18"/>
  <c r="J92" i="18"/>
  <c r="H92" i="18"/>
  <c r="F92" i="18"/>
  <c r="D92" i="18"/>
  <c r="Z91" i="18"/>
  <c r="X91" i="18"/>
  <c r="V91" i="18"/>
  <c r="T91" i="18"/>
  <c r="R91" i="18"/>
  <c r="P91" i="18"/>
  <c r="N91" i="18"/>
  <c r="L91" i="18"/>
  <c r="J91" i="18"/>
  <c r="H91" i="18"/>
  <c r="F91" i="18"/>
  <c r="D91" i="18"/>
  <c r="Z90" i="18"/>
  <c r="X90" i="18"/>
  <c r="V90" i="18"/>
  <c r="T90" i="18"/>
  <c r="R90" i="18"/>
  <c r="P90" i="18"/>
  <c r="N90" i="18"/>
  <c r="L90" i="18"/>
  <c r="J90" i="18"/>
  <c r="H90" i="18"/>
  <c r="F90" i="18"/>
  <c r="D90" i="18"/>
  <c r="Z89" i="18"/>
  <c r="X89" i="18"/>
  <c r="V89" i="18"/>
  <c r="T89" i="18"/>
  <c r="R89" i="18"/>
  <c r="P89" i="18"/>
  <c r="N89" i="18"/>
  <c r="L89" i="18"/>
  <c r="J89" i="18"/>
  <c r="H89" i="18"/>
  <c r="F89" i="18"/>
  <c r="D89" i="18"/>
  <c r="Z88" i="18"/>
  <c r="X88" i="18"/>
  <c r="V88" i="18"/>
  <c r="T88" i="18"/>
  <c r="R88" i="18"/>
  <c r="P88" i="18"/>
  <c r="N88" i="18"/>
  <c r="L88" i="18"/>
  <c r="J88" i="18"/>
  <c r="H88" i="18"/>
  <c r="F88" i="18"/>
  <c r="D88" i="18"/>
  <c r="Z87" i="18"/>
  <c r="X87" i="18"/>
  <c r="V87" i="18"/>
  <c r="T87" i="18"/>
  <c r="R87" i="18"/>
  <c r="P87" i="18"/>
  <c r="N87" i="18"/>
  <c r="L87" i="18"/>
  <c r="J87" i="18"/>
  <c r="H87" i="18"/>
  <c r="F87" i="18"/>
  <c r="D87" i="18"/>
  <c r="Z86" i="18"/>
  <c r="X86" i="18"/>
  <c r="V86" i="18"/>
  <c r="T86" i="18"/>
  <c r="R86" i="18"/>
  <c r="P86" i="18"/>
  <c r="N86" i="18"/>
  <c r="L86" i="18"/>
  <c r="J86" i="18"/>
  <c r="H86" i="18"/>
  <c r="F86" i="18"/>
  <c r="D86" i="18"/>
  <c r="Z85" i="18"/>
  <c r="X85" i="18"/>
  <c r="V85" i="18"/>
  <c r="T85" i="18"/>
  <c r="R85" i="18"/>
  <c r="P85" i="18"/>
  <c r="N85" i="18"/>
  <c r="L85" i="18"/>
  <c r="J85" i="18"/>
  <c r="H85" i="18"/>
  <c r="F85" i="18"/>
  <c r="D85" i="18"/>
  <c r="Z84" i="18"/>
  <c r="X84" i="18"/>
  <c r="V84" i="18"/>
  <c r="T84" i="18"/>
  <c r="R84" i="18"/>
  <c r="P84" i="18"/>
  <c r="N84" i="18"/>
  <c r="L84" i="18"/>
  <c r="J84" i="18"/>
  <c r="H84" i="18"/>
  <c r="F84" i="18"/>
  <c r="D84" i="18"/>
  <c r="Z83" i="18"/>
  <c r="X83" i="18"/>
  <c r="V83" i="18"/>
  <c r="T83" i="18"/>
  <c r="R83" i="18"/>
  <c r="P83" i="18"/>
  <c r="N83" i="18"/>
  <c r="L83" i="18"/>
  <c r="J83" i="18"/>
  <c r="H83" i="18"/>
  <c r="F83" i="18"/>
  <c r="D83" i="18"/>
  <c r="Z82" i="18"/>
  <c r="X82" i="18"/>
  <c r="V82" i="18"/>
  <c r="T82" i="18"/>
  <c r="R82" i="18"/>
  <c r="P82" i="18"/>
  <c r="N82" i="18"/>
  <c r="L82" i="18"/>
  <c r="J82" i="18"/>
  <c r="H82" i="18"/>
  <c r="F82" i="18"/>
  <c r="D82" i="18"/>
  <c r="Z81" i="18"/>
  <c r="X81" i="18"/>
  <c r="V81" i="18"/>
  <c r="T81" i="18"/>
  <c r="R81" i="18"/>
  <c r="P81" i="18"/>
  <c r="N81" i="18"/>
  <c r="L81" i="18"/>
  <c r="J81" i="18"/>
  <c r="H81" i="18"/>
  <c r="F81" i="18"/>
  <c r="D81" i="18"/>
  <c r="Z80" i="18"/>
  <c r="X80" i="18"/>
  <c r="V80" i="18"/>
  <c r="T80" i="18"/>
  <c r="R80" i="18"/>
  <c r="P80" i="18"/>
  <c r="N80" i="18"/>
  <c r="L80" i="18"/>
  <c r="J80" i="18"/>
  <c r="H80" i="18"/>
  <c r="F80" i="18"/>
  <c r="D80" i="18"/>
  <c r="Z79" i="18"/>
  <c r="X79" i="18"/>
  <c r="V79" i="18"/>
  <c r="T79" i="18"/>
  <c r="R79" i="18"/>
  <c r="P79" i="18"/>
  <c r="N79" i="18"/>
  <c r="L79" i="18"/>
  <c r="J79" i="18"/>
  <c r="H79" i="18"/>
  <c r="F79" i="18"/>
  <c r="D79" i="18"/>
  <c r="Z78" i="18"/>
  <c r="X78" i="18"/>
  <c r="V78" i="18"/>
  <c r="T78" i="18"/>
  <c r="R78" i="18"/>
  <c r="P78" i="18"/>
  <c r="N78" i="18"/>
  <c r="L78" i="18"/>
  <c r="J78" i="18"/>
  <c r="H78" i="18"/>
  <c r="F78" i="18"/>
  <c r="D78" i="18"/>
  <c r="Z77" i="18"/>
  <c r="X77" i="18"/>
  <c r="V77" i="18"/>
  <c r="T77" i="18"/>
  <c r="R77" i="18"/>
  <c r="P77" i="18"/>
  <c r="N77" i="18"/>
  <c r="L77" i="18"/>
  <c r="J77" i="18"/>
  <c r="H77" i="18"/>
  <c r="F77" i="18"/>
  <c r="D77" i="18"/>
  <c r="Z76" i="18"/>
  <c r="X76" i="18"/>
  <c r="V76" i="18"/>
  <c r="T76" i="18"/>
  <c r="R76" i="18"/>
  <c r="P76" i="18"/>
  <c r="N76" i="18"/>
  <c r="L76" i="18"/>
  <c r="J76" i="18"/>
  <c r="H76" i="18"/>
  <c r="F76" i="18"/>
  <c r="D76" i="18"/>
  <c r="Z75" i="18"/>
  <c r="X75" i="18"/>
  <c r="V75" i="18"/>
  <c r="T75" i="18"/>
  <c r="R75" i="18"/>
  <c r="P75" i="18"/>
  <c r="N75" i="18"/>
  <c r="L75" i="18"/>
  <c r="J75" i="18"/>
  <c r="H75" i="18"/>
  <c r="F75" i="18"/>
  <c r="D75" i="18"/>
  <c r="Z74" i="18"/>
  <c r="X74" i="18"/>
  <c r="V74" i="18"/>
  <c r="T74" i="18"/>
  <c r="R74" i="18"/>
  <c r="P74" i="18"/>
  <c r="N74" i="18"/>
  <c r="L74" i="18"/>
  <c r="J74" i="18"/>
  <c r="H74" i="18"/>
  <c r="F74" i="18"/>
  <c r="D74" i="18"/>
  <c r="Z73" i="18"/>
  <c r="X73" i="18"/>
  <c r="V73" i="18"/>
  <c r="T73" i="18"/>
  <c r="R73" i="18"/>
  <c r="P73" i="18"/>
  <c r="N73" i="18"/>
  <c r="L73" i="18"/>
  <c r="J73" i="18"/>
  <c r="H73" i="18"/>
  <c r="F73" i="18"/>
  <c r="D73" i="18"/>
  <c r="Z72" i="18"/>
  <c r="X72" i="18"/>
  <c r="V72" i="18"/>
  <c r="T72" i="18"/>
  <c r="R72" i="18"/>
  <c r="P72" i="18"/>
  <c r="N72" i="18"/>
  <c r="L72" i="18"/>
  <c r="J72" i="18"/>
  <c r="H72" i="18"/>
  <c r="F72" i="18"/>
  <c r="D72" i="18"/>
  <c r="Z71" i="18"/>
  <c r="X71" i="18"/>
  <c r="V71" i="18"/>
  <c r="T71" i="18"/>
  <c r="R71" i="18"/>
  <c r="P71" i="18"/>
  <c r="N71" i="18"/>
  <c r="L71" i="18"/>
  <c r="J71" i="18"/>
  <c r="H71" i="18"/>
  <c r="F71" i="18"/>
  <c r="D71" i="18"/>
  <c r="Z70" i="18"/>
  <c r="X70" i="18"/>
  <c r="V70" i="18"/>
  <c r="T70" i="18"/>
  <c r="R70" i="18"/>
  <c r="P70" i="18"/>
  <c r="N70" i="18"/>
  <c r="L70" i="18"/>
  <c r="J70" i="18"/>
  <c r="H70" i="18"/>
  <c r="F70" i="18"/>
  <c r="D70" i="18"/>
  <c r="Z69" i="18"/>
  <c r="X69" i="18"/>
  <c r="V69" i="18"/>
  <c r="T69" i="18"/>
  <c r="R69" i="18"/>
  <c r="P69" i="18"/>
  <c r="N69" i="18"/>
  <c r="L69" i="18"/>
  <c r="J69" i="18"/>
  <c r="H69" i="18"/>
  <c r="F69" i="18"/>
  <c r="D69" i="18"/>
  <c r="Z68" i="18"/>
  <c r="X68" i="18"/>
  <c r="V68" i="18"/>
  <c r="T68" i="18"/>
  <c r="R68" i="18"/>
  <c r="P68" i="18"/>
  <c r="N68" i="18"/>
  <c r="L68" i="18"/>
  <c r="J68" i="18"/>
  <c r="H68" i="18"/>
  <c r="F68" i="18"/>
  <c r="D68" i="18"/>
  <c r="Z67" i="18"/>
  <c r="X67" i="18"/>
  <c r="V67" i="18"/>
  <c r="T67" i="18"/>
  <c r="R67" i="18"/>
  <c r="P67" i="18"/>
  <c r="N67" i="18"/>
  <c r="L67" i="18"/>
  <c r="J67" i="18"/>
  <c r="H67" i="18"/>
  <c r="F67" i="18"/>
  <c r="D67" i="18"/>
  <c r="Z66" i="18"/>
  <c r="X66" i="18"/>
  <c r="V66" i="18"/>
  <c r="T66" i="18"/>
  <c r="R66" i="18"/>
  <c r="P66" i="18"/>
  <c r="N66" i="18"/>
  <c r="L66" i="18"/>
  <c r="J66" i="18"/>
  <c r="H66" i="18"/>
  <c r="F66" i="18"/>
  <c r="Z65" i="18"/>
  <c r="X65" i="18"/>
  <c r="V65" i="18"/>
  <c r="T65" i="18"/>
  <c r="R65" i="18"/>
  <c r="P65" i="18"/>
  <c r="N65" i="18"/>
  <c r="L65" i="18"/>
  <c r="J65" i="18"/>
  <c r="H65" i="18"/>
  <c r="F65" i="18"/>
  <c r="D65" i="18"/>
  <c r="Z64" i="18"/>
  <c r="X64" i="18"/>
  <c r="V64" i="18"/>
  <c r="T64" i="18"/>
  <c r="R64" i="18"/>
  <c r="P64" i="18"/>
  <c r="N64" i="18"/>
  <c r="L64" i="18"/>
  <c r="J64" i="18"/>
  <c r="H64" i="18"/>
  <c r="F64" i="18"/>
  <c r="D64" i="18"/>
  <c r="Z63" i="18"/>
  <c r="X63" i="18"/>
  <c r="V63" i="18"/>
  <c r="T63" i="18"/>
  <c r="R63" i="18"/>
  <c r="P63" i="18"/>
  <c r="N63" i="18"/>
  <c r="L63" i="18"/>
  <c r="J63" i="18"/>
  <c r="H63" i="18"/>
  <c r="F63" i="18"/>
  <c r="D63" i="18"/>
  <c r="Z62" i="18"/>
  <c r="X62" i="18"/>
  <c r="V62" i="18"/>
  <c r="T62" i="18"/>
  <c r="R62" i="18"/>
  <c r="P62" i="18"/>
  <c r="N62" i="18"/>
  <c r="L62" i="18"/>
  <c r="J62" i="18"/>
  <c r="H62" i="18"/>
  <c r="F62" i="18"/>
  <c r="D62" i="18"/>
  <c r="Z61" i="18"/>
  <c r="X61" i="18"/>
  <c r="V61" i="18"/>
  <c r="T61" i="18"/>
  <c r="R61" i="18"/>
  <c r="P61" i="18"/>
  <c r="N61" i="18"/>
  <c r="L61" i="18"/>
  <c r="J61" i="18"/>
  <c r="H61" i="18"/>
  <c r="F61" i="18"/>
  <c r="D61" i="18"/>
  <c r="Z60" i="18"/>
  <c r="X60" i="18"/>
  <c r="V60" i="18"/>
  <c r="T60" i="18"/>
  <c r="R60" i="18"/>
  <c r="P60" i="18"/>
  <c r="N60" i="18"/>
  <c r="L60" i="18"/>
  <c r="J60" i="18"/>
  <c r="H60" i="18"/>
  <c r="F60" i="18"/>
  <c r="D60" i="18"/>
  <c r="Z59" i="18"/>
  <c r="X59" i="18"/>
  <c r="V59" i="18"/>
  <c r="T59" i="18"/>
  <c r="R59" i="18"/>
  <c r="P59" i="18"/>
  <c r="N59" i="18"/>
  <c r="L59" i="18"/>
  <c r="J59" i="18"/>
  <c r="H59" i="18"/>
  <c r="F59" i="18"/>
  <c r="D59" i="18"/>
  <c r="Z58" i="18"/>
  <c r="X58" i="18"/>
  <c r="V58" i="18"/>
  <c r="T58" i="18"/>
  <c r="R58" i="18"/>
  <c r="P58" i="18"/>
  <c r="N58" i="18"/>
  <c r="L58" i="18"/>
  <c r="J58" i="18"/>
  <c r="H58" i="18"/>
  <c r="F58" i="18"/>
  <c r="D58" i="18"/>
  <c r="Z57" i="18"/>
  <c r="X57" i="18"/>
  <c r="V57" i="18"/>
  <c r="T57" i="18"/>
  <c r="R57" i="18"/>
  <c r="P57" i="18"/>
  <c r="N57" i="18"/>
  <c r="L57" i="18"/>
  <c r="J57" i="18"/>
  <c r="H57" i="18"/>
  <c r="F57" i="18"/>
  <c r="D57" i="18"/>
  <c r="Z56" i="18"/>
  <c r="X56" i="18"/>
  <c r="V56" i="18"/>
  <c r="T56" i="18"/>
  <c r="R56" i="18"/>
  <c r="P56" i="18"/>
  <c r="N56" i="18"/>
  <c r="L56" i="18"/>
  <c r="J56" i="18"/>
  <c r="H56" i="18"/>
  <c r="F56" i="18"/>
  <c r="D56" i="18"/>
  <c r="Z55" i="18"/>
  <c r="X55" i="18"/>
  <c r="V55" i="18"/>
  <c r="T55" i="18"/>
  <c r="R55" i="18"/>
  <c r="P55" i="18"/>
  <c r="N55" i="18"/>
  <c r="L55" i="18"/>
  <c r="J55" i="18"/>
  <c r="H55" i="18"/>
  <c r="F55" i="18"/>
  <c r="D55" i="18"/>
  <c r="Z54" i="18"/>
  <c r="X54" i="18"/>
  <c r="V54" i="18"/>
  <c r="T54" i="18"/>
  <c r="R54" i="18"/>
  <c r="P54" i="18"/>
  <c r="N54" i="18"/>
  <c r="L54" i="18"/>
  <c r="J54" i="18"/>
  <c r="H54" i="18"/>
  <c r="F54" i="18"/>
  <c r="D54" i="18"/>
  <c r="Z53" i="18"/>
  <c r="X53" i="18"/>
  <c r="V53" i="18"/>
  <c r="T53" i="18"/>
  <c r="R53" i="18"/>
  <c r="P53" i="18"/>
  <c r="N53" i="18"/>
  <c r="L53" i="18"/>
  <c r="J53" i="18"/>
  <c r="H53" i="18"/>
  <c r="F53" i="18"/>
  <c r="D53" i="18"/>
  <c r="Z52" i="18"/>
  <c r="X52" i="18"/>
  <c r="V52" i="18"/>
  <c r="T52" i="18"/>
  <c r="R52" i="18"/>
  <c r="P52" i="18"/>
  <c r="N52" i="18"/>
  <c r="L52" i="18"/>
  <c r="J52" i="18"/>
  <c r="H52" i="18"/>
  <c r="F52" i="18"/>
  <c r="D52" i="18"/>
  <c r="Z51" i="18"/>
  <c r="X51" i="18"/>
  <c r="V51" i="18"/>
  <c r="T51" i="18"/>
  <c r="R51" i="18"/>
  <c r="P51" i="18"/>
  <c r="N51" i="18"/>
  <c r="L51" i="18"/>
  <c r="J51" i="18"/>
  <c r="H51" i="18"/>
  <c r="F51" i="18"/>
  <c r="D51" i="18"/>
  <c r="Z50" i="18"/>
  <c r="X50" i="18"/>
  <c r="V50" i="18"/>
  <c r="T50" i="18"/>
  <c r="R50" i="18"/>
  <c r="P50" i="18"/>
  <c r="N50" i="18"/>
  <c r="L50" i="18"/>
  <c r="J50" i="18"/>
  <c r="H50" i="18"/>
  <c r="F50" i="18"/>
  <c r="D50" i="18"/>
  <c r="Z49" i="18"/>
  <c r="X49" i="18"/>
  <c r="V49" i="18"/>
  <c r="T49" i="18"/>
  <c r="R49" i="18"/>
  <c r="P49" i="18"/>
  <c r="N49" i="18"/>
  <c r="L49" i="18"/>
  <c r="J49" i="18"/>
  <c r="H49" i="18"/>
  <c r="F49" i="18"/>
  <c r="D49" i="18"/>
  <c r="Z48" i="18"/>
  <c r="X48" i="18"/>
  <c r="V48" i="18"/>
  <c r="T48" i="18"/>
  <c r="R48" i="18"/>
  <c r="P48" i="18"/>
  <c r="N48" i="18"/>
  <c r="L48" i="18"/>
  <c r="J48" i="18"/>
  <c r="H48" i="18"/>
  <c r="F48" i="18"/>
  <c r="D48" i="18"/>
  <c r="Z47" i="18"/>
  <c r="X47" i="18"/>
  <c r="V47" i="18"/>
  <c r="T47" i="18"/>
  <c r="R47" i="18"/>
  <c r="P47" i="18"/>
  <c r="N47" i="18"/>
  <c r="L47" i="18"/>
  <c r="J47" i="18"/>
  <c r="H47" i="18"/>
  <c r="F47" i="18"/>
  <c r="D47" i="18"/>
  <c r="Z46" i="18"/>
  <c r="X46" i="18"/>
  <c r="V46" i="18"/>
  <c r="T46" i="18"/>
  <c r="R46" i="18"/>
  <c r="P46" i="18"/>
  <c r="N46" i="18"/>
  <c r="L46" i="18"/>
  <c r="J46" i="18"/>
  <c r="H46" i="18"/>
  <c r="F46" i="18"/>
  <c r="D46" i="18"/>
  <c r="Z45" i="18"/>
  <c r="X45" i="18"/>
  <c r="V45" i="18"/>
  <c r="T45" i="18"/>
  <c r="R45" i="18"/>
  <c r="P45" i="18"/>
  <c r="N45" i="18"/>
  <c r="L45" i="18"/>
  <c r="J45" i="18"/>
  <c r="H45" i="18"/>
  <c r="F45" i="18"/>
  <c r="D45" i="18"/>
  <c r="V43" i="18"/>
  <c r="T43" i="18"/>
  <c r="Z43" i="18" s="1"/>
  <c r="R43" i="18"/>
  <c r="X43" i="18" s="1"/>
  <c r="P43" i="18"/>
  <c r="N43" i="18"/>
  <c r="L43" i="18"/>
  <c r="J43" i="18"/>
  <c r="H43" i="18"/>
  <c r="F43" i="18"/>
  <c r="D43" i="18"/>
  <c r="Z41" i="18"/>
  <c r="X41" i="18"/>
  <c r="V41" i="18"/>
  <c r="T41" i="18"/>
  <c r="R41" i="18"/>
  <c r="P41" i="18"/>
  <c r="N41" i="18"/>
  <c r="L41" i="18"/>
  <c r="J41" i="18"/>
  <c r="H41" i="18"/>
  <c r="F41" i="18"/>
  <c r="D41" i="18"/>
  <c r="Z40" i="18"/>
  <c r="X40" i="18"/>
  <c r="V40" i="18"/>
  <c r="T40" i="18"/>
  <c r="R40" i="18"/>
  <c r="P40" i="18"/>
  <c r="N40" i="18"/>
  <c r="L40" i="18"/>
  <c r="J40" i="18"/>
  <c r="H40" i="18"/>
  <c r="F40" i="18"/>
  <c r="D40" i="18"/>
  <c r="Z37" i="18"/>
  <c r="X37" i="18"/>
  <c r="V37" i="18"/>
  <c r="T37" i="18"/>
  <c r="R37" i="18"/>
  <c r="P37" i="18"/>
  <c r="N37" i="18"/>
  <c r="L37" i="18"/>
  <c r="J37" i="18"/>
  <c r="H37" i="18"/>
  <c r="F37" i="18"/>
  <c r="D37" i="18"/>
  <c r="Z36" i="18"/>
  <c r="X36" i="18"/>
  <c r="V36" i="18"/>
  <c r="T36" i="18"/>
  <c r="R36" i="18"/>
  <c r="P36" i="18"/>
  <c r="N36" i="18"/>
  <c r="L36" i="18"/>
  <c r="J36" i="18"/>
  <c r="H36" i="18"/>
  <c r="F36" i="18"/>
  <c r="D36" i="18"/>
  <c r="Z35" i="18"/>
  <c r="X35" i="18"/>
  <c r="V35" i="18"/>
  <c r="T35" i="18"/>
  <c r="R35" i="18"/>
  <c r="P35" i="18"/>
  <c r="N35" i="18"/>
  <c r="L35" i="18"/>
  <c r="J35" i="18"/>
  <c r="H35" i="18"/>
  <c r="F35" i="18"/>
  <c r="D35" i="18"/>
  <c r="Z34" i="18"/>
  <c r="X34" i="18"/>
  <c r="V34" i="18"/>
  <c r="T34" i="18"/>
  <c r="R34" i="18"/>
  <c r="P34" i="18"/>
  <c r="N34" i="18"/>
  <c r="L34" i="18"/>
  <c r="J34" i="18"/>
  <c r="H34" i="18"/>
  <c r="F34" i="18"/>
  <c r="D34" i="18"/>
  <c r="Z33" i="18"/>
  <c r="X33" i="18"/>
  <c r="V33" i="18"/>
  <c r="T33" i="18"/>
  <c r="R33" i="18"/>
  <c r="P33" i="18"/>
  <c r="N33" i="18"/>
  <c r="L33" i="18"/>
  <c r="J33" i="18"/>
  <c r="H33" i="18"/>
  <c r="F33" i="18"/>
  <c r="D33" i="18"/>
  <c r="Z32" i="18"/>
  <c r="X32" i="18"/>
  <c r="V32" i="18"/>
  <c r="T32" i="18"/>
  <c r="R32" i="18"/>
  <c r="P32" i="18"/>
  <c r="N32" i="18"/>
  <c r="L32" i="18"/>
  <c r="J32" i="18"/>
  <c r="H32" i="18"/>
  <c r="F32" i="18"/>
  <c r="D32" i="18"/>
  <c r="V30" i="18"/>
  <c r="T30" i="18"/>
  <c r="R30" i="18"/>
  <c r="P30" i="18"/>
  <c r="N30" i="18"/>
  <c r="L30" i="18"/>
  <c r="J30" i="18"/>
  <c r="H30" i="18"/>
  <c r="F30" i="18"/>
  <c r="Z29" i="18"/>
  <c r="X29" i="18"/>
  <c r="V29" i="18"/>
  <c r="T29" i="18"/>
  <c r="R29" i="18"/>
  <c r="P29" i="18"/>
  <c r="N29" i="18"/>
  <c r="L29" i="18"/>
  <c r="J29" i="18"/>
  <c r="H29" i="18"/>
  <c r="F29" i="18"/>
  <c r="D29" i="18"/>
  <c r="Z28" i="18"/>
  <c r="X28" i="18"/>
  <c r="V28" i="18"/>
  <c r="V97" i="18" s="1"/>
  <c r="V98" i="18" s="1"/>
  <c r="T28" i="18"/>
  <c r="T97" i="18" s="1"/>
  <c r="T98" i="18" s="1"/>
  <c r="R28" i="18"/>
  <c r="R97" i="18" s="1"/>
  <c r="R98" i="18" s="1"/>
  <c r="P28" i="18"/>
  <c r="P97" i="18" s="1"/>
  <c r="P98" i="18" s="1"/>
  <c r="N28" i="18"/>
  <c r="N97" i="18" s="1"/>
  <c r="N98" i="18" s="1"/>
  <c r="L28" i="18"/>
  <c r="L97" i="18" s="1"/>
  <c r="L98" i="18" s="1"/>
  <c r="J28" i="18"/>
  <c r="J97" i="18" s="1"/>
  <c r="J98" i="18" s="1"/>
  <c r="H28" i="18"/>
  <c r="H97" i="18" s="1"/>
  <c r="H98" i="18" s="1"/>
  <c r="F28" i="18"/>
  <c r="F97" i="18" s="1"/>
  <c r="F98" i="18" s="1"/>
  <c r="D28" i="18"/>
  <c r="W25" i="18"/>
  <c r="U25" i="18"/>
  <c r="Q25" i="18"/>
  <c r="M25" i="18"/>
  <c r="I25" i="18"/>
  <c r="E25" i="18"/>
  <c r="Y21" i="18"/>
  <c r="Y25" i="18" s="1"/>
  <c r="X21" i="18"/>
  <c r="U21" i="18"/>
  <c r="S21" i="18"/>
  <c r="S25" i="18" s="1"/>
  <c r="Q21" i="18"/>
  <c r="O21" i="18"/>
  <c r="O25" i="18" s="1"/>
  <c r="M21" i="18"/>
  <c r="K21" i="18"/>
  <c r="K25" i="18" s="1"/>
  <c r="I21" i="18"/>
  <c r="G21" i="18"/>
  <c r="G25" i="18" s="1"/>
  <c r="E21" i="18"/>
  <c r="C21" i="18"/>
  <c r="C25" i="18" s="1"/>
  <c r="Z19" i="18"/>
  <c r="X19" i="18"/>
  <c r="V19" i="18"/>
  <c r="T19" i="18"/>
  <c r="R19" i="18"/>
  <c r="P19" i="18"/>
  <c r="N19" i="18"/>
  <c r="L19" i="18"/>
  <c r="J19" i="18"/>
  <c r="H19" i="18"/>
  <c r="F19" i="18"/>
  <c r="D19" i="18"/>
  <c r="Z18" i="18"/>
  <c r="X18" i="18"/>
  <c r="V18" i="18"/>
  <c r="T18" i="18"/>
  <c r="R18" i="18"/>
  <c r="P18" i="18"/>
  <c r="N18" i="18"/>
  <c r="L18" i="18"/>
  <c r="J18" i="18"/>
  <c r="H18" i="18"/>
  <c r="F18" i="18"/>
  <c r="D18" i="18"/>
  <c r="Z17" i="18"/>
  <c r="X17" i="18"/>
  <c r="V17" i="18"/>
  <c r="T17" i="18"/>
  <c r="R17" i="18"/>
  <c r="P17" i="18"/>
  <c r="N17" i="18"/>
  <c r="L17" i="18"/>
  <c r="J17" i="18"/>
  <c r="H17" i="18"/>
  <c r="F17" i="18"/>
  <c r="D17" i="18"/>
  <c r="Z16" i="18"/>
  <c r="X16" i="18"/>
  <c r="V16" i="18"/>
  <c r="T16" i="18"/>
  <c r="R16" i="18"/>
  <c r="P16" i="18"/>
  <c r="N16" i="18"/>
  <c r="L16" i="18"/>
  <c r="J16" i="18"/>
  <c r="H16" i="18"/>
  <c r="F16" i="18"/>
  <c r="D16" i="18"/>
  <c r="Z15" i="18"/>
  <c r="X15" i="18"/>
  <c r="V15" i="18"/>
  <c r="T15" i="18"/>
  <c r="R15" i="18"/>
  <c r="P15" i="18"/>
  <c r="N15" i="18"/>
  <c r="L15" i="18"/>
  <c r="J15" i="18"/>
  <c r="H15" i="18"/>
  <c r="F15" i="18"/>
  <c r="D15" i="18"/>
  <c r="Z12" i="18"/>
  <c r="X12" i="18"/>
  <c r="V12" i="18"/>
  <c r="T12" i="18"/>
  <c r="R12" i="18"/>
  <c r="P12" i="18"/>
  <c r="N12" i="18"/>
  <c r="L12" i="18"/>
  <c r="J12" i="18"/>
  <c r="H12" i="18"/>
  <c r="F12" i="18"/>
  <c r="D12" i="18"/>
  <c r="Z11" i="18"/>
  <c r="X11" i="18"/>
  <c r="V11" i="18"/>
  <c r="T11" i="18"/>
  <c r="R11" i="18"/>
  <c r="P11" i="18"/>
  <c r="N11" i="18"/>
  <c r="L11" i="18"/>
  <c r="J11" i="18"/>
  <c r="H11" i="18"/>
  <c r="F11" i="18"/>
  <c r="D11" i="18"/>
  <c r="Z10" i="18"/>
  <c r="X10" i="18"/>
  <c r="V10" i="18"/>
  <c r="T10" i="18"/>
  <c r="R10" i="18"/>
  <c r="P10" i="18"/>
  <c r="N10" i="18"/>
  <c r="L10" i="18"/>
  <c r="J10" i="18"/>
  <c r="H10" i="18"/>
  <c r="F10" i="18"/>
  <c r="D10" i="18"/>
  <c r="Z9" i="18"/>
  <c r="Z21" i="18" s="1"/>
  <c r="X9" i="18"/>
  <c r="V9" i="18"/>
  <c r="V21" i="18" s="1"/>
  <c r="T9" i="18"/>
  <c r="T21" i="18" s="1"/>
  <c r="R9" i="18"/>
  <c r="R21" i="18" s="1"/>
  <c r="P9" i="18"/>
  <c r="P21" i="18" s="1"/>
  <c r="N9" i="18"/>
  <c r="N21" i="18" s="1"/>
  <c r="L9" i="18"/>
  <c r="L21" i="18" s="1"/>
  <c r="J9" i="18"/>
  <c r="J21" i="18" s="1"/>
  <c r="H9" i="18"/>
  <c r="H21" i="18" s="1"/>
  <c r="F9" i="18"/>
  <c r="F21" i="18" s="1"/>
  <c r="D9" i="18"/>
  <c r="D21" i="18" s="1"/>
  <c r="D112" i="17"/>
  <c r="Z96" i="17"/>
  <c r="X96" i="17"/>
  <c r="V96" i="17"/>
  <c r="T96" i="17"/>
  <c r="R96" i="17"/>
  <c r="P96" i="17"/>
  <c r="N96" i="17"/>
  <c r="L96" i="17"/>
  <c r="J96" i="17"/>
  <c r="H96" i="17"/>
  <c r="F96" i="17"/>
  <c r="D96" i="17"/>
  <c r="Z95" i="17"/>
  <c r="X95" i="17"/>
  <c r="V95" i="17"/>
  <c r="T95" i="17"/>
  <c r="R95" i="17"/>
  <c r="P95" i="17"/>
  <c r="N95" i="17"/>
  <c r="L95" i="17"/>
  <c r="J95" i="17"/>
  <c r="H95" i="17"/>
  <c r="F95" i="17"/>
  <c r="D95" i="17"/>
  <c r="Z94" i="17"/>
  <c r="X94" i="17"/>
  <c r="V94" i="17"/>
  <c r="T94" i="17"/>
  <c r="R94" i="17"/>
  <c r="P94" i="17"/>
  <c r="N94" i="17"/>
  <c r="L94" i="17"/>
  <c r="J94" i="17"/>
  <c r="H94" i="17"/>
  <c r="F94" i="17"/>
  <c r="D94" i="17"/>
  <c r="Z93" i="17"/>
  <c r="X93" i="17"/>
  <c r="V93" i="17"/>
  <c r="T93" i="17"/>
  <c r="R93" i="17"/>
  <c r="P93" i="17"/>
  <c r="N93" i="17"/>
  <c r="L93" i="17"/>
  <c r="J93" i="17"/>
  <c r="H93" i="17"/>
  <c r="F93" i="17"/>
  <c r="D93" i="17"/>
  <c r="Z92" i="17"/>
  <c r="X92" i="17"/>
  <c r="V92" i="17"/>
  <c r="T92" i="17"/>
  <c r="R92" i="17"/>
  <c r="P92" i="17"/>
  <c r="N92" i="17"/>
  <c r="L92" i="17"/>
  <c r="J92" i="17"/>
  <c r="H92" i="17"/>
  <c r="F92" i="17"/>
  <c r="D92" i="17"/>
  <c r="Z91" i="17"/>
  <c r="X91" i="17"/>
  <c r="V91" i="17"/>
  <c r="T91" i="17"/>
  <c r="R91" i="17"/>
  <c r="P91" i="17"/>
  <c r="N91" i="17"/>
  <c r="L91" i="17"/>
  <c r="J91" i="17"/>
  <c r="H91" i="17"/>
  <c r="F91" i="17"/>
  <c r="D91" i="17"/>
  <c r="Z90" i="17"/>
  <c r="X90" i="17"/>
  <c r="V90" i="17"/>
  <c r="T90" i="17"/>
  <c r="R90" i="17"/>
  <c r="P90" i="17"/>
  <c r="N90" i="17"/>
  <c r="L90" i="17"/>
  <c r="J90" i="17"/>
  <c r="H90" i="17"/>
  <c r="F90" i="17"/>
  <c r="D90" i="17"/>
  <c r="Z89" i="17"/>
  <c r="X89" i="17"/>
  <c r="V89" i="17"/>
  <c r="T89" i="17"/>
  <c r="R89" i="17"/>
  <c r="P89" i="17"/>
  <c r="N89" i="17"/>
  <c r="L89" i="17"/>
  <c r="J89" i="17"/>
  <c r="H89" i="17"/>
  <c r="F89" i="17"/>
  <c r="D89" i="17"/>
  <c r="Z88" i="17"/>
  <c r="X88" i="17"/>
  <c r="V88" i="17"/>
  <c r="T88" i="17"/>
  <c r="R88" i="17"/>
  <c r="P88" i="17"/>
  <c r="N88" i="17"/>
  <c r="L88" i="17"/>
  <c r="J88" i="17"/>
  <c r="H88" i="17"/>
  <c r="F88" i="17"/>
  <c r="D88" i="17"/>
  <c r="Z87" i="17"/>
  <c r="X87" i="17"/>
  <c r="V87" i="17"/>
  <c r="T87" i="17"/>
  <c r="R87" i="17"/>
  <c r="P87" i="17"/>
  <c r="N87" i="17"/>
  <c r="L87" i="17"/>
  <c r="J87" i="17"/>
  <c r="H87" i="17"/>
  <c r="F87" i="17"/>
  <c r="D87" i="17"/>
  <c r="Z86" i="17"/>
  <c r="X86" i="17"/>
  <c r="V86" i="17"/>
  <c r="T86" i="17"/>
  <c r="R86" i="17"/>
  <c r="P86" i="17"/>
  <c r="N86" i="17"/>
  <c r="L86" i="17"/>
  <c r="J86" i="17"/>
  <c r="H86" i="17"/>
  <c r="F86" i="17"/>
  <c r="D86" i="17"/>
  <c r="Z85" i="17"/>
  <c r="X85" i="17"/>
  <c r="V85" i="17"/>
  <c r="T85" i="17"/>
  <c r="R85" i="17"/>
  <c r="P85" i="17"/>
  <c r="N85" i="17"/>
  <c r="L85" i="17"/>
  <c r="J85" i="17"/>
  <c r="H85" i="17"/>
  <c r="F85" i="17"/>
  <c r="D85" i="17"/>
  <c r="Z84" i="17"/>
  <c r="X84" i="17"/>
  <c r="V84" i="17"/>
  <c r="T84" i="17"/>
  <c r="R84" i="17"/>
  <c r="P84" i="17"/>
  <c r="N84" i="17"/>
  <c r="L84" i="17"/>
  <c r="J84" i="17"/>
  <c r="H84" i="17"/>
  <c r="F84" i="17"/>
  <c r="D84" i="17"/>
  <c r="Z83" i="17"/>
  <c r="X83" i="17"/>
  <c r="V83" i="17"/>
  <c r="T83" i="17"/>
  <c r="R83" i="17"/>
  <c r="P83" i="17"/>
  <c r="N83" i="17"/>
  <c r="L83" i="17"/>
  <c r="J83" i="17"/>
  <c r="H83" i="17"/>
  <c r="F83" i="17"/>
  <c r="D83" i="17"/>
  <c r="Z82" i="17"/>
  <c r="X82" i="17"/>
  <c r="V82" i="17"/>
  <c r="T82" i="17"/>
  <c r="R82" i="17"/>
  <c r="P82" i="17"/>
  <c r="N82" i="17"/>
  <c r="L82" i="17"/>
  <c r="J82" i="17"/>
  <c r="H82" i="17"/>
  <c r="F82" i="17"/>
  <c r="D82" i="17"/>
  <c r="Z81" i="17"/>
  <c r="X81" i="17"/>
  <c r="V81" i="17"/>
  <c r="T81" i="17"/>
  <c r="R81" i="17"/>
  <c r="P81" i="17"/>
  <c r="N81" i="17"/>
  <c r="L81" i="17"/>
  <c r="J81" i="17"/>
  <c r="H81" i="17"/>
  <c r="F81" i="17"/>
  <c r="D81" i="17"/>
  <c r="Z80" i="17"/>
  <c r="X80" i="17"/>
  <c r="V80" i="17"/>
  <c r="T80" i="17"/>
  <c r="R80" i="17"/>
  <c r="P80" i="17"/>
  <c r="N80" i="17"/>
  <c r="L80" i="17"/>
  <c r="J80" i="17"/>
  <c r="H80" i="17"/>
  <c r="F80" i="17"/>
  <c r="D80" i="17"/>
  <c r="Z79" i="17"/>
  <c r="X79" i="17"/>
  <c r="V79" i="17"/>
  <c r="T79" i="17"/>
  <c r="R79" i="17"/>
  <c r="P79" i="17"/>
  <c r="N79" i="17"/>
  <c r="L79" i="17"/>
  <c r="J79" i="17"/>
  <c r="H79" i="17"/>
  <c r="F79" i="17"/>
  <c r="D79" i="17"/>
  <c r="Z78" i="17"/>
  <c r="X78" i="17"/>
  <c r="V78" i="17"/>
  <c r="T78" i="17"/>
  <c r="R78" i="17"/>
  <c r="P78" i="17"/>
  <c r="N78" i="17"/>
  <c r="L78" i="17"/>
  <c r="J78" i="17"/>
  <c r="H78" i="17"/>
  <c r="F78" i="17"/>
  <c r="D78" i="17"/>
  <c r="Z77" i="17"/>
  <c r="X77" i="17"/>
  <c r="V77" i="17"/>
  <c r="T77" i="17"/>
  <c r="R77" i="17"/>
  <c r="P77" i="17"/>
  <c r="N77" i="17"/>
  <c r="L77" i="17"/>
  <c r="J77" i="17"/>
  <c r="H77" i="17"/>
  <c r="F77" i="17"/>
  <c r="D77" i="17"/>
  <c r="Z76" i="17"/>
  <c r="X76" i="17"/>
  <c r="V76" i="17"/>
  <c r="T76" i="17"/>
  <c r="R76" i="17"/>
  <c r="P76" i="17"/>
  <c r="N76" i="17"/>
  <c r="L76" i="17"/>
  <c r="J76" i="17"/>
  <c r="H76" i="17"/>
  <c r="F76" i="17"/>
  <c r="D76" i="17"/>
  <c r="Z75" i="17"/>
  <c r="X75" i="17"/>
  <c r="V75" i="17"/>
  <c r="T75" i="17"/>
  <c r="R75" i="17"/>
  <c r="P75" i="17"/>
  <c r="N75" i="17"/>
  <c r="L75" i="17"/>
  <c r="J75" i="17"/>
  <c r="H75" i="17"/>
  <c r="F75" i="17"/>
  <c r="D75" i="17"/>
  <c r="Z74" i="17"/>
  <c r="X74" i="17"/>
  <c r="V74" i="17"/>
  <c r="T74" i="17"/>
  <c r="R74" i="17"/>
  <c r="P74" i="17"/>
  <c r="N74" i="17"/>
  <c r="L74" i="17"/>
  <c r="J74" i="17"/>
  <c r="H74" i="17"/>
  <c r="F74" i="17"/>
  <c r="D74" i="17"/>
  <c r="Z73" i="17"/>
  <c r="X73" i="17"/>
  <c r="V73" i="17"/>
  <c r="T73" i="17"/>
  <c r="R73" i="17"/>
  <c r="P73" i="17"/>
  <c r="N73" i="17"/>
  <c r="L73" i="17"/>
  <c r="J73" i="17"/>
  <c r="H73" i="17"/>
  <c r="F73" i="17"/>
  <c r="D73" i="17"/>
  <c r="Z72" i="17"/>
  <c r="X72" i="17"/>
  <c r="V72" i="17"/>
  <c r="T72" i="17"/>
  <c r="R72" i="17"/>
  <c r="P72" i="17"/>
  <c r="N72" i="17"/>
  <c r="L72" i="17"/>
  <c r="J72" i="17"/>
  <c r="H72" i="17"/>
  <c r="F72" i="17"/>
  <c r="D72" i="17"/>
  <c r="Z71" i="17"/>
  <c r="X71" i="17"/>
  <c r="V71" i="17"/>
  <c r="T71" i="17"/>
  <c r="R71" i="17"/>
  <c r="P71" i="17"/>
  <c r="N71" i="17"/>
  <c r="L71" i="17"/>
  <c r="J71" i="17"/>
  <c r="H71" i="17"/>
  <c r="F71" i="17"/>
  <c r="D71" i="17"/>
  <c r="Z70" i="17"/>
  <c r="X70" i="17"/>
  <c r="V70" i="17"/>
  <c r="T70" i="17"/>
  <c r="R70" i="17"/>
  <c r="P70" i="17"/>
  <c r="N70" i="17"/>
  <c r="L70" i="17"/>
  <c r="J70" i="17"/>
  <c r="H70" i="17"/>
  <c r="F70" i="17"/>
  <c r="D70" i="17"/>
  <c r="Z69" i="17"/>
  <c r="X69" i="17"/>
  <c r="V69" i="17"/>
  <c r="T69" i="17"/>
  <c r="R69" i="17"/>
  <c r="P69" i="17"/>
  <c r="N69" i="17"/>
  <c r="L69" i="17"/>
  <c r="J69" i="17"/>
  <c r="H69" i="17"/>
  <c r="F69" i="17"/>
  <c r="D69" i="17"/>
  <c r="Z68" i="17"/>
  <c r="X68" i="17"/>
  <c r="V68" i="17"/>
  <c r="T68" i="17"/>
  <c r="R68" i="17"/>
  <c r="P68" i="17"/>
  <c r="N68" i="17"/>
  <c r="L68" i="17"/>
  <c r="J68" i="17"/>
  <c r="H68" i="17"/>
  <c r="F68" i="17"/>
  <c r="D68" i="17"/>
  <c r="Z67" i="17"/>
  <c r="X67" i="17"/>
  <c r="V67" i="17"/>
  <c r="T67" i="17"/>
  <c r="R67" i="17"/>
  <c r="P67" i="17"/>
  <c r="N67" i="17"/>
  <c r="L67" i="17"/>
  <c r="J67" i="17"/>
  <c r="H67" i="17"/>
  <c r="F67" i="17"/>
  <c r="D67" i="17"/>
  <c r="Z66" i="17"/>
  <c r="X66" i="17"/>
  <c r="V66" i="17"/>
  <c r="T66" i="17"/>
  <c r="R66" i="17"/>
  <c r="P66" i="17"/>
  <c r="N66" i="17"/>
  <c r="L66" i="17"/>
  <c r="J66" i="17"/>
  <c r="H66" i="17"/>
  <c r="F66" i="17"/>
  <c r="Z65" i="17"/>
  <c r="X65" i="17"/>
  <c r="V65" i="17"/>
  <c r="T65" i="17"/>
  <c r="R65" i="17"/>
  <c r="P65" i="17"/>
  <c r="N65" i="17"/>
  <c r="L65" i="17"/>
  <c r="J65" i="17"/>
  <c r="H65" i="17"/>
  <c r="F65" i="17"/>
  <c r="D65" i="17"/>
  <c r="Z64" i="17"/>
  <c r="X64" i="17"/>
  <c r="V64" i="17"/>
  <c r="T64" i="17"/>
  <c r="R64" i="17"/>
  <c r="P64" i="17"/>
  <c r="N64" i="17"/>
  <c r="L64" i="17"/>
  <c r="J64" i="17"/>
  <c r="H64" i="17"/>
  <c r="F64" i="17"/>
  <c r="D64" i="17"/>
  <c r="Z63" i="17"/>
  <c r="X63" i="17"/>
  <c r="V63" i="17"/>
  <c r="T63" i="17"/>
  <c r="R63" i="17"/>
  <c r="P63" i="17"/>
  <c r="N63" i="17"/>
  <c r="L63" i="17"/>
  <c r="J63" i="17"/>
  <c r="H63" i="17"/>
  <c r="F63" i="17"/>
  <c r="D63" i="17"/>
  <c r="Z62" i="17"/>
  <c r="X62" i="17"/>
  <c r="V62" i="17"/>
  <c r="T62" i="17"/>
  <c r="R62" i="17"/>
  <c r="P62" i="17"/>
  <c r="N62" i="17"/>
  <c r="L62" i="17"/>
  <c r="J62" i="17"/>
  <c r="H62" i="17"/>
  <c r="F62" i="17"/>
  <c r="D62" i="17"/>
  <c r="Z61" i="17"/>
  <c r="X61" i="17"/>
  <c r="V61" i="17"/>
  <c r="T61" i="17"/>
  <c r="R61" i="17"/>
  <c r="P61" i="17"/>
  <c r="N61" i="17"/>
  <c r="L61" i="17"/>
  <c r="J61" i="17"/>
  <c r="H61" i="17"/>
  <c r="F61" i="17"/>
  <c r="D61" i="17"/>
  <c r="Z60" i="17"/>
  <c r="X60" i="17"/>
  <c r="V60" i="17"/>
  <c r="T60" i="17"/>
  <c r="R60" i="17"/>
  <c r="P60" i="17"/>
  <c r="N60" i="17"/>
  <c r="L60" i="17"/>
  <c r="J60" i="17"/>
  <c r="H60" i="17"/>
  <c r="F60" i="17"/>
  <c r="D60" i="17"/>
  <c r="Z59" i="17"/>
  <c r="X59" i="17"/>
  <c r="V59" i="17"/>
  <c r="T59" i="17"/>
  <c r="R59" i="17"/>
  <c r="P59" i="17"/>
  <c r="N59" i="17"/>
  <c r="L59" i="17"/>
  <c r="J59" i="17"/>
  <c r="H59" i="17"/>
  <c r="F59" i="17"/>
  <c r="D59" i="17"/>
  <c r="Z58" i="17"/>
  <c r="X58" i="17"/>
  <c r="V58" i="17"/>
  <c r="T58" i="17"/>
  <c r="R58" i="17"/>
  <c r="P58" i="17"/>
  <c r="N58" i="17"/>
  <c r="L58" i="17"/>
  <c r="J58" i="17"/>
  <c r="H58" i="17"/>
  <c r="F58" i="17"/>
  <c r="D58" i="17"/>
  <c r="Z57" i="17"/>
  <c r="X57" i="17"/>
  <c r="V57" i="17"/>
  <c r="T57" i="17"/>
  <c r="R57" i="17"/>
  <c r="P57" i="17"/>
  <c r="N57" i="17"/>
  <c r="L57" i="17"/>
  <c r="J57" i="17"/>
  <c r="H57" i="17"/>
  <c r="F57" i="17"/>
  <c r="D57" i="17"/>
  <c r="Z56" i="17"/>
  <c r="X56" i="17"/>
  <c r="V56" i="17"/>
  <c r="T56" i="17"/>
  <c r="R56" i="17"/>
  <c r="P56" i="17"/>
  <c r="N56" i="17"/>
  <c r="L56" i="17"/>
  <c r="J56" i="17"/>
  <c r="H56" i="17"/>
  <c r="F56" i="17"/>
  <c r="D56" i="17"/>
  <c r="Z55" i="17"/>
  <c r="X55" i="17"/>
  <c r="V55" i="17"/>
  <c r="T55" i="17"/>
  <c r="R55" i="17"/>
  <c r="P55" i="17"/>
  <c r="N55" i="17"/>
  <c r="L55" i="17"/>
  <c r="J55" i="17"/>
  <c r="H55" i="17"/>
  <c r="F55" i="17"/>
  <c r="D55" i="17"/>
  <c r="Z54" i="17"/>
  <c r="X54" i="17"/>
  <c r="V54" i="17"/>
  <c r="T54" i="17"/>
  <c r="R54" i="17"/>
  <c r="P54" i="17"/>
  <c r="N54" i="17"/>
  <c r="L54" i="17"/>
  <c r="J54" i="17"/>
  <c r="H54" i="17"/>
  <c r="F54" i="17"/>
  <c r="D54" i="17"/>
  <c r="Z53" i="17"/>
  <c r="X53" i="17"/>
  <c r="V53" i="17"/>
  <c r="T53" i="17"/>
  <c r="R53" i="17"/>
  <c r="P53" i="17"/>
  <c r="N53" i="17"/>
  <c r="L53" i="17"/>
  <c r="J53" i="17"/>
  <c r="H53" i="17"/>
  <c r="F53" i="17"/>
  <c r="D53" i="17"/>
  <c r="Z52" i="17"/>
  <c r="X52" i="17"/>
  <c r="V52" i="17"/>
  <c r="T52" i="17"/>
  <c r="R52" i="17"/>
  <c r="P52" i="17"/>
  <c r="N52" i="17"/>
  <c r="L52" i="17"/>
  <c r="J52" i="17"/>
  <c r="H52" i="17"/>
  <c r="F52" i="17"/>
  <c r="D52" i="17"/>
  <c r="Z51" i="17"/>
  <c r="X51" i="17"/>
  <c r="V51" i="17"/>
  <c r="T51" i="17"/>
  <c r="R51" i="17"/>
  <c r="P51" i="17"/>
  <c r="N51" i="17"/>
  <c r="L51" i="17"/>
  <c r="J51" i="17"/>
  <c r="H51" i="17"/>
  <c r="F51" i="17"/>
  <c r="D51" i="17"/>
  <c r="Z50" i="17"/>
  <c r="X50" i="17"/>
  <c r="V50" i="17"/>
  <c r="T50" i="17"/>
  <c r="R50" i="17"/>
  <c r="P50" i="17"/>
  <c r="N50" i="17"/>
  <c r="L50" i="17"/>
  <c r="J50" i="17"/>
  <c r="H50" i="17"/>
  <c r="F50" i="17"/>
  <c r="D50" i="17"/>
  <c r="Z49" i="17"/>
  <c r="X49" i="17"/>
  <c r="V49" i="17"/>
  <c r="T49" i="17"/>
  <c r="R49" i="17"/>
  <c r="P49" i="17"/>
  <c r="N49" i="17"/>
  <c r="L49" i="17"/>
  <c r="J49" i="17"/>
  <c r="H49" i="17"/>
  <c r="F49" i="17"/>
  <c r="D49" i="17"/>
  <c r="Z48" i="17"/>
  <c r="X48" i="17"/>
  <c r="V48" i="17"/>
  <c r="T48" i="17"/>
  <c r="R48" i="17"/>
  <c r="P48" i="17"/>
  <c r="N48" i="17"/>
  <c r="L48" i="17"/>
  <c r="J48" i="17"/>
  <c r="H48" i="17"/>
  <c r="F48" i="17"/>
  <c r="D48" i="17"/>
  <c r="Z47" i="17"/>
  <c r="X47" i="17"/>
  <c r="V47" i="17"/>
  <c r="T47" i="17"/>
  <c r="R47" i="17"/>
  <c r="P47" i="17"/>
  <c r="N47" i="17"/>
  <c r="L47" i="17"/>
  <c r="J47" i="17"/>
  <c r="H47" i="17"/>
  <c r="F47" i="17"/>
  <c r="D47" i="17"/>
  <c r="Z46" i="17"/>
  <c r="X46" i="17"/>
  <c r="V46" i="17"/>
  <c r="T46" i="17"/>
  <c r="R46" i="17"/>
  <c r="P46" i="17"/>
  <c r="N46" i="17"/>
  <c r="L46" i="17"/>
  <c r="J46" i="17"/>
  <c r="H46" i="17"/>
  <c r="F46" i="17"/>
  <c r="D46" i="17"/>
  <c r="Z45" i="17"/>
  <c r="X45" i="17"/>
  <c r="V45" i="17"/>
  <c r="T45" i="17"/>
  <c r="R45" i="17"/>
  <c r="P45" i="17"/>
  <c r="N45" i="17"/>
  <c r="L45" i="17"/>
  <c r="J45" i="17"/>
  <c r="H45" i="17"/>
  <c r="F45" i="17"/>
  <c r="D45" i="17"/>
  <c r="Z43" i="17"/>
  <c r="V43" i="17"/>
  <c r="T43" i="17"/>
  <c r="R43" i="17"/>
  <c r="X43" i="17" s="1"/>
  <c r="P43" i="17"/>
  <c r="N43" i="17"/>
  <c r="L43" i="17"/>
  <c r="J43" i="17"/>
  <c r="H43" i="17"/>
  <c r="F43" i="17"/>
  <c r="D43" i="17"/>
  <c r="Z41" i="17"/>
  <c r="X41" i="17"/>
  <c r="V41" i="17"/>
  <c r="T41" i="17"/>
  <c r="R41" i="17"/>
  <c r="P41" i="17"/>
  <c r="N41" i="17"/>
  <c r="L41" i="17"/>
  <c r="J41" i="17"/>
  <c r="H41" i="17"/>
  <c r="F41" i="17"/>
  <c r="D41" i="17"/>
  <c r="Z40" i="17"/>
  <c r="X40" i="17"/>
  <c r="V40" i="17"/>
  <c r="T40" i="17"/>
  <c r="R40" i="17"/>
  <c r="P40" i="17"/>
  <c r="N40" i="17"/>
  <c r="L40" i="17"/>
  <c r="J40" i="17"/>
  <c r="H40" i="17"/>
  <c r="F40" i="17"/>
  <c r="D40" i="17"/>
  <c r="Z37" i="17"/>
  <c r="X37" i="17"/>
  <c r="V37" i="17"/>
  <c r="T37" i="17"/>
  <c r="R37" i="17"/>
  <c r="P37" i="17"/>
  <c r="N37" i="17"/>
  <c r="L37" i="17"/>
  <c r="J37" i="17"/>
  <c r="H37" i="17"/>
  <c r="F37" i="17"/>
  <c r="D37" i="17"/>
  <c r="Z36" i="17"/>
  <c r="X36" i="17"/>
  <c r="V36" i="17"/>
  <c r="T36" i="17"/>
  <c r="R36" i="17"/>
  <c r="P36" i="17"/>
  <c r="N36" i="17"/>
  <c r="L36" i="17"/>
  <c r="J36" i="17"/>
  <c r="H36" i="17"/>
  <c r="F36" i="17"/>
  <c r="D36" i="17"/>
  <c r="Z35" i="17"/>
  <c r="X35" i="17"/>
  <c r="V35" i="17"/>
  <c r="T35" i="17"/>
  <c r="R35" i="17"/>
  <c r="P35" i="17"/>
  <c r="N35" i="17"/>
  <c r="L35" i="17"/>
  <c r="J35" i="17"/>
  <c r="H35" i="17"/>
  <c r="F35" i="17"/>
  <c r="D35" i="17"/>
  <c r="Z34" i="17"/>
  <c r="X34" i="17"/>
  <c r="V34" i="17"/>
  <c r="T34" i="17"/>
  <c r="R34" i="17"/>
  <c r="P34" i="17"/>
  <c r="N34" i="17"/>
  <c r="L34" i="17"/>
  <c r="J34" i="17"/>
  <c r="H34" i="17"/>
  <c r="F34" i="17"/>
  <c r="D34" i="17"/>
  <c r="Z33" i="17"/>
  <c r="X33" i="17"/>
  <c r="V33" i="17"/>
  <c r="T33" i="17"/>
  <c r="R33" i="17"/>
  <c r="P33" i="17"/>
  <c r="N33" i="17"/>
  <c r="L33" i="17"/>
  <c r="J33" i="17"/>
  <c r="H33" i="17"/>
  <c r="F33" i="17"/>
  <c r="D33" i="17"/>
  <c r="Z32" i="17"/>
  <c r="X32" i="17"/>
  <c r="V32" i="17"/>
  <c r="T32" i="17"/>
  <c r="R32" i="17"/>
  <c r="P32" i="17"/>
  <c r="N32" i="17"/>
  <c r="L32" i="17"/>
  <c r="J32" i="17"/>
  <c r="H32" i="17"/>
  <c r="F32" i="17"/>
  <c r="D32" i="17"/>
  <c r="V30" i="17"/>
  <c r="T30" i="17"/>
  <c r="R30" i="17"/>
  <c r="P30" i="17"/>
  <c r="N30" i="17"/>
  <c r="L30" i="17"/>
  <c r="J30" i="17"/>
  <c r="H30" i="17"/>
  <c r="F30" i="17"/>
  <c r="Z29" i="17"/>
  <c r="X29" i="17"/>
  <c r="V29" i="17"/>
  <c r="T29" i="17"/>
  <c r="R29" i="17"/>
  <c r="P29" i="17"/>
  <c r="N29" i="17"/>
  <c r="L29" i="17"/>
  <c r="J29" i="17"/>
  <c r="H29" i="17"/>
  <c r="F29" i="17"/>
  <c r="D29" i="17"/>
  <c r="Z28" i="17"/>
  <c r="X28" i="17"/>
  <c r="V28" i="17"/>
  <c r="T28" i="17"/>
  <c r="T97" i="17" s="1"/>
  <c r="T98" i="17" s="1"/>
  <c r="R28" i="17"/>
  <c r="R97" i="17" s="1"/>
  <c r="R98" i="17" s="1"/>
  <c r="P28" i="17"/>
  <c r="P97" i="17" s="1"/>
  <c r="P98" i="17" s="1"/>
  <c r="N28" i="17"/>
  <c r="L28" i="17"/>
  <c r="L97" i="17" s="1"/>
  <c r="L98" i="17" s="1"/>
  <c r="J28" i="17"/>
  <c r="J97" i="17" s="1"/>
  <c r="J98" i="17" s="1"/>
  <c r="H28" i="17"/>
  <c r="H97" i="17" s="1"/>
  <c r="H98" i="17" s="1"/>
  <c r="F28" i="17"/>
  <c r="D28" i="17"/>
  <c r="D97" i="17" s="1"/>
  <c r="W25" i="17"/>
  <c r="U25" i="17"/>
  <c r="S25" i="17"/>
  <c r="Q25" i="17"/>
  <c r="O25" i="17"/>
  <c r="M25" i="17"/>
  <c r="K25" i="17"/>
  <c r="I25" i="17"/>
  <c r="G25" i="17"/>
  <c r="E25" i="17"/>
  <c r="Y21" i="17"/>
  <c r="Y25" i="17" s="1"/>
  <c r="U21" i="17"/>
  <c r="T21" i="17"/>
  <c r="S21" i="17"/>
  <c r="Q21" i="17"/>
  <c r="P21" i="17"/>
  <c r="O21" i="17"/>
  <c r="M21" i="17"/>
  <c r="L21" i="17"/>
  <c r="K21" i="17"/>
  <c r="I21" i="17"/>
  <c r="H21" i="17"/>
  <c r="G21" i="17"/>
  <c r="E21" i="17"/>
  <c r="C21" i="17"/>
  <c r="C25" i="17" s="1"/>
  <c r="Z19" i="17"/>
  <c r="X19" i="17"/>
  <c r="V19" i="17"/>
  <c r="T19" i="17"/>
  <c r="R19" i="17"/>
  <c r="P19" i="17"/>
  <c r="N19" i="17"/>
  <c r="L19" i="17"/>
  <c r="J19" i="17"/>
  <c r="H19" i="17"/>
  <c r="F19" i="17"/>
  <c r="D19" i="17"/>
  <c r="Z18" i="17"/>
  <c r="X18" i="17"/>
  <c r="V18" i="17"/>
  <c r="T18" i="17"/>
  <c r="R18" i="17"/>
  <c r="P18" i="17"/>
  <c r="N18" i="17"/>
  <c r="L18" i="17"/>
  <c r="J18" i="17"/>
  <c r="H18" i="17"/>
  <c r="F18" i="17"/>
  <c r="D18" i="17"/>
  <c r="Z17" i="17"/>
  <c r="X17" i="17"/>
  <c r="V17" i="17"/>
  <c r="T17" i="17"/>
  <c r="R17" i="17"/>
  <c r="P17" i="17"/>
  <c r="N17" i="17"/>
  <c r="L17" i="17"/>
  <c r="J17" i="17"/>
  <c r="H17" i="17"/>
  <c r="F17" i="17"/>
  <c r="D17" i="17"/>
  <c r="Z16" i="17"/>
  <c r="X16" i="17"/>
  <c r="V16" i="17"/>
  <c r="T16" i="17"/>
  <c r="R16" i="17"/>
  <c r="P16" i="17"/>
  <c r="N16" i="17"/>
  <c r="L16" i="17"/>
  <c r="J16" i="17"/>
  <c r="H16" i="17"/>
  <c r="F16" i="17"/>
  <c r="D16" i="17"/>
  <c r="Z15" i="17"/>
  <c r="X15" i="17"/>
  <c r="V15" i="17"/>
  <c r="T15" i="17"/>
  <c r="R15" i="17"/>
  <c r="P15" i="17"/>
  <c r="N15" i="17"/>
  <c r="L15" i="17"/>
  <c r="J15" i="17"/>
  <c r="H15" i="17"/>
  <c r="F15" i="17"/>
  <c r="D15" i="17"/>
  <c r="Z12" i="17"/>
  <c r="X12" i="17"/>
  <c r="V12" i="17"/>
  <c r="T12" i="17"/>
  <c r="R12" i="17"/>
  <c r="P12" i="17"/>
  <c r="N12" i="17"/>
  <c r="L12" i="17"/>
  <c r="J12" i="17"/>
  <c r="H12" i="17"/>
  <c r="F12" i="17"/>
  <c r="D12" i="17"/>
  <c r="Z11" i="17"/>
  <c r="X11" i="17"/>
  <c r="V11" i="17"/>
  <c r="T11" i="17"/>
  <c r="R11" i="17"/>
  <c r="P11" i="17"/>
  <c r="N11" i="17"/>
  <c r="L11" i="17"/>
  <c r="J11" i="17"/>
  <c r="H11" i="17"/>
  <c r="F11" i="17"/>
  <c r="D11" i="17"/>
  <c r="Z10" i="17"/>
  <c r="X10" i="17"/>
  <c r="V10" i="17"/>
  <c r="T10" i="17"/>
  <c r="R10" i="17"/>
  <c r="P10" i="17"/>
  <c r="N10" i="17"/>
  <c r="L10" i="17"/>
  <c r="J10" i="17"/>
  <c r="H10" i="17"/>
  <c r="F10" i="17"/>
  <c r="D10" i="17"/>
  <c r="Z9" i="17"/>
  <c r="Z21" i="17" s="1"/>
  <c r="X9" i="17"/>
  <c r="X21" i="17" s="1"/>
  <c r="V9" i="17"/>
  <c r="V21" i="17" s="1"/>
  <c r="T9" i="17"/>
  <c r="R9" i="17"/>
  <c r="R21" i="17" s="1"/>
  <c r="P9" i="17"/>
  <c r="N9" i="17"/>
  <c r="N21" i="17" s="1"/>
  <c r="L9" i="17"/>
  <c r="J9" i="17"/>
  <c r="J21" i="17" s="1"/>
  <c r="H9" i="17"/>
  <c r="F9" i="17"/>
  <c r="F21" i="17" s="1"/>
  <c r="D9" i="17"/>
  <c r="D21" i="17" s="1"/>
  <c r="D112" i="16"/>
  <c r="Z96" i="16"/>
  <c r="X96" i="16"/>
  <c r="V96" i="16"/>
  <c r="T96" i="16"/>
  <c r="R96" i="16"/>
  <c r="P96" i="16"/>
  <c r="N96" i="16"/>
  <c r="L96" i="16"/>
  <c r="J96" i="16"/>
  <c r="H96" i="16"/>
  <c r="F96" i="16"/>
  <c r="D96" i="16"/>
  <c r="Z95" i="16"/>
  <c r="X95" i="16"/>
  <c r="V95" i="16"/>
  <c r="T95" i="16"/>
  <c r="R95" i="16"/>
  <c r="P95" i="16"/>
  <c r="N95" i="16"/>
  <c r="L95" i="16"/>
  <c r="J95" i="16"/>
  <c r="H95" i="16"/>
  <c r="F95" i="16"/>
  <c r="D95" i="16"/>
  <c r="Z94" i="16"/>
  <c r="X94" i="16"/>
  <c r="V94" i="16"/>
  <c r="T94" i="16"/>
  <c r="R94" i="16"/>
  <c r="P94" i="16"/>
  <c r="N94" i="16"/>
  <c r="L94" i="16"/>
  <c r="J94" i="16"/>
  <c r="H94" i="16"/>
  <c r="F94" i="16"/>
  <c r="D94" i="16"/>
  <c r="Z93" i="16"/>
  <c r="X93" i="16"/>
  <c r="V93" i="16"/>
  <c r="T93" i="16"/>
  <c r="R93" i="16"/>
  <c r="P93" i="16"/>
  <c r="N93" i="16"/>
  <c r="L93" i="16"/>
  <c r="J93" i="16"/>
  <c r="H93" i="16"/>
  <c r="F93" i="16"/>
  <c r="D93" i="16"/>
  <c r="Z92" i="16"/>
  <c r="X92" i="16"/>
  <c r="V92" i="16"/>
  <c r="T92" i="16"/>
  <c r="R92" i="16"/>
  <c r="P92" i="16"/>
  <c r="N92" i="16"/>
  <c r="L92" i="16"/>
  <c r="J92" i="16"/>
  <c r="H92" i="16"/>
  <c r="F92" i="16"/>
  <c r="D92" i="16"/>
  <c r="Z91" i="16"/>
  <c r="X91" i="16"/>
  <c r="V91" i="16"/>
  <c r="T91" i="16"/>
  <c r="R91" i="16"/>
  <c r="P91" i="16"/>
  <c r="N91" i="16"/>
  <c r="L91" i="16"/>
  <c r="J91" i="16"/>
  <c r="H91" i="16"/>
  <c r="F91" i="16"/>
  <c r="D91" i="16"/>
  <c r="Z90" i="16"/>
  <c r="X90" i="16"/>
  <c r="V90" i="16"/>
  <c r="T90" i="16"/>
  <c r="R90" i="16"/>
  <c r="P90" i="16"/>
  <c r="N90" i="16"/>
  <c r="L90" i="16"/>
  <c r="J90" i="16"/>
  <c r="H90" i="16"/>
  <c r="F90" i="16"/>
  <c r="D90" i="16"/>
  <c r="Z89" i="16"/>
  <c r="X89" i="16"/>
  <c r="V89" i="16"/>
  <c r="T89" i="16"/>
  <c r="R89" i="16"/>
  <c r="P89" i="16"/>
  <c r="N89" i="16"/>
  <c r="L89" i="16"/>
  <c r="J89" i="16"/>
  <c r="H89" i="16"/>
  <c r="F89" i="16"/>
  <c r="D89" i="16"/>
  <c r="Z88" i="16"/>
  <c r="X88" i="16"/>
  <c r="V88" i="16"/>
  <c r="T88" i="16"/>
  <c r="R88" i="16"/>
  <c r="P88" i="16"/>
  <c r="N88" i="16"/>
  <c r="L88" i="16"/>
  <c r="J88" i="16"/>
  <c r="H88" i="16"/>
  <c r="F88" i="16"/>
  <c r="D88" i="16"/>
  <c r="Z87" i="16"/>
  <c r="X87" i="16"/>
  <c r="V87" i="16"/>
  <c r="T87" i="16"/>
  <c r="R87" i="16"/>
  <c r="P87" i="16"/>
  <c r="N87" i="16"/>
  <c r="L87" i="16"/>
  <c r="J87" i="16"/>
  <c r="H87" i="16"/>
  <c r="F87" i="16"/>
  <c r="D87" i="16"/>
  <c r="Z86" i="16"/>
  <c r="X86" i="16"/>
  <c r="V86" i="16"/>
  <c r="T86" i="16"/>
  <c r="R86" i="16"/>
  <c r="P86" i="16"/>
  <c r="N86" i="16"/>
  <c r="L86" i="16"/>
  <c r="J86" i="16"/>
  <c r="H86" i="16"/>
  <c r="F86" i="16"/>
  <c r="D86" i="16"/>
  <c r="Z85" i="16"/>
  <c r="X85" i="16"/>
  <c r="V85" i="16"/>
  <c r="T85" i="16"/>
  <c r="R85" i="16"/>
  <c r="P85" i="16"/>
  <c r="N85" i="16"/>
  <c r="L85" i="16"/>
  <c r="J85" i="16"/>
  <c r="H85" i="16"/>
  <c r="F85" i="16"/>
  <c r="D85" i="16"/>
  <c r="Z84" i="16"/>
  <c r="X84" i="16"/>
  <c r="V84" i="16"/>
  <c r="T84" i="16"/>
  <c r="R84" i="16"/>
  <c r="P84" i="16"/>
  <c r="N84" i="16"/>
  <c r="L84" i="16"/>
  <c r="J84" i="16"/>
  <c r="H84" i="16"/>
  <c r="F84" i="16"/>
  <c r="D84" i="16"/>
  <c r="Z83" i="16"/>
  <c r="X83" i="16"/>
  <c r="V83" i="16"/>
  <c r="T83" i="16"/>
  <c r="R83" i="16"/>
  <c r="P83" i="16"/>
  <c r="N83" i="16"/>
  <c r="L83" i="16"/>
  <c r="J83" i="16"/>
  <c r="H83" i="16"/>
  <c r="F83" i="16"/>
  <c r="D83" i="16"/>
  <c r="Z82" i="16"/>
  <c r="X82" i="16"/>
  <c r="V82" i="16"/>
  <c r="T82" i="16"/>
  <c r="R82" i="16"/>
  <c r="P82" i="16"/>
  <c r="N82" i="16"/>
  <c r="L82" i="16"/>
  <c r="J82" i="16"/>
  <c r="H82" i="16"/>
  <c r="F82" i="16"/>
  <c r="D82" i="16"/>
  <c r="Z81" i="16"/>
  <c r="X81" i="16"/>
  <c r="V81" i="16"/>
  <c r="T81" i="16"/>
  <c r="R81" i="16"/>
  <c r="P81" i="16"/>
  <c r="N81" i="16"/>
  <c r="L81" i="16"/>
  <c r="J81" i="16"/>
  <c r="H81" i="16"/>
  <c r="F81" i="16"/>
  <c r="D81" i="16"/>
  <c r="Z80" i="16"/>
  <c r="X80" i="16"/>
  <c r="V80" i="16"/>
  <c r="T80" i="16"/>
  <c r="R80" i="16"/>
  <c r="P80" i="16"/>
  <c r="N80" i="16"/>
  <c r="L80" i="16"/>
  <c r="J80" i="16"/>
  <c r="H80" i="16"/>
  <c r="F80" i="16"/>
  <c r="D80" i="16"/>
  <c r="Z79" i="16"/>
  <c r="X79" i="16"/>
  <c r="V79" i="16"/>
  <c r="T79" i="16"/>
  <c r="R79" i="16"/>
  <c r="P79" i="16"/>
  <c r="N79" i="16"/>
  <c r="L79" i="16"/>
  <c r="J79" i="16"/>
  <c r="H79" i="16"/>
  <c r="F79" i="16"/>
  <c r="D79" i="16"/>
  <c r="Z78" i="16"/>
  <c r="X78" i="16"/>
  <c r="V78" i="16"/>
  <c r="T78" i="16"/>
  <c r="R78" i="16"/>
  <c r="P78" i="16"/>
  <c r="N78" i="16"/>
  <c r="L78" i="16"/>
  <c r="J78" i="16"/>
  <c r="H78" i="16"/>
  <c r="F78" i="16"/>
  <c r="D78" i="16"/>
  <c r="Z77" i="16"/>
  <c r="X77" i="16"/>
  <c r="V77" i="16"/>
  <c r="T77" i="16"/>
  <c r="R77" i="16"/>
  <c r="P77" i="16"/>
  <c r="N77" i="16"/>
  <c r="L77" i="16"/>
  <c r="J77" i="16"/>
  <c r="H77" i="16"/>
  <c r="F77" i="16"/>
  <c r="D77" i="16"/>
  <c r="Z76" i="16"/>
  <c r="X76" i="16"/>
  <c r="V76" i="16"/>
  <c r="T76" i="16"/>
  <c r="R76" i="16"/>
  <c r="P76" i="16"/>
  <c r="N76" i="16"/>
  <c r="L76" i="16"/>
  <c r="J76" i="16"/>
  <c r="H76" i="16"/>
  <c r="F76" i="16"/>
  <c r="D76" i="16"/>
  <c r="Z75" i="16"/>
  <c r="X75" i="16"/>
  <c r="V75" i="16"/>
  <c r="T75" i="16"/>
  <c r="R75" i="16"/>
  <c r="P75" i="16"/>
  <c r="N75" i="16"/>
  <c r="L75" i="16"/>
  <c r="J75" i="16"/>
  <c r="H75" i="16"/>
  <c r="F75" i="16"/>
  <c r="D75" i="16"/>
  <c r="Z74" i="16"/>
  <c r="X74" i="16"/>
  <c r="V74" i="16"/>
  <c r="T74" i="16"/>
  <c r="R74" i="16"/>
  <c r="P74" i="16"/>
  <c r="N74" i="16"/>
  <c r="L74" i="16"/>
  <c r="J74" i="16"/>
  <c r="H74" i="16"/>
  <c r="F74" i="16"/>
  <c r="D74" i="16"/>
  <c r="Z73" i="16"/>
  <c r="X73" i="16"/>
  <c r="V73" i="16"/>
  <c r="T73" i="16"/>
  <c r="R73" i="16"/>
  <c r="P73" i="16"/>
  <c r="N73" i="16"/>
  <c r="L73" i="16"/>
  <c r="J73" i="16"/>
  <c r="H73" i="16"/>
  <c r="F73" i="16"/>
  <c r="D73" i="16"/>
  <c r="Z72" i="16"/>
  <c r="X72" i="16"/>
  <c r="V72" i="16"/>
  <c r="T72" i="16"/>
  <c r="R72" i="16"/>
  <c r="P72" i="16"/>
  <c r="N72" i="16"/>
  <c r="L72" i="16"/>
  <c r="J72" i="16"/>
  <c r="H72" i="16"/>
  <c r="F72" i="16"/>
  <c r="D72" i="16"/>
  <c r="Z71" i="16"/>
  <c r="X71" i="16"/>
  <c r="V71" i="16"/>
  <c r="T71" i="16"/>
  <c r="R71" i="16"/>
  <c r="P71" i="16"/>
  <c r="N71" i="16"/>
  <c r="L71" i="16"/>
  <c r="J71" i="16"/>
  <c r="H71" i="16"/>
  <c r="F71" i="16"/>
  <c r="D71" i="16"/>
  <c r="Z70" i="16"/>
  <c r="X70" i="16"/>
  <c r="V70" i="16"/>
  <c r="T70" i="16"/>
  <c r="R70" i="16"/>
  <c r="P70" i="16"/>
  <c r="N70" i="16"/>
  <c r="L70" i="16"/>
  <c r="J70" i="16"/>
  <c r="H70" i="16"/>
  <c r="F70" i="16"/>
  <c r="D70" i="16"/>
  <c r="Z69" i="16"/>
  <c r="X69" i="16"/>
  <c r="V69" i="16"/>
  <c r="T69" i="16"/>
  <c r="R69" i="16"/>
  <c r="P69" i="16"/>
  <c r="N69" i="16"/>
  <c r="L69" i="16"/>
  <c r="J69" i="16"/>
  <c r="H69" i="16"/>
  <c r="F69" i="16"/>
  <c r="D69" i="16"/>
  <c r="Z68" i="16"/>
  <c r="X68" i="16"/>
  <c r="V68" i="16"/>
  <c r="T68" i="16"/>
  <c r="R68" i="16"/>
  <c r="P68" i="16"/>
  <c r="N68" i="16"/>
  <c r="L68" i="16"/>
  <c r="J68" i="16"/>
  <c r="H68" i="16"/>
  <c r="F68" i="16"/>
  <c r="D68" i="16"/>
  <c r="Z67" i="16"/>
  <c r="X67" i="16"/>
  <c r="V67" i="16"/>
  <c r="T67" i="16"/>
  <c r="R67" i="16"/>
  <c r="P67" i="16"/>
  <c r="N67" i="16"/>
  <c r="L67" i="16"/>
  <c r="J67" i="16"/>
  <c r="H67" i="16"/>
  <c r="F67" i="16"/>
  <c r="D67" i="16"/>
  <c r="Z66" i="16"/>
  <c r="X66" i="16"/>
  <c r="V66" i="16"/>
  <c r="T66" i="16"/>
  <c r="R66" i="16"/>
  <c r="P66" i="16"/>
  <c r="N66" i="16"/>
  <c r="L66" i="16"/>
  <c r="J66" i="16"/>
  <c r="H66" i="16"/>
  <c r="F66" i="16"/>
  <c r="D66" i="16"/>
  <c r="Z65" i="16"/>
  <c r="X65" i="16"/>
  <c r="V65" i="16"/>
  <c r="T65" i="16"/>
  <c r="R65" i="16"/>
  <c r="P65" i="16"/>
  <c r="N65" i="16"/>
  <c r="L65" i="16"/>
  <c r="J65" i="16"/>
  <c r="H65" i="16"/>
  <c r="F65" i="16"/>
  <c r="D65" i="16"/>
  <c r="Z64" i="16"/>
  <c r="X64" i="16"/>
  <c r="V64" i="16"/>
  <c r="T64" i="16"/>
  <c r="R64" i="16"/>
  <c r="P64" i="16"/>
  <c r="N64" i="16"/>
  <c r="L64" i="16"/>
  <c r="J64" i="16"/>
  <c r="H64" i="16"/>
  <c r="F64" i="16"/>
  <c r="D64" i="16"/>
  <c r="Z63" i="16"/>
  <c r="X63" i="16"/>
  <c r="V63" i="16"/>
  <c r="T63" i="16"/>
  <c r="R63" i="16"/>
  <c r="P63" i="16"/>
  <c r="N63" i="16"/>
  <c r="L63" i="16"/>
  <c r="J63" i="16"/>
  <c r="H63" i="16"/>
  <c r="F63" i="16"/>
  <c r="D63" i="16"/>
  <c r="Z62" i="16"/>
  <c r="X62" i="16"/>
  <c r="V62" i="16"/>
  <c r="T62" i="16"/>
  <c r="R62" i="16"/>
  <c r="P62" i="16"/>
  <c r="N62" i="16"/>
  <c r="L62" i="16"/>
  <c r="J62" i="16"/>
  <c r="H62" i="16"/>
  <c r="F62" i="16"/>
  <c r="D62" i="16"/>
  <c r="Z61" i="16"/>
  <c r="X61" i="16"/>
  <c r="V61" i="16"/>
  <c r="T61" i="16"/>
  <c r="R61" i="16"/>
  <c r="P61" i="16"/>
  <c r="N61" i="16"/>
  <c r="L61" i="16"/>
  <c r="J61" i="16"/>
  <c r="H61" i="16"/>
  <c r="F61" i="16"/>
  <c r="D61" i="16"/>
  <c r="Z60" i="16"/>
  <c r="X60" i="16"/>
  <c r="V60" i="16"/>
  <c r="T60" i="16"/>
  <c r="R60" i="16"/>
  <c r="P60" i="16"/>
  <c r="N60" i="16"/>
  <c r="L60" i="16"/>
  <c r="J60" i="16"/>
  <c r="H60" i="16"/>
  <c r="F60" i="16"/>
  <c r="D60" i="16"/>
  <c r="Z59" i="16"/>
  <c r="X59" i="16"/>
  <c r="V59" i="16"/>
  <c r="T59" i="16"/>
  <c r="R59" i="16"/>
  <c r="P59" i="16"/>
  <c r="N59" i="16"/>
  <c r="L59" i="16"/>
  <c r="J59" i="16"/>
  <c r="H59" i="16"/>
  <c r="F59" i="16"/>
  <c r="D59" i="16"/>
  <c r="Z58" i="16"/>
  <c r="X58" i="16"/>
  <c r="V58" i="16"/>
  <c r="T58" i="16"/>
  <c r="R58" i="16"/>
  <c r="P58" i="16"/>
  <c r="N58" i="16"/>
  <c r="L58" i="16"/>
  <c r="J58" i="16"/>
  <c r="H58" i="16"/>
  <c r="F58" i="16"/>
  <c r="D58" i="16"/>
  <c r="Z57" i="16"/>
  <c r="X57" i="16"/>
  <c r="V57" i="16"/>
  <c r="T57" i="16"/>
  <c r="R57" i="16"/>
  <c r="P57" i="16"/>
  <c r="N57" i="16"/>
  <c r="L57" i="16"/>
  <c r="J57" i="16"/>
  <c r="H57" i="16"/>
  <c r="F57" i="16"/>
  <c r="D57" i="16"/>
  <c r="Z56" i="16"/>
  <c r="X56" i="16"/>
  <c r="V56" i="16"/>
  <c r="T56" i="16"/>
  <c r="R56" i="16"/>
  <c r="P56" i="16"/>
  <c r="N56" i="16"/>
  <c r="L56" i="16"/>
  <c r="J56" i="16"/>
  <c r="H56" i="16"/>
  <c r="F56" i="16"/>
  <c r="D56" i="16"/>
  <c r="Z55" i="16"/>
  <c r="X55" i="16"/>
  <c r="V55" i="16"/>
  <c r="T55" i="16"/>
  <c r="R55" i="16"/>
  <c r="P55" i="16"/>
  <c r="N55" i="16"/>
  <c r="L55" i="16"/>
  <c r="J55" i="16"/>
  <c r="H55" i="16"/>
  <c r="F55" i="16"/>
  <c r="D55" i="16"/>
  <c r="Z54" i="16"/>
  <c r="X54" i="16"/>
  <c r="V54" i="16"/>
  <c r="T54" i="16"/>
  <c r="R54" i="16"/>
  <c r="P54" i="16"/>
  <c r="N54" i="16"/>
  <c r="L54" i="16"/>
  <c r="J54" i="16"/>
  <c r="H54" i="16"/>
  <c r="F54" i="16"/>
  <c r="D54" i="16"/>
  <c r="Z53" i="16"/>
  <c r="X53" i="16"/>
  <c r="V53" i="16"/>
  <c r="T53" i="16"/>
  <c r="R53" i="16"/>
  <c r="P53" i="16"/>
  <c r="N53" i="16"/>
  <c r="L53" i="16"/>
  <c r="J53" i="16"/>
  <c r="H53" i="16"/>
  <c r="F53" i="16"/>
  <c r="D53" i="16"/>
  <c r="Z52" i="16"/>
  <c r="X52" i="16"/>
  <c r="V52" i="16"/>
  <c r="T52" i="16"/>
  <c r="R52" i="16"/>
  <c r="P52" i="16"/>
  <c r="N52" i="16"/>
  <c r="L52" i="16"/>
  <c r="J52" i="16"/>
  <c r="H52" i="16"/>
  <c r="F52" i="16"/>
  <c r="D52" i="16"/>
  <c r="Z51" i="16"/>
  <c r="X51" i="16"/>
  <c r="V51" i="16"/>
  <c r="T51" i="16"/>
  <c r="R51" i="16"/>
  <c r="P51" i="16"/>
  <c r="N51" i="16"/>
  <c r="L51" i="16"/>
  <c r="J51" i="16"/>
  <c r="H51" i="16"/>
  <c r="F51" i="16"/>
  <c r="D51" i="16"/>
  <c r="Z50" i="16"/>
  <c r="X50" i="16"/>
  <c r="V50" i="16"/>
  <c r="T50" i="16"/>
  <c r="R50" i="16"/>
  <c r="P50" i="16"/>
  <c r="N50" i="16"/>
  <c r="L50" i="16"/>
  <c r="J50" i="16"/>
  <c r="H50" i="16"/>
  <c r="F50" i="16"/>
  <c r="D50" i="16"/>
  <c r="Z49" i="16"/>
  <c r="X49" i="16"/>
  <c r="V49" i="16"/>
  <c r="T49" i="16"/>
  <c r="R49" i="16"/>
  <c r="P49" i="16"/>
  <c r="N49" i="16"/>
  <c r="L49" i="16"/>
  <c r="J49" i="16"/>
  <c r="H49" i="16"/>
  <c r="F49" i="16"/>
  <c r="D49" i="16"/>
  <c r="Z48" i="16"/>
  <c r="X48" i="16"/>
  <c r="V48" i="16"/>
  <c r="T48" i="16"/>
  <c r="R48" i="16"/>
  <c r="P48" i="16"/>
  <c r="N48" i="16"/>
  <c r="L48" i="16"/>
  <c r="J48" i="16"/>
  <c r="H48" i="16"/>
  <c r="F48" i="16"/>
  <c r="D48" i="16"/>
  <c r="Z47" i="16"/>
  <c r="X47" i="16"/>
  <c r="V47" i="16"/>
  <c r="T47" i="16"/>
  <c r="R47" i="16"/>
  <c r="P47" i="16"/>
  <c r="N47" i="16"/>
  <c r="L47" i="16"/>
  <c r="J47" i="16"/>
  <c r="H47" i="16"/>
  <c r="F47" i="16"/>
  <c r="D47" i="16"/>
  <c r="Z46" i="16"/>
  <c r="X46" i="16"/>
  <c r="V46" i="16"/>
  <c r="T46" i="16"/>
  <c r="R46" i="16"/>
  <c r="P46" i="16"/>
  <c r="N46" i="16"/>
  <c r="L46" i="16"/>
  <c r="J46" i="16"/>
  <c r="H46" i="16"/>
  <c r="F46" i="16"/>
  <c r="D46" i="16"/>
  <c r="Z45" i="16"/>
  <c r="X45" i="16"/>
  <c r="V45" i="16"/>
  <c r="T45" i="16"/>
  <c r="R45" i="16"/>
  <c r="P45" i="16"/>
  <c r="N45" i="16"/>
  <c r="L45" i="16"/>
  <c r="J45" i="16"/>
  <c r="H45" i="16"/>
  <c r="F45" i="16"/>
  <c r="D45" i="16"/>
  <c r="X43" i="16"/>
  <c r="V43" i="16"/>
  <c r="T43" i="16"/>
  <c r="Z43" i="16" s="1"/>
  <c r="R43" i="16"/>
  <c r="P43" i="16"/>
  <c r="N43" i="16"/>
  <c r="L43" i="16"/>
  <c r="J43" i="16"/>
  <c r="H43" i="16"/>
  <c r="F43" i="16"/>
  <c r="D43" i="16"/>
  <c r="Z41" i="16"/>
  <c r="X41" i="16"/>
  <c r="V41" i="16"/>
  <c r="T41" i="16"/>
  <c r="R41" i="16"/>
  <c r="P41" i="16"/>
  <c r="N41" i="16"/>
  <c r="L41" i="16"/>
  <c r="J41" i="16"/>
  <c r="H41" i="16"/>
  <c r="F41" i="16"/>
  <c r="D41" i="16"/>
  <c r="Z40" i="16"/>
  <c r="X40" i="16"/>
  <c r="V40" i="16"/>
  <c r="T40" i="16"/>
  <c r="R40" i="16"/>
  <c r="P40" i="16"/>
  <c r="N40" i="16"/>
  <c r="L40" i="16"/>
  <c r="J40" i="16"/>
  <c r="H40" i="16"/>
  <c r="F40" i="16"/>
  <c r="D40" i="16"/>
  <c r="Z37" i="16"/>
  <c r="X37" i="16"/>
  <c r="V37" i="16"/>
  <c r="T37" i="16"/>
  <c r="R37" i="16"/>
  <c r="P37" i="16"/>
  <c r="N37" i="16"/>
  <c r="L37" i="16"/>
  <c r="J37" i="16"/>
  <c r="H37" i="16"/>
  <c r="F37" i="16"/>
  <c r="D37" i="16"/>
  <c r="Z36" i="16"/>
  <c r="X36" i="16"/>
  <c r="V36" i="16"/>
  <c r="T36" i="16"/>
  <c r="R36" i="16"/>
  <c r="P36" i="16"/>
  <c r="N36" i="16"/>
  <c r="L36" i="16"/>
  <c r="J36" i="16"/>
  <c r="H36" i="16"/>
  <c r="F36" i="16"/>
  <c r="D36" i="16"/>
  <c r="Z35" i="16"/>
  <c r="X35" i="16"/>
  <c r="V35" i="16"/>
  <c r="T35" i="16"/>
  <c r="R35" i="16"/>
  <c r="P35" i="16"/>
  <c r="N35" i="16"/>
  <c r="L35" i="16"/>
  <c r="J35" i="16"/>
  <c r="H35" i="16"/>
  <c r="F35" i="16"/>
  <c r="D35" i="16"/>
  <c r="Z34" i="16"/>
  <c r="X34" i="16"/>
  <c r="V34" i="16"/>
  <c r="T34" i="16"/>
  <c r="R34" i="16"/>
  <c r="P34" i="16"/>
  <c r="N34" i="16"/>
  <c r="L34" i="16"/>
  <c r="J34" i="16"/>
  <c r="H34" i="16"/>
  <c r="F34" i="16"/>
  <c r="D34" i="16"/>
  <c r="Z33" i="16"/>
  <c r="X33" i="16"/>
  <c r="V33" i="16"/>
  <c r="T33" i="16"/>
  <c r="R33" i="16"/>
  <c r="P33" i="16"/>
  <c r="N33" i="16"/>
  <c r="L33" i="16"/>
  <c r="J33" i="16"/>
  <c r="H33" i="16"/>
  <c r="F33" i="16"/>
  <c r="D33" i="16"/>
  <c r="Z32" i="16"/>
  <c r="X32" i="16"/>
  <c r="V32" i="16"/>
  <c r="T32" i="16"/>
  <c r="R32" i="16"/>
  <c r="P32" i="16"/>
  <c r="N32" i="16"/>
  <c r="L32" i="16"/>
  <c r="J32" i="16"/>
  <c r="H32" i="16"/>
  <c r="F32" i="16"/>
  <c r="D32" i="16"/>
  <c r="V30" i="16"/>
  <c r="T30" i="16"/>
  <c r="R30" i="16"/>
  <c r="P30" i="16"/>
  <c r="N30" i="16"/>
  <c r="L30" i="16"/>
  <c r="J30" i="16"/>
  <c r="H30" i="16"/>
  <c r="F30" i="16"/>
  <c r="Z29" i="16"/>
  <c r="X29" i="16"/>
  <c r="V29" i="16"/>
  <c r="T29" i="16"/>
  <c r="R29" i="16"/>
  <c r="P29" i="16"/>
  <c r="N29" i="16"/>
  <c r="L29" i="16"/>
  <c r="J29" i="16"/>
  <c r="H29" i="16"/>
  <c r="F29" i="16"/>
  <c r="D29" i="16"/>
  <c r="Z28" i="16"/>
  <c r="X28" i="16"/>
  <c r="X97" i="16" s="1"/>
  <c r="V28" i="16"/>
  <c r="T28" i="16"/>
  <c r="T97" i="16" s="1"/>
  <c r="T98" i="16" s="1"/>
  <c r="R28" i="16"/>
  <c r="R97" i="16" s="1"/>
  <c r="R98" i="16" s="1"/>
  <c r="P28" i="16"/>
  <c r="P97" i="16" s="1"/>
  <c r="P98" i="16" s="1"/>
  <c r="N28" i="16"/>
  <c r="L28" i="16"/>
  <c r="L97" i="16" s="1"/>
  <c r="L98" i="16" s="1"/>
  <c r="J28" i="16"/>
  <c r="J97" i="16" s="1"/>
  <c r="J98" i="16" s="1"/>
  <c r="H28" i="16"/>
  <c r="H97" i="16" s="1"/>
  <c r="H98" i="16" s="1"/>
  <c r="F28" i="16"/>
  <c r="D28" i="16"/>
  <c r="D97" i="16" s="1"/>
  <c r="W25" i="16"/>
  <c r="U25" i="16"/>
  <c r="Q25" i="16"/>
  <c r="M25" i="16"/>
  <c r="I25" i="16"/>
  <c r="E25" i="16"/>
  <c r="Z21" i="16"/>
  <c r="Y21" i="16"/>
  <c r="Y25" i="16" s="1"/>
  <c r="U21" i="16"/>
  <c r="T21" i="16"/>
  <c r="S21" i="16"/>
  <c r="S25" i="16" s="1"/>
  <c r="Q21" i="16"/>
  <c r="P21" i="16"/>
  <c r="O21" i="16"/>
  <c r="O25" i="16" s="1"/>
  <c r="M21" i="16"/>
  <c r="L21" i="16"/>
  <c r="K21" i="16"/>
  <c r="K25" i="16" s="1"/>
  <c r="I21" i="16"/>
  <c r="H21" i="16"/>
  <c r="G21" i="16"/>
  <c r="G25" i="16" s="1"/>
  <c r="E21" i="16"/>
  <c r="C21" i="16"/>
  <c r="C25" i="16" s="1"/>
  <c r="Z19" i="16"/>
  <c r="X19" i="16"/>
  <c r="V19" i="16"/>
  <c r="T19" i="16"/>
  <c r="R19" i="16"/>
  <c r="P19" i="16"/>
  <c r="N19" i="16"/>
  <c r="L19" i="16"/>
  <c r="J19" i="16"/>
  <c r="H19" i="16"/>
  <c r="F19" i="16"/>
  <c r="D19" i="16"/>
  <c r="Z18" i="16"/>
  <c r="X18" i="16"/>
  <c r="V18" i="16"/>
  <c r="T18" i="16"/>
  <c r="R18" i="16"/>
  <c r="P18" i="16"/>
  <c r="N18" i="16"/>
  <c r="L18" i="16"/>
  <c r="J18" i="16"/>
  <c r="H18" i="16"/>
  <c r="F18" i="16"/>
  <c r="D18" i="16"/>
  <c r="Z17" i="16"/>
  <c r="X17" i="16"/>
  <c r="V17" i="16"/>
  <c r="T17" i="16"/>
  <c r="R17" i="16"/>
  <c r="P17" i="16"/>
  <c r="N17" i="16"/>
  <c r="L17" i="16"/>
  <c r="J17" i="16"/>
  <c r="H17" i="16"/>
  <c r="F17" i="16"/>
  <c r="D17" i="16"/>
  <c r="Z16" i="16"/>
  <c r="X16" i="16"/>
  <c r="V16" i="16"/>
  <c r="T16" i="16"/>
  <c r="R16" i="16"/>
  <c r="P16" i="16"/>
  <c r="N16" i="16"/>
  <c r="L16" i="16"/>
  <c r="J16" i="16"/>
  <c r="H16" i="16"/>
  <c r="F16" i="16"/>
  <c r="D16" i="16"/>
  <c r="Z15" i="16"/>
  <c r="X15" i="16"/>
  <c r="V15" i="16"/>
  <c r="T15" i="16"/>
  <c r="R15" i="16"/>
  <c r="P15" i="16"/>
  <c r="N15" i="16"/>
  <c r="L15" i="16"/>
  <c r="J15" i="16"/>
  <c r="H15" i="16"/>
  <c r="F15" i="16"/>
  <c r="D15" i="16"/>
  <c r="Z12" i="16"/>
  <c r="X12" i="16"/>
  <c r="V12" i="16"/>
  <c r="T12" i="16"/>
  <c r="R12" i="16"/>
  <c r="P12" i="16"/>
  <c r="N12" i="16"/>
  <c r="L12" i="16"/>
  <c r="J12" i="16"/>
  <c r="H12" i="16"/>
  <c r="F12" i="16"/>
  <c r="D12" i="16"/>
  <c r="Z11" i="16"/>
  <c r="X11" i="16"/>
  <c r="V11" i="16"/>
  <c r="T11" i="16"/>
  <c r="R11" i="16"/>
  <c r="P11" i="16"/>
  <c r="N11" i="16"/>
  <c r="L11" i="16"/>
  <c r="J11" i="16"/>
  <c r="H11" i="16"/>
  <c r="F11" i="16"/>
  <c r="D11" i="16"/>
  <c r="Z10" i="16"/>
  <c r="X10" i="16"/>
  <c r="V10" i="16"/>
  <c r="T10" i="16"/>
  <c r="R10" i="16"/>
  <c r="P10" i="16"/>
  <c r="N10" i="16"/>
  <c r="L10" i="16"/>
  <c r="J10" i="16"/>
  <c r="H10" i="16"/>
  <c r="F10" i="16"/>
  <c r="D10" i="16"/>
  <c r="D21" i="16" s="1"/>
  <c r="Z9" i="16"/>
  <c r="X9" i="16"/>
  <c r="X21" i="16" s="1"/>
  <c r="V9" i="16"/>
  <c r="V21" i="16" s="1"/>
  <c r="T9" i="16"/>
  <c r="R9" i="16"/>
  <c r="R21" i="16" s="1"/>
  <c r="P9" i="16"/>
  <c r="N9" i="16"/>
  <c r="N21" i="16" s="1"/>
  <c r="L9" i="16"/>
  <c r="J9" i="16"/>
  <c r="J21" i="16" s="1"/>
  <c r="H9" i="16"/>
  <c r="F9" i="16"/>
  <c r="F21" i="16" s="1"/>
  <c r="D9" i="16"/>
  <c r="Z108" i="25" l="1"/>
  <c r="Z106" i="25"/>
  <c r="D108" i="25"/>
  <c r="D106" i="25"/>
  <c r="X110" i="25"/>
  <c r="X111" i="25" s="1"/>
  <c r="X112" i="25" s="1"/>
  <c r="X113" i="25" s="1"/>
  <c r="X102" i="25"/>
  <c r="X104" i="25" s="1"/>
  <c r="D110" i="24"/>
  <c r="D111" i="24" s="1"/>
  <c r="D113" i="24" s="1"/>
  <c r="A4" i="24" s="1"/>
  <c r="D102" i="24"/>
  <c r="D104" i="24" s="1"/>
  <c r="X110" i="24"/>
  <c r="X111" i="24" s="1"/>
  <c r="X112" i="24" s="1"/>
  <c r="X113" i="24" s="1"/>
  <c r="X102" i="24"/>
  <c r="X104" i="24" s="1"/>
  <c r="Z99" i="24"/>
  <c r="Z100" i="24" s="1"/>
  <c r="P108" i="24"/>
  <c r="P110" i="24" s="1"/>
  <c r="P106" i="24"/>
  <c r="N108" i="24"/>
  <c r="N110" i="24" s="1"/>
  <c r="N106" i="24"/>
  <c r="F108" i="24"/>
  <c r="F110" i="24" s="1"/>
  <c r="F106" i="24"/>
  <c r="R108" i="24"/>
  <c r="R110" i="24" s="1"/>
  <c r="R106" i="24"/>
  <c r="V108" i="24"/>
  <c r="V110" i="24" s="1"/>
  <c r="V106" i="24"/>
  <c r="H108" i="24"/>
  <c r="H110" i="24" s="1"/>
  <c r="H106" i="24"/>
  <c r="L108" i="24"/>
  <c r="L110" i="24" s="1"/>
  <c r="L106" i="24"/>
  <c r="J108" i="24"/>
  <c r="J110" i="24" s="1"/>
  <c r="J106" i="24"/>
  <c r="T108" i="24"/>
  <c r="T110" i="24" s="1"/>
  <c r="T106" i="24"/>
  <c r="Z97" i="18"/>
  <c r="F97" i="16"/>
  <c r="F98" i="16" s="1"/>
  <c r="N97" i="16"/>
  <c r="N98" i="16" s="1"/>
  <c r="V97" i="16"/>
  <c r="V98" i="16" s="1"/>
  <c r="D97" i="23"/>
  <c r="X97" i="23"/>
  <c r="X98" i="23" s="1"/>
  <c r="D23" i="23"/>
  <c r="D25" i="23"/>
  <c r="L23" i="23"/>
  <c r="L25" i="23"/>
  <c r="T23" i="23"/>
  <c r="T25" i="23"/>
  <c r="J99" i="23"/>
  <c r="J100" i="23" s="1"/>
  <c r="R99" i="23"/>
  <c r="R100" i="23" s="1"/>
  <c r="F25" i="23"/>
  <c r="F23" i="23"/>
  <c r="N25" i="23"/>
  <c r="N23" i="23"/>
  <c r="V25" i="23"/>
  <c r="V23" i="23"/>
  <c r="D98" i="23"/>
  <c r="L99" i="23"/>
  <c r="L100" i="23" s="1"/>
  <c r="T99" i="23"/>
  <c r="T100" i="23" s="1"/>
  <c r="H23" i="23"/>
  <c r="H25" i="23"/>
  <c r="P23" i="23"/>
  <c r="P25" i="23"/>
  <c r="F99" i="23"/>
  <c r="F100" i="23" s="1"/>
  <c r="N99" i="23"/>
  <c r="N100" i="23" s="1"/>
  <c r="V99" i="23"/>
  <c r="V100" i="23" s="1"/>
  <c r="J23" i="23"/>
  <c r="J25" i="23" s="1"/>
  <c r="R23" i="23"/>
  <c r="R25" i="23" s="1"/>
  <c r="Z23" i="23"/>
  <c r="Z25" i="23" s="1"/>
  <c r="Z98" i="23" s="1"/>
  <c r="H99" i="23"/>
  <c r="H100" i="23" s="1"/>
  <c r="P99" i="23"/>
  <c r="P100" i="23" s="1"/>
  <c r="X25" i="23"/>
  <c r="X97" i="20"/>
  <c r="D97" i="20"/>
  <c r="D98" i="20" s="1"/>
  <c r="D23" i="20"/>
  <c r="D25" i="20"/>
  <c r="T23" i="20"/>
  <c r="T25" i="20"/>
  <c r="F23" i="20"/>
  <c r="F25" i="20" s="1"/>
  <c r="N25" i="20"/>
  <c r="N23" i="20"/>
  <c r="V23" i="20"/>
  <c r="V25" i="20" s="1"/>
  <c r="L99" i="20"/>
  <c r="L100" i="20" s="1"/>
  <c r="T99" i="20"/>
  <c r="T100" i="20" s="1"/>
  <c r="L23" i="20"/>
  <c r="L25" i="20" s="1"/>
  <c r="J99" i="20"/>
  <c r="J100" i="20" s="1"/>
  <c r="R99" i="20"/>
  <c r="R100" i="20" s="1"/>
  <c r="H23" i="20"/>
  <c r="H25" i="20"/>
  <c r="P23" i="20"/>
  <c r="P25" i="20" s="1"/>
  <c r="F99" i="20"/>
  <c r="F100" i="20" s="1"/>
  <c r="N99" i="20"/>
  <c r="N100" i="20" s="1"/>
  <c r="V99" i="20"/>
  <c r="V100" i="20" s="1"/>
  <c r="J25" i="20"/>
  <c r="J23" i="20"/>
  <c r="R25" i="20"/>
  <c r="R23" i="20"/>
  <c r="Z25" i="20"/>
  <c r="Z98" i="20" s="1"/>
  <c r="Z23" i="20"/>
  <c r="H99" i="20"/>
  <c r="H100" i="20" s="1"/>
  <c r="P99" i="20"/>
  <c r="P100" i="20" s="1"/>
  <c r="X23" i="20"/>
  <c r="X25" i="20" s="1"/>
  <c r="D97" i="18"/>
  <c r="F25" i="18"/>
  <c r="F23" i="18"/>
  <c r="N23" i="18"/>
  <c r="N25" i="18"/>
  <c r="V25" i="18"/>
  <c r="V23" i="18"/>
  <c r="J99" i="18"/>
  <c r="J100" i="18" s="1"/>
  <c r="R99" i="18"/>
  <c r="R100" i="18" s="1"/>
  <c r="H23" i="18"/>
  <c r="H25" i="18" s="1"/>
  <c r="P23" i="18"/>
  <c r="P25" i="18" s="1"/>
  <c r="L99" i="18"/>
  <c r="L100" i="18" s="1"/>
  <c r="T99" i="18"/>
  <c r="T100" i="18" s="1"/>
  <c r="J25" i="18"/>
  <c r="J23" i="18"/>
  <c r="R23" i="18"/>
  <c r="R25" i="18" s="1"/>
  <c r="Z25" i="18"/>
  <c r="Z98" i="18" s="1"/>
  <c r="Z23" i="18"/>
  <c r="F99" i="18"/>
  <c r="F100" i="18" s="1"/>
  <c r="N99" i="18"/>
  <c r="N100" i="18" s="1"/>
  <c r="V99" i="18"/>
  <c r="V100" i="18" s="1"/>
  <c r="D23" i="18"/>
  <c r="D25" i="18" s="1"/>
  <c r="L23" i="18"/>
  <c r="L25" i="18"/>
  <c r="T23" i="18"/>
  <c r="T25" i="18" s="1"/>
  <c r="H99" i="18"/>
  <c r="H100" i="18" s="1"/>
  <c r="P99" i="18"/>
  <c r="P100" i="18" s="1"/>
  <c r="X97" i="18"/>
  <c r="X23" i="18"/>
  <c r="X25" i="18" s="1"/>
  <c r="X97" i="17"/>
  <c r="Z97" i="17"/>
  <c r="F97" i="17"/>
  <c r="F98" i="17" s="1"/>
  <c r="N97" i="17"/>
  <c r="N98" i="17" s="1"/>
  <c r="V97" i="17"/>
  <c r="V98" i="17" s="1"/>
  <c r="H25" i="17"/>
  <c r="F23" i="17"/>
  <c r="F25" i="17"/>
  <c r="N23" i="17"/>
  <c r="N25" i="17"/>
  <c r="V23" i="17"/>
  <c r="V25" i="17"/>
  <c r="H99" i="17"/>
  <c r="H100" i="17" s="1"/>
  <c r="P99" i="17"/>
  <c r="P100" i="17" s="1"/>
  <c r="F99" i="17"/>
  <c r="F100" i="17" s="1"/>
  <c r="N99" i="17"/>
  <c r="N100" i="17" s="1"/>
  <c r="V99" i="17"/>
  <c r="V100" i="17" s="1"/>
  <c r="J99" i="17"/>
  <c r="J100" i="17" s="1"/>
  <c r="R99" i="17"/>
  <c r="R100" i="17" s="1"/>
  <c r="X23" i="17"/>
  <c r="X25" i="17" s="1"/>
  <c r="X98" i="17" s="1"/>
  <c r="J25" i="17"/>
  <c r="J23" i="17"/>
  <c r="R23" i="17"/>
  <c r="R25" i="17" s="1"/>
  <c r="Z25" i="17"/>
  <c r="Z98" i="17" s="1"/>
  <c r="Z23" i="17"/>
  <c r="L99" i="17"/>
  <c r="L100" i="17" s="1"/>
  <c r="T99" i="17"/>
  <c r="T100" i="17" s="1"/>
  <c r="P23" i="17"/>
  <c r="P25" i="17" s="1"/>
  <c r="H23" i="17"/>
  <c r="D23" i="17"/>
  <c r="D25" i="17" s="1"/>
  <c r="D98" i="17" s="1"/>
  <c r="L23" i="17"/>
  <c r="L25" i="17" s="1"/>
  <c r="T23" i="17"/>
  <c r="T25" i="17" s="1"/>
  <c r="F23" i="16"/>
  <c r="F25" i="16"/>
  <c r="N23" i="16"/>
  <c r="N25" i="16"/>
  <c r="V23" i="16"/>
  <c r="V25" i="16"/>
  <c r="H99" i="16"/>
  <c r="H100" i="16" s="1"/>
  <c r="P99" i="16"/>
  <c r="P100" i="16" s="1"/>
  <c r="F99" i="16"/>
  <c r="F100" i="16" s="1"/>
  <c r="N100" i="16"/>
  <c r="N99" i="16"/>
  <c r="V99" i="16"/>
  <c r="X25" i="16"/>
  <c r="X98" i="16" s="1"/>
  <c r="X23" i="16"/>
  <c r="P25" i="16"/>
  <c r="J99" i="16"/>
  <c r="J100" i="16" s="1"/>
  <c r="R99" i="16"/>
  <c r="R100" i="16" s="1"/>
  <c r="Z97" i="16"/>
  <c r="J25" i="16"/>
  <c r="J23" i="16"/>
  <c r="R25" i="16"/>
  <c r="R23" i="16"/>
  <c r="L25" i="16"/>
  <c r="L99" i="16"/>
  <c r="L100" i="16" s="1"/>
  <c r="T99" i="16"/>
  <c r="T100" i="16" s="1"/>
  <c r="Z23" i="16"/>
  <c r="Z25" i="16" s="1"/>
  <c r="H23" i="16"/>
  <c r="H25" i="16" s="1"/>
  <c r="D23" i="16"/>
  <c r="D25" i="16" s="1"/>
  <c r="D98" i="16" s="1"/>
  <c r="L23" i="16"/>
  <c r="T23" i="16"/>
  <c r="T25" i="16" s="1"/>
  <c r="P23" i="16"/>
  <c r="X108" i="25" l="1"/>
  <c r="X106" i="25"/>
  <c r="X108" i="24"/>
  <c r="X106" i="24"/>
  <c r="D108" i="24"/>
  <c r="D106" i="24"/>
  <c r="Z110" i="24"/>
  <c r="Z111" i="24" s="1"/>
  <c r="Z112" i="24" s="1"/>
  <c r="Z113" i="24" s="1"/>
  <c r="Z102" i="24"/>
  <c r="Z104" i="24" s="1"/>
  <c r="X98" i="20"/>
  <c r="V100" i="16"/>
  <c r="H104" i="23"/>
  <c r="H102" i="23"/>
  <c r="V104" i="23"/>
  <c r="V102" i="23"/>
  <c r="L104" i="23"/>
  <c r="L102" i="23"/>
  <c r="R104" i="23"/>
  <c r="R102" i="23"/>
  <c r="Z99" i="23"/>
  <c r="Z100" i="23" s="1"/>
  <c r="N104" i="23"/>
  <c r="N102" i="23"/>
  <c r="J104" i="23"/>
  <c r="J102" i="23"/>
  <c r="F104" i="23"/>
  <c r="F102" i="23"/>
  <c r="P104" i="23"/>
  <c r="P102" i="23"/>
  <c r="T104" i="23"/>
  <c r="T102" i="23"/>
  <c r="X99" i="23"/>
  <c r="X100" i="23" s="1"/>
  <c r="D99" i="23"/>
  <c r="D100" i="23" s="1"/>
  <c r="Z99" i="20"/>
  <c r="Z100" i="20" s="1"/>
  <c r="V104" i="20"/>
  <c r="V102" i="20"/>
  <c r="T104" i="20"/>
  <c r="T102" i="20"/>
  <c r="X99" i="20"/>
  <c r="X100" i="20" s="1"/>
  <c r="L104" i="20"/>
  <c r="L102" i="20"/>
  <c r="J104" i="20"/>
  <c r="J102" i="20"/>
  <c r="H104" i="20"/>
  <c r="H102" i="20"/>
  <c r="F104" i="20"/>
  <c r="F102" i="20"/>
  <c r="D99" i="20"/>
  <c r="D100" i="20" s="1"/>
  <c r="P104" i="20"/>
  <c r="P102" i="20"/>
  <c r="N104" i="20"/>
  <c r="N102" i="20"/>
  <c r="R104" i="20"/>
  <c r="R102" i="20"/>
  <c r="D98" i="18"/>
  <c r="D99" i="18" s="1"/>
  <c r="D100" i="18" s="1"/>
  <c r="N104" i="18"/>
  <c r="N102" i="18"/>
  <c r="L104" i="18"/>
  <c r="L102" i="18"/>
  <c r="F104" i="18"/>
  <c r="F102" i="18"/>
  <c r="J104" i="18"/>
  <c r="J102" i="18"/>
  <c r="H104" i="18"/>
  <c r="H102" i="18"/>
  <c r="V102" i="18"/>
  <c r="V104" i="18"/>
  <c r="Z99" i="18"/>
  <c r="Z100" i="18" s="1"/>
  <c r="T104" i="18"/>
  <c r="T102" i="18"/>
  <c r="X98" i="18"/>
  <c r="P104" i="18"/>
  <c r="P102" i="18"/>
  <c r="R104" i="18"/>
  <c r="R102" i="18"/>
  <c r="X99" i="17"/>
  <c r="X100" i="17" s="1"/>
  <c r="H104" i="17"/>
  <c r="H102" i="17"/>
  <c r="D99" i="17"/>
  <c r="D100" i="17" s="1"/>
  <c r="R104" i="17"/>
  <c r="R102" i="17"/>
  <c r="T104" i="17"/>
  <c r="T102" i="17"/>
  <c r="F104" i="17"/>
  <c r="F102" i="17"/>
  <c r="Z99" i="17"/>
  <c r="Z100" i="17" s="1"/>
  <c r="J104" i="17"/>
  <c r="J102" i="17"/>
  <c r="V104" i="17"/>
  <c r="V102" i="17"/>
  <c r="P104" i="17"/>
  <c r="P102" i="17"/>
  <c r="L104" i="17"/>
  <c r="L102" i="17"/>
  <c r="N104" i="17"/>
  <c r="N102" i="17"/>
  <c r="P104" i="16"/>
  <c r="P102" i="16"/>
  <c r="R104" i="16"/>
  <c r="R102" i="16"/>
  <c r="X99" i="16"/>
  <c r="X100" i="16" s="1"/>
  <c r="J104" i="16"/>
  <c r="J102" i="16"/>
  <c r="D99" i="16"/>
  <c r="D100" i="16" s="1"/>
  <c r="H104" i="16"/>
  <c r="H102" i="16"/>
  <c r="T104" i="16"/>
  <c r="T102" i="16"/>
  <c r="L104" i="16"/>
  <c r="L102" i="16"/>
  <c r="V102" i="16"/>
  <c r="V104" i="16"/>
  <c r="F104" i="16"/>
  <c r="F102" i="16"/>
  <c r="N104" i="16"/>
  <c r="N102" i="16"/>
  <c r="Z98" i="16"/>
  <c r="Z108" i="24" l="1"/>
  <c r="Z106" i="24"/>
  <c r="X110" i="23"/>
  <c r="X111" i="23" s="1"/>
  <c r="X112" i="23" s="1"/>
  <c r="X113" i="23" s="1"/>
  <c r="X102" i="23"/>
  <c r="X104" i="23" s="1"/>
  <c r="Z110" i="23"/>
  <c r="Z111" i="23" s="1"/>
  <c r="Z112" i="23" s="1"/>
  <c r="Z113" i="23" s="1"/>
  <c r="Z104" i="23"/>
  <c r="Z102" i="23"/>
  <c r="D110" i="23"/>
  <c r="D111" i="23" s="1"/>
  <c r="D113" i="23" s="1"/>
  <c r="A4" i="23" s="1"/>
  <c r="D102" i="23"/>
  <c r="D104" i="23" s="1"/>
  <c r="T108" i="23"/>
  <c r="T110" i="23" s="1"/>
  <c r="T106" i="23"/>
  <c r="F108" i="23"/>
  <c r="F110" i="23" s="1"/>
  <c r="F106" i="23"/>
  <c r="N108" i="23"/>
  <c r="N110" i="23" s="1"/>
  <c r="N106" i="23"/>
  <c r="R108" i="23"/>
  <c r="R110" i="23" s="1"/>
  <c r="R106" i="23"/>
  <c r="V108" i="23"/>
  <c r="V110" i="23" s="1"/>
  <c r="V106" i="23"/>
  <c r="P108" i="23"/>
  <c r="P110" i="23" s="1"/>
  <c r="P106" i="23"/>
  <c r="J108" i="23"/>
  <c r="J110" i="23" s="1"/>
  <c r="J106" i="23"/>
  <c r="L108" i="23"/>
  <c r="L110" i="23" s="1"/>
  <c r="L106" i="23"/>
  <c r="H108" i="23"/>
  <c r="H110" i="23" s="1"/>
  <c r="H106" i="23"/>
  <c r="D110" i="20"/>
  <c r="D111" i="20" s="1"/>
  <c r="D113" i="20" s="1"/>
  <c r="A4" i="20" s="1"/>
  <c r="D102" i="20"/>
  <c r="D104" i="20" s="1"/>
  <c r="X110" i="20"/>
  <c r="X111" i="20" s="1"/>
  <c r="X112" i="20" s="1"/>
  <c r="X113" i="20" s="1"/>
  <c r="X102" i="20"/>
  <c r="X104" i="20" s="1"/>
  <c r="Z110" i="20"/>
  <c r="Z111" i="20" s="1"/>
  <c r="Z112" i="20" s="1"/>
  <c r="Z113" i="20" s="1"/>
  <c r="Z102" i="20"/>
  <c r="Z104" i="20" s="1"/>
  <c r="R108" i="20"/>
  <c r="R110" i="20" s="1"/>
  <c r="R106" i="20"/>
  <c r="P108" i="20"/>
  <c r="P110" i="20" s="1"/>
  <c r="P106" i="20"/>
  <c r="F108" i="20"/>
  <c r="F110" i="20" s="1"/>
  <c r="F106" i="20"/>
  <c r="J108" i="20"/>
  <c r="J110" i="20" s="1"/>
  <c r="J106" i="20"/>
  <c r="V108" i="20"/>
  <c r="V110" i="20" s="1"/>
  <c r="V106" i="20"/>
  <c r="N106" i="20"/>
  <c r="N108" i="20"/>
  <c r="N110" i="20" s="1"/>
  <c r="H108" i="20"/>
  <c r="H110" i="20" s="1"/>
  <c r="H106" i="20"/>
  <c r="L108" i="20"/>
  <c r="L110" i="20" s="1"/>
  <c r="L106" i="20"/>
  <c r="T108" i="20"/>
  <c r="T110" i="20" s="1"/>
  <c r="T106" i="20"/>
  <c r="D110" i="18"/>
  <c r="D111" i="18" s="1"/>
  <c r="D113" i="18" s="1"/>
  <c r="A4" i="18" s="1"/>
  <c r="D102" i="18"/>
  <c r="D104" i="18" s="1"/>
  <c r="Z110" i="18"/>
  <c r="Z111" i="18" s="1"/>
  <c r="Z112" i="18" s="1"/>
  <c r="Z113" i="18" s="1"/>
  <c r="Z102" i="18"/>
  <c r="Z104" i="18" s="1"/>
  <c r="P108" i="18"/>
  <c r="P110" i="18" s="1"/>
  <c r="P106" i="18"/>
  <c r="X99" i="18"/>
  <c r="X100" i="18" s="1"/>
  <c r="J108" i="18"/>
  <c r="J110" i="18" s="1"/>
  <c r="J106" i="18"/>
  <c r="L108" i="18"/>
  <c r="L110" i="18" s="1"/>
  <c r="L106" i="18"/>
  <c r="R108" i="18"/>
  <c r="R110" i="18" s="1"/>
  <c r="R106" i="18"/>
  <c r="V108" i="18"/>
  <c r="V110" i="18" s="1"/>
  <c r="V106" i="18"/>
  <c r="T108" i="18"/>
  <c r="T110" i="18" s="1"/>
  <c r="T106" i="18"/>
  <c r="H108" i="18"/>
  <c r="H110" i="18" s="1"/>
  <c r="H106" i="18"/>
  <c r="F108" i="18"/>
  <c r="F110" i="18" s="1"/>
  <c r="F106" i="18"/>
  <c r="N106" i="18"/>
  <c r="N108" i="18"/>
  <c r="N110" i="18" s="1"/>
  <c r="X110" i="17"/>
  <c r="X111" i="17" s="1"/>
  <c r="X112" i="17" s="1"/>
  <c r="X113" i="17" s="1"/>
  <c r="X102" i="17"/>
  <c r="X104" i="17" s="1"/>
  <c r="N108" i="17"/>
  <c r="N110" i="17" s="1"/>
  <c r="N106" i="17"/>
  <c r="P108" i="17"/>
  <c r="P110" i="17" s="1"/>
  <c r="P106" i="17"/>
  <c r="J108" i="17"/>
  <c r="J110" i="17" s="1"/>
  <c r="J106" i="17"/>
  <c r="F108" i="17"/>
  <c r="F110" i="17" s="1"/>
  <c r="F106" i="17"/>
  <c r="R108" i="17"/>
  <c r="R110" i="17" s="1"/>
  <c r="R106" i="17"/>
  <c r="H108" i="17"/>
  <c r="H110" i="17" s="1"/>
  <c r="H106" i="17"/>
  <c r="L108" i="17"/>
  <c r="L110" i="17" s="1"/>
  <c r="L106" i="17"/>
  <c r="V108" i="17"/>
  <c r="V110" i="17" s="1"/>
  <c r="V106" i="17"/>
  <c r="Z110" i="17"/>
  <c r="Z111" i="17" s="1"/>
  <c r="Z112" i="17" s="1"/>
  <c r="Z113" i="17" s="1"/>
  <c r="Z102" i="17"/>
  <c r="Z104" i="17" s="1"/>
  <c r="T108" i="17"/>
  <c r="T110" i="17" s="1"/>
  <c r="T106" i="17"/>
  <c r="D110" i="17"/>
  <c r="D111" i="17" s="1"/>
  <c r="D113" i="17" s="1"/>
  <c r="A4" i="17" s="1"/>
  <c r="D102" i="17"/>
  <c r="D104" i="17" s="1"/>
  <c r="D110" i="16"/>
  <c r="D111" i="16" s="1"/>
  <c r="D113" i="16" s="1"/>
  <c r="A4" i="16" s="1"/>
  <c r="D102" i="16"/>
  <c r="D104" i="16" s="1"/>
  <c r="X110" i="16"/>
  <c r="X111" i="16" s="1"/>
  <c r="X112" i="16" s="1"/>
  <c r="X113" i="16" s="1"/>
  <c r="X102" i="16"/>
  <c r="X104" i="16" s="1"/>
  <c r="Z99" i="16"/>
  <c r="Z100" i="16" s="1"/>
  <c r="F108" i="16"/>
  <c r="F110" i="16" s="1"/>
  <c r="F106" i="16"/>
  <c r="L108" i="16"/>
  <c r="L110" i="16" s="1"/>
  <c r="L106" i="16"/>
  <c r="H108" i="16"/>
  <c r="H110" i="16" s="1"/>
  <c r="H106" i="16"/>
  <c r="J108" i="16"/>
  <c r="J110" i="16" s="1"/>
  <c r="J106" i="16"/>
  <c r="R108" i="16"/>
  <c r="R110" i="16" s="1"/>
  <c r="R106" i="16"/>
  <c r="V108" i="16"/>
  <c r="V110" i="16" s="1"/>
  <c r="V106" i="16"/>
  <c r="N106" i="16"/>
  <c r="N108" i="16"/>
  <c r="N110" i="16" s="1"/>
  <c r="T108" i="16"/>
  <c r="T110" i="16" s="1"/>
  <c r="T106" i="16"/>
  <c r="P108" i="16"/>
  <c r="P110" i="16" s="1"/>
  <c r="P106" i="16"/>
  <c r="X108" i="23" l="1"/>
  <c r="X106" i="23"/>
  <c r="D108" i="23"/>
  <c r="D106" i="23"/>
  <c r="Z108" i="23"/>
  <c r="Z106" i="23"/>
  <c r="Z108" i="20"/>
  <c r="Z106" i="20"/>
  <c r="D108" i="20"/>
  <c r="D106" i="20"/>
  <c r="X108" i="20"/>
  <c r="X106" i="20"/>
  <c r="X110" i="18"/>
  <c r="X111" i="18" s="1"/>
  <c r="X112" i="18" s="1"/>
  <c r="X113" i="18" s="1"/>
  <c r="X102" i="18"/>
  <c r="X104" i="18" s="1"/>
  <c r="Z108" i="18"/>
  <c r="Z106" i="18"/>
  <c r="D108" i="18"/>
  <c r="D106" i="18"/>
  <c r="Z108" i="17"/>
  <c r="Z106" i="17"/>
  <c r="D108" i="17"/>
  <c r="D106" i="17"/>
  <c r="X108" i="17"/>
  <c r="X106" i="17"/>
  <c r="X108" i="16"/>
  <c r="X106" i="16"/>
  <c r="Z110" i="16"/>
  <c r="Z111" i="16" s="1"/>
  <c r="Z112" i="16" s="1"/>
  <c r="Z113" i="16" s="1"/>
  <c r="Z102" i="16"/>
  <c r="Z104" i="16" s="1"/>
  <c r="D108" i="16"/>
  <c r="D106" i="16"/>
  <c r="X108" i="18" l="1"/>
  <c r="X106" i="18"/>
  <c r="Z108" i="16"/>
  <c r="Z106" i="16"/>
</calcChain>
</file>

<file path=xl/sharedStrings.xml><?xml version="1.0" encoding="utf-8"?>
<sst xmlns="http://schemas.openxmlformats.org/spreadsheetml/2006/main" count="826" uniqueCount="100">
  <si>
    <t xml:space="preserve"> </t>
  </si>
  <si>
    <t>Category</t>
  </si>
  <si>
    <t>RATE</t>
  </si>
  <si>
    <t>$/Hour</t>
  </si>
  <si>
    <t>Hours</t>
  </si>
  <si>
    <t>$</t>
  </si>
  <si>
    <t>Installation Crew</t>
  </si>
  <si>
    <t xml:space="preserve">Operator </t>
  </si>
  <si>
    <t>TOTAL DIRECT "L" LABOR</t>
  </si>
  <si>
    <t>Total Labor Costs</t>
  </si>
  <si>
    <t>Equipment</t>
  </si>
  <si>
    <t>Travel &amp; Per Diem</t>
  </si>
  <si>
    <t>Materials</t>
  </si>
  <si>
    <t>TOTAL OTHER DIRECT COSTS</t>
  </si>
  <si>
    <t>TOTAL DIRECT PLUS ODCs</t>
  </si>
  <si>
    <t>G &amp; A</t>
  </si>
  <si>
    <t>TOTAL COST W/O FEE</t>
  </si>
  <si>
    <t>TOTAL COST PLUS FEE</t>
  </si>
  <si>
    <t>(Lump Sum)</t>
  </si>
  <si>
    <t>HOME OFFICE (L) LABOR OVERHEAD</t>
  </si>
  <si>
    <t>Bond Costs</t>
  </si>
  <si>
    <t>New CLIN - Hide if Not Used</t>
  </si>
  <si>
    <t>0003 -- Architectural Finishes</t>
  </si>
  <si>
    <t>0004 -- Repairs To Overhead Crane</t>
  </si>
  <si>
    <t>0005 -- Mechanical</t>
  </si>
  <si>
    <t>0006 -- Plumbing</t>
  </si>
  <si>
    <t>0007 -- Electrical</t>
  </si>
  <si>
    <t>0008 -- Communications</t>
  </si>
  <si>
    <t>0009 -- Roofing Repairs</t>
  </si>
  <si>
    <t>0010 -- Design</t>
  </si>
  <si>
    <t>Bonds</t>
  </si>
  <si>
    <t>Fee</t>
  </si>
  <si>
    <t>TOTAL COST With Fee</t>
  </si>
  <si>
    <t>TOTAL COST WITH BONDS</t>
  </si>
  <si>
    <r>
      <t xml:space="preserve">Fee - </t>
    </r>
    <r>
      <rPr>
        <sz val="11"/>
        <color rgb="FFFF0000"/>
        <rFont val="Arial"/>
        <family val="2"/>
      </rPr>
      <t>Reduced from 7.5%</t>
    </r>
  </si>
  <si>
    <r>
      <t xml:space="preserve">State Taxes -- </t>
    </r>
    <r>
      <rPr>
        <b/>
        <sz val="11"/>
        <rFont val="Arial"/>
        <family val="2"/>
      </rPr>
      <t>None In North Carolina</t>
    </r>
  </si>
  <si>
    <t xml:space="preserve">Administrative Assistant </t>
  </si>
  <si>
    <t>Car Rental/day</t>
  </si>
  <si>
    <t>Project Controls/CADD/Submittals</t>
  </si>
  <si>
    <t>CLINS and Options from Subcontractors</t>
  </si>
  <si>
    <t>CLIN 0004 - Install overhead power in Room 120</t>
  </si>
  <si>
    <t>CLIN 0004 - To Remove the existing Cooler/Freezer</t>
  </si>
  <si>
    <t>Per Diem -- Room</t>
  </si>
  <si>
    <t>Per Diem - Meals - for PM</t>
  </si>
  <si>
    <t>This cost is for PM to fly home every other week 4 trips</t>
  </si>
  <si>
    <t>Renovation 503 Room 2E13 and 2E18 to support Nuclear Magnetic Resonance (NMR)</t>
  </si>
  <si>
    <t>Bid Notes</t>
  </si>
  <si>
    <t xml:space="preserve">Project Manager </t>
  </si>
  <si>
    <t>Crew Leader</t>
  </si>
  <si>
    <t>Misc Expendable Field Supplies Ice/Water - per field day</t>
  </si>
  <si>
    <t>Airfare from Miami, FL to Silver Springs Maryland - Based on Delta 2 wk ahead fare (Project Manager)</t>
  </si>
  <si>
    <t>The cost is for lodging 6 weeks @ rate of $129/night per 2 person Crew</t>
  </si>
  <si>
    <t>Per Diem -- Room (PM)</t>
  </si>
  <si>
    <t>The cost for lodging of PM per night @ $159/night + taxes for field and site visits</t>
  </si>
  <si>
    <t>Per Diem - Meals - for Crew</t>
  </si>
  <si>
    <t xml:space="preserve">This is the Perdiem rate of $35.00 for 6 guys @ 42 days  </t>
  </si>
  <si>
    <t>This is the Perdiem rate of $55.00 for 45 days</t>
  </si>
  <si>
    <t>Skilled Labor</t>
  </si>
  <si>
    <t>Labor</t>
  </si>
  <si>
    <t>The PM cost is based on 15 hours per week for 6 months</t>
  </si>
  <si>
    <t xml:space="preserve">The Project Controls are based on administering the submittals </t>
  </si>
  <si>
    <t>The Certified Payroll Administrator cost is based on 2 hrs a week for 6 weeks of construction time and 2 weeks of close out as required.</t>
  </si>
  <si>
    <t>Payroll Admin</t>
  </si>
  <si>
    <t xml:space="preserve">This cost is based on $75 a day for 42 working days for a truck for company use. </t>
  </si>
  <si>
    <t>Rental Boom Lift</t>
  </si>
  <si>
    <t>Pre-fabricated metal wall panels</t>
  </si>
  <si>
    <t>Crew team member for metal panel installation</t>
  </si>
  <si>
    <t>Crew Leader for metal wall panel installation crew</t>
  </si>
  <si>
    <t>Laborer/Machine operator</t>
  </si>
  <si>
    <t>Crew team member for metal panel installation / Operator</t>
  </si>
  <si>
    <t>Skilled Labor / Operator</t>
  </si>
  <si>
    <t>Monthly rate of standard straight 60' Boomlift by United Rentals (2 machines per CLIN)</t>
  </si>
  <si>
    <t>Dumpster</t>
  </si>
  <si>
    <t>Floor Installer</t>
  </si>
  <si>
    <t>Machines Rental</t>
  </si>
  <si>
    <t>Hallway Project USCG Richmond Heights</t>
  </si>
  <si>
    <t>MJ Global</t>
  </si>
  <si>
    <t>USCG CEU - Fish Bowl Hallway</t>
  </si>
  <si>
    <t xml:space="preserve">USCG CEU - Fish Bowl Door Relocation </t>
  </si>
  <si>
    <t>Sub- Door Installer</t>
  </si>
  <si>
    <t>USCG CEU - Clear Impact Door</t>
  </si>
  <si>
    <t>Stucco</t>
  </si>
  <si>
    <t>USCG CEU - Glass Partition  Frosted</t>
  </si>
  <si>
    <t>Acid Etched</t>
  </si>
  <si>
    <t>USCG CEU - Fish Bowl Hallway (525 sq ft )</t>
  </si>
  <si>
    <t>Door Install</t>
  </si>
  <si>
    <t>Opening</t>
  </si>
  <si>
    <t xml:space="preserve">storefront doors silver frame clear </t>
  </si>
  <si>
    <t xml:space="preserve">Stucco </t>
  </si>
  <si>
    <t xml:space="preserve">Floor striper and sander </t>
  </si>
  <si>
    <t xml:space="preserve">MJ Global (sub) </t>
  </si>
  <si>
    <t xml:space="preserve">MJ Global </t>
  </si>
  <si>
    <t xml:space="preserve">Studs, Insulation, drywall, nails, ect. </t>
  </si>
  <si>
    <t>Stucco, Drywall, Paint</t>
  </si>
  <si>
    <t>Labor (finishing)</t>
  </si>
  <si>
    <t>Vertical Blinds Sub</t>
  </si>
  <si>
    <t xml:space="preserve">TOTAL COST </t>
  </si>
  <si>
    <t>USCG CEU - Privacy Mesh Screens</t>
  </si>
  <si>
    <t>USCG CEU - Fishbowl Conference Room Carpet Replacement  450 sqft</t>
  </si>
  <si>
    <t>Deposit made on 2/10: $1,680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</si>
</sst>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00_);\(&quot;$&quot;#,##0.000\)"/>
    <numFmt numFmtId="166" formatCode="0.0000%"/>
  </numFmts>
  <fonts count="7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16"/>
      <name val="Arial"/>
      <family val="2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2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 applyProtection="1">
      <protection locked="0"/>
    </xf>
    <xf numFmtId="2" fontId="2" fillId="2" borderId="0" xfId="0" applyNumberFormat="1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7" fontId="2" fillId="0" borderId="6" xfId="0" applyNumberFormat="1" applyFont="1" applyFill="1" applyBorder="1" applyAlignment="1" applyProtection="1">
      <alignment horizontal="center" vertical="center"/>
      <protection locked="0"/>
    </xf>
    <xf numFmtId="7" fontId="2" fillId="2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vertical="center"/>
      <protection locked="0"/>
    </xf>
    <xf numFmtId="0" fontId="2" fillId="2" borderId="5" xfId="0" applyFont="1" applyFill="1" applyBorder="1" applyAlignment="1" applyProtection="1">
      <alignment vertical="center"/>
      <protection locked="0"/>
    </xf>
    <xf numFmtId="0" fontId="2" fillId="2" borderId="11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7" fontId="2" fillId="0" borderId="18" xfId="0" applyNumberFormat="1" applyFont="1" applyBorder="1" applyAlignment="1" applyProtection="1">
      <alignment horizontal="left"/>
      <protection locked="0"/>
    </xf>
    <xf numFmtId="7" fontId="2" fillId="0" borderId="18" xfId="0" applyNumberFormat="1" applyFont="1" applyFill="1" applyBorder="1" applyAlignment="1" applyProtection="1">
      <alignment horizontal="right"/>
    </xf>
    <xf numFmtId="0" fontId="2" fillId="0" borderId="15" xfId="0" applyNumberFormat="1" applyFont="1" applyFill="1" applyBorder="1" applyAlignment="1">
      <alignment horizontal="center" vertical="center"/>
    </xf>
    <xf numFmtId="7" fontId="2" fillId="0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18" xfId="0" applyFont="1" applyBorder="1" applyAlignment="1" applyProtection="1">
      <alignment horizontal="left"/>
      <protection locked="0"/>
    </xf>
    <xf numFmtId="7" fontId="2" fillId="0" borderId="18" xfId="0" applyNumberFormat="1" applyFont="1" applyFill="1" applyBorder="1" applyAlignment="1" applyProtection="1">
      <alignment horizontal="right"/>
      <protection locked="0"/>
    </xf>
    <xf numFmtId="0" fontId="2" fillId="0" borderId="18" xfId="0" applyFont="1" applyFill="1" applyBorder="1" applyAlignment="1" applyProtection="1">
      <alignment horizontal="left"/>
      <protection locked="0"/>
    </xf>
    <xf numFmtId="0" fontId="2" fillId="0" borderId="19" xfId="0" applyNumberFormat="1" applyFont="1" applyFill="1" applyBorder="1" applyAlignment="1">
      <alignment horizontal="center" vertical="center"/>
    </xf>
    <xf numFmtId="0" fontId="2" fillId="0" borderId="18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7" fontId="2" fillId="3" borderId="18" xfId="0" applyNumberFormat="1" applyFont="1" applyFill="1" applyBorder="1" applyAlignment="1" applyProtection="1">
      <alignment horizontal="right"/>
      <protection locked="0"/>
    </xf>
    <xf numFmtId="0" fontId="2" fillId="3" borderId="19" xfId="0" applyNumberFormat="1" applyFont="1" applyFill="1" applyBorder="1" applyAlignment="1">
      <alignment horizontal="center" vertical="center"/>
    </xf>
    <xf numFmtId="7" fontId="2" fillId="3" borderId="16" xfId="0" applyNumberFormat="1" applyFont="1" applyFill="1" applyBorder="1" applyAlignment="1" applyProtection="1">
      <alignment horizontal="right" vertical="center"/>
      <protection locked="0"/>
    </xf>
    <xf numFmtId="7" fontId="2" fillId="3" borderId="17" xfId="0" applyNumberFormat="1" applyFont="1" applyFill="1" applyBorder="1" applyAlignment="1" applyProtection="1">
      <alignment horizontal="right" vertical="center"/>
      <protection locked="0"/>
    </xf>
    <xf numFmtId="0" fontId="2" fillId="0" borderId="20" xfId="0" applyNumberFormat="1" applyFont="1" applyFill="1" applyBorder="1" applyAlignment="1">
      <alignment horizontal="center" vertical="center"/>
    </xf>
    <xf numFmtId="7" fontId="2" fillId="2" borderId="17" xfId="0" applyNumberFormat="1" applyFont="1" applyFill="1" applyBorder="1" applyAlignment="1" applyProtection="1">
      <alignment horizontal="right" vertical="center"/>
      <protection locked="0"/>
    </xf>
    <xf numFmtId="0" fontId="2" fillId="0" borderId="18" xfId="0" applyFont="1" applyFill="1" applyBorder="1" applyAlignment="1" applyProtection="1">
      <alignment horizontal="left" indent="1"/>
      <protection locked="0"/>
    </xf>
    <xf numFmtId="7" fontId="2" fillId="2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21" xfId="0" applyFont="1" applyFill="1" applyBorder="1" applyAlignment="1">
      <alignment vertical="center"/>
    </xf>
    <xf numFmtId="164" fontId="2" fillId="0" borderId="21" xfId="1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horizontal="center" vertical="center"/>
    </xf>
    <xf numFmtId="7" fontId="2" fillId="0" borderId="22" xfId="0" applyNumberFormat="1" applyFont="1" applyFill="1" applyBorder="1" applyAlignment="1" applyProtection="1">
      <alignment horizontal="right" vertical="center"/>
      <protection locked="0"/>
    </xf>
    <xf numFmtId="0" fontId="2" fillId="0" borderId="47" xfId="0" applyNumberFormat="1" applyFont="1" applyFill="1" applyBorder="1" applyAlignment="1">
      <alignment horizontal="center" vertical="center"/>
    </xf>
    <xf numFmtId="7" fontId="2" fillId="0" borderId="24" xfId="0" applyNumberFormat="1" applyFont="1" applyFill="1" applyBorder="1" applyAlignment="1" applyProtection="1">
      <alignment horizontal="right" vertical="center"/>
      <protection locked="0"/>
    </xf>
    <xf numFmtId="0" fontId="2" fillId="0" borderId="25" xfId="0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horizontal="center" vertical="center"/>
    </xf>
    <xf numFmtId="164" fontId="2" fillId="0" borderId="27" xfId="0" applyNumberFormat="1" applyFont="1" applyFill="1" applyBorder="1" applyAlignment="1">
      <alignment horizontal="right" vertical="center"/>
    </xf>
    <xf numFmtId="164" fontId="2" fillId="0" borderId="30" xfId="0" applyNumberFormat="1" applyFont="1" applyFill="1" applyBorder="1" applyAlignment="1">
      <alignment horizontal="right" vertical="center"/>
    </xf>
    <xf numFmtId="0" fontId="2" fillId="3" borderId="28" xfId="0" applyFont="1" applyFill="1" applyBorder="1" applyAlignment="1">
      <alignment vertical="center"/>
    </xf>
    <xf numFmtId="164" fontId="2" fillId="3" borderId="29" xfId="0" applyNumberFormat="1" applyFont="1" applyFill="1" applyBorder="1" applyAlignment="1" applyProtection="1">
      <alignment vertical="center"/>
      <protection locked="0"/>
    </xf>
    <xf numFmtId="0" fontId="2" fillId="3" borderId="26" xfId="0" applyNumberFormat="1" applyFont="1" applyFill="1" applyBorder="1" applyAlignment="1">
      <alignment horizontal="center" vertical="center"/>
    </xf>
    <xf numFmtId="164" fontId="2" fillId="3" borderId="31" xfId="0" applyNumberFormat="1" applyFont="1" applyFill="1" applyBorder="1" applyAlignment="1">
      <alignment horizontal="right" vertical="center"/>
    </xf>
    <xf numFmtId="164" fontId="2" fillId="3" borderId="30" xfId="0" applyNumberFormat="1" applyFont="1" applyFill="1" applyBorder="1" applyAlignment="1">
      <alignment horizontal="right" vertical="center"/>
    </xf>
    <xf numFmtId="0" fontId="2" fillId="0" borderId="28" xfId="0" applyFont="1" applyFill="1" applyBorder="1" applyAlignment="1">
      <alignment vertical="center"/>
    </xf>
    <xf numFmtId="10" fontId="2" fillId="0" borderId="38" xfId="0" applyNumberFormat="1" applyFont="1" applyFill="1" applyBorder="1" applyAlignment="1" applyProtection="1">
      <alignment vertical="center"/>
      <protection locked="0"/>
    </xf>
    <xf numFmtId="7" fontId="2" fillId="0" borderId="26" xfId="0" applyNumberFormat="1" applyFont="1" applyFill="1" applyBorder="1" applyAlignment="1" applyProtection="1">
      <alignment horizontal="right" vertical="center"/>
      <protection locked="0"/>
    </xf>
    <xf numFmtId="7" fontId="2" fillId="0" borderId="30" xfId="0" applyNumberFormat="1" applyFont="1" applyFill="1" applyBorder="1" applyAlignment="1" applyProtection="1">
      <alignment horizontal="right" vertical="center"/>
      <protection locked="0"/>
    </xf>
    <xf numFmtId="10" fontId="2" fillId="3" borderId="32" xfId="0" applyNumberFormat="1" applyFont="1" applyFill="1" applyBorder="1" applyAlignment="1" applyProtection="1">
      <alignment vertical="center"/>
      <protection locked="0"/>
    </xf>
    <xf numFmtId="0" fontId="2" fillId="3" borderId="33" xfId="0" applyNumberFormat="1" applyFont="1" applyFill="1" applyBorder="1" applyAlignment="1">
      <alignment horizontal="center" vertical="center"/>
    </xf>
    <xf numFmtId="164" fontId="2" fillId="3" borderId="34" xfId="0" applyNumberFormat="1" applyFont="1" applyFill="1" applyBorder="1" applyProtection="1">
      <protection locked="0"/>
    </xf>
    <xf numFmtId="0" fontId="2" fillId="0" borderId="35" xfId="0" applyFont="1" applyFill="1" applyBorder="1" applyAlignment="1" applyProtection="1">
      <alignment vertical="center"/>
      <protection locked="0"/>
    </xf>
    <xf numFmtId="10" fontId="3" fillId="0" borderId="6" xfId="0" applyNumberFormat="1" applyFont="1" applyFill="1" applyBorder="1" applyAlignment="1" applyProtection="1">
      <alignment vertical="center"/>
      <protection locked="0"/>
    </xf>
    <xf numFmtId="3" fontId="2" fillId="0" borderId="36" xfId="0" applyNumberFormat="1" applyFont="1" applyFill="1" applyBorder="1" applyAlignment="1" applyProtection="1">
      <alignment horizontal="center" vertical="center"/>
      <protection locked="0"/>
    </xf>
    <xf numFmtId="7" fontId="2" fillId="0" borderId="37" xfId="0" applyNumberFormat="1" applyFont="1" applyFill="1" applyBorder="1" applyAlignment="1" applyProtection="1">
      <alignment horizontal="right" vertical="center"/>
      <protection locked="0"/>
    </xf>
    <xf numFmtId="0" fontId="2" fillId="3" borderId="35" xfId="0" applyFont="1" applyFill="1" applyBorder="1" applyAlignment="1" applyProtection="1">
      <alignment vertical="center"/>
      <protection locked="0"/>
    </xf>
    <xf numFmtId="7" fontId="2" fillId="3" borderId="35" xfId="0" applyNumberFormat="1" applyFont="1" applyFill="1" applyBorder="1" applyAlignment="1" applyProtection="1">
      <alignment vertical="center"/>
      <protection locked="0"/>
    </xf>
    <xf numFmtId="0" fontId="2" fillId="3" borderId="44" xfId="0" applyFont="1" applyFill="1" applyBorder="1" applyAlignment="1" applyProtection="1">
      <alignment horizontal="center" vertical="center"/>
      <protection locked="0"/>
    </xf>
    <xf numFmtId="7" fontId="2" fillId="3" borderId="45" xfId="0" applyNumberFormat="1" applyFont="1" applyFill="1" applyBorder="1" applyAlignment="1" applyProtection="1">
      <alignment horizontal="right" vertical="center"/>
      <protection locked="0"/>
    </xf>
    <xf numFmtId="0" fontId="2" fillId="0" borderId="14" xfId="0" applyFont="1" applyFill="1" applyBorder="1" applyAlignment="1" applyProtection="1">
      <alignment vertical="center"/>
      <protection locked="0"/>
    </xf>
    <xf numFmtId="165" fontId="2" fillId="0" borderId="50" xfId="0" applyNumberFormat="1" applyFont="1" applyFill="1" applyBorder="1" applyAlignment="1" applyProtection="1">
      <alignment vertical="center"/>
      <protection locked="0"/>
    </xf>
    <xf numFmtId="0" fontId="2" fillId="0" borderId="39" xfId="0" applyFont="1" applyFill="1" applyBorder="1" applyAlignment="1" applyProtection="1">
      <alignment horizontal="center" vertical="center"/>
      <protection locked="0"/>
    </xf>
    <xf numFmtId="0" fontId="2" fillId="0" borderId="38" xfId="0" applyFont="1" applyBorder="1" applyAlignment="1">
      <alignment horizontal="left" indent="1"/>
    </xf>
    <xf numFmtId="164" fontId="2" fillId="0" borderId="25" xfId="0" applyNumberFormat="1" applyFont="1" applyBorder="1"/>
    <xf numFmtId="0" fontId="2" fillId="0" borderId="29" xfId="0" applyFont="1" applyBorder="1" applyAlignment="1">
      <alignment horizontal="left" indent="1"/>
    </xf>
    <xf numFmtId="164" fontId="2" fillId="0" borderId="28" xfId="0" applyNumberFormat="1" applyFont="1" applyBorder="1"/>
    <xf numFmtId="0" fontId="2" fillId="0" borderId="10" xfId="0" applyFont="1" applyFill="1" applyBorder="1" applyAlignment="1" applyProtection="1">
      <alignment horizontal="center" vertical="center"/>
      <protection locked="0"/>
    </xf>
    <xf numFmtId="7" fontId="2" fillId="2" borderId="42" xfId="0" applyNumberFormat="1" applyFont="1" applyFill="1" applyBorder="1" applyAlignment="1" applyProtection="1">
      <alignment horizontal="right" vertical="center"/>
      <protection locked="0"/>
    </xf>
    <xf numFmtId="0" fontId="3" fillId="4" borderId="49" xfId="0" applyFont="1" applyFill="1" applyBorder="1"/>
    <xf numFmtId="43" fontId="2" fillId="4" borderId="35" xfId="0" applyNumberFormat="1" applyFont="1" applyFill="1" applyBorder="1"/>
    <xf numFmtId="0" fontId="2" fillId="4" borderId="44" xfId="0" applyFont="1" applyFill="1" applyBorder="1" applyAlignment="1" applyProtection="1">
      <alignment horizontal="center" vertical="center"/>
      <protection locked="0"/>
    </xf>
    <xf numFmtId="7" fontId="2" fillId="4" borderId="45" xfId="0" applyNumberFormat="1" applyFont="1" applyFill="1" applyBorder="1" applyAlignment="1" applyProtection="1">
      <alignment horizontal="right" vertical="center"/>
      <protection locked="0"/>
    </xf>
    <xf numFmtId="2" fontId="2" fillId="4" borderId="44" xfId="0" applyNumberFormat="1" applyFont="1" applyFill="1" applyBorder="1" applyAlignment="1" applyProtection="1">
      <alignment horizontal="center" vertical="center"/>
      <protection locked="0"/>
    </xf>
    <xf numFmtId="43" fontId="2" fillId="0" borderId="25" xfId="0" applyNumberFormat="1" applyFont="1" applyBorder="1"/>
    <xf numFmtId="0" fontId="2" fillId="5" borderId="35" xfId="0" applyFont="1" applyFill="1" applyBorder="1" applyAlignment="1" applyProtection="1">
      <alignment vertical="center"/>
      <protection locked="0"/>
    </xf>
    <xf numFmtId="7" fontId="2" fillId="5" borderId="48" xfId="0" applyNumberFormat="1" applyFont="1" applyFill="1" applyBorder="1" applyAlignment="1" applyProtection="1">
      <alignment vertical="center"/>
      <protection locked="0"/>
    </xf>
    <xf numFmtId="1" fontId="2" fillId="5" borderId="44" xfId="0" applyNumberFormat="1" applyFont="1" applyFill="1" applyBorder="1" applyAlignment="1" applyProtection="1">
      <alignment horizontal="center" vertical="center"/>
      <protection locked="0"/>
    </xf>
    <xf numFmtId="7" fontId="2" fillId="5" borderId="45" xfId="0" applyNumberFormat="1" applyFont="1" applyFill="1" applyBorder="1" applyAlignment="1" applyProtection="1">
      <alignment horizontal="right" vertical="center"/>
      <protection locked="0"/>
    </xf>
    <xf numFmtId="2" fontId="2" fillId="5" borderId="44" xfId="0" applyNumberFormat="1" applyFont="1" applyFill="1" applyBorder="1" applyAlignment="1" applyProtection="1">
      <alignment horizontal="center" vertical="center"/>
      <protection locked="0"/>
    </xf>
    <xf numFmtId="0" fontId="2" fillId="0" borderId="14" xfId="0" applyFont="1" applyFill="1" applyBorder="1" applyAlignment="1" applyProtection="1">
      <alignment vertical="center" wrapText="1"/>
      <protection locked="0"/>
    </xf>
    <xf numFmtId="7" fontId="2" fillId="0" borderId="50" xfId="0" applyNumberFormat="1" applyFont="1" applyFill="1" applyBorder="1" applyAlignment="1" applyProtection="1">
      <alignment vertical="center"/>
      <protection locked="0"/>
    </xf>
    <xf numFmtId="0" fontId="2" fillId="0" borderId="4" xfId="0" applyFont="1" applyFill="1" applyBorder="1" applyAlignment="1" applyProtection="1">
      <alignment vertical="center" wrapText="1"/>
      <protection locked="0"/>
    </xf>
    <xf numFmtId="7" fontId="2" fillId="0" borderId="5" xfId="0" applyNumberFormat="1" applyFont="1" applyFill="1" applyBorder="1" applyAlignment="1" applyProtection="1">
      <alignment vertical="center"/>
      <protection locked="0"/>
    </xf>
    <xf numFmtId="0" fontId="2" fillId="0" borderId="46" xfId="0" applyFont="1" applyFill="1" applyBorder="1" applyAlignment="1" applyProtection="1">
      <alignment horizontal="left" vertical="center" wrapText="1" indent="1"/>
      <protection locked="0"/>
    </xf>
    <xf numFmtId="7" fontId="2" fillId="0" borderId="40" xfId="0" applyNumberFormat="1" applyFont="1" applyFill="1" applyBorder="1" applyAlignment="1" applyProtection="1">
      <alignment vertical="center"/>
      <protection locked="0"/>
    </xf>
    <xf numFmtId="7" fontId="2" fillId="0" borderId="42" xfId="0" applyNumberFormat="1" applyFont="1" applyFill="1" applyBorder="1" applyAlignment="1" applyProtection="1">
      <alignment horizontal="right" vertical="center"/>
      <protection locked="0"/>
    </xf>
    <xf numFmtId="2" fontId="2" fillId="0" borderId="10" xfId="0" applyNumberFormat="1" applyFont="1" applyFill="1" applyBorder="1" applyAlignment="1" applyProtection="1">
      <alignment horizontal="center" vertical="center"/>
      <protection locked="0"/>
    </xf>
    <xf numFmtId="7" fontId="2" fillId="0" borderId="16" xfId="0" applyNumberFormat="1" applyFont="1" applyFill="1" applyBorder="1" applyAlignment="1" applyProtection="1">
      <alignment vertical="center"/>
      <protection locked="0"/>
    </xf>
    <xf numFmtId="0" fontId="2" fillId="0" borderId="0" xfId="0" applyFont="1" applyFill="1" applyProtection="1">
      <protection locked="0"/>
    </xf>
    <xf numFmtId="164" fontId="0" fillId="0" borderId="0" xfId="0" applyNumberFormat="1"/>
    <xf numFmtId="9" fontId="2" fillId="0" borderId="0" xfId="0" applyNumberFormat="1" applyFont="1" applyFill="1" applyProtection="1">
      <protection locked="0"/>
    </xf>
    <xf numFmtId="43" fontId="2" fillId="0" borderId="25" xfId="0" applyNumberFormat="1" applyFont="1" applyBorder="1" applyAlignment="1">
      <alignment vertical="center"/>
    </xf>
    <xf numFmtId="7" fontId="0" fillId="0" borderId="0" xfId="0" applyNumberFormat="1"/>
    <xf numFmtId="0" fontId="2" fillId="0" borderId="51" xfId="0" applyFont="1" applyBorder="1" applyAlignment="1">
      <alignment horizontal="left" wrapText="1"/>
    </xf>
    <xf numFmtId="0" fontId="2" fillId="0" borderId="38" xfId="0" applyFont="1" applyBorder="1" applyAlignment="1">
      <alignment horizontal="left"/>
    </xf>
    <xf numFmtId="0" fontId="2" fillId="7" borderId="38" xfId="0" applyFont="1" applyFill="1" applyBorder="1" applyAlignment="1">
      <alignment horizontal="left"/>
    </xf>
    <xf numFmtId="0" fontId="2" fillId="0" borderId="38" xfId="0" applyFont="1" applyBorder="1" applyAlignment="1">
      <alignment horizontal="left" vertical="center" wrapText="1"/>
    </xf>
    <xf numFmtId="0" fontId="2" fillId="6" borderId="1" xfId="0" applyFont="1" applyFill="1" applyBorder="1" applyAlignment="1" applyProtection="1">
      <alignment horizontal="left" vertical="center"/>
      <protection locked="0"/>
    </xf>
    <xf numFmtId="7" fontId="2" fillId="6" borderId="3" xfId="0" applyNumberFormat="1" applyFont="1" applyFill="1" applyBorder="1" applyAlignment="1" applyProtection="1">
      <alignment vertical="center"/>
      <protection locked="0"/>
    </xf>
    <xf numFmtId="0" fontId="2" fillId="6" borderId="11" xfId="0" applyFont="1" applyFill="1" applyBorder="1" applyAlignment="1" applyProtection="1">
      <alignment horizontal="center" vertical="center"/>
      <protection locked="0"/>
    </xf>
    <xf numFmtId="7" fontId="2" fillId="6" borderId="53" xfId="0" applyNumberFormat="1" applyFont="1" applyFill="1" applyBorder="1" applyAlignment="1" applyProtection="1">
      <alignment horizontal="right" vertical="center"/>
      <protection locked="0"/>
    </xf>
    <xf numFmtId="2" fontId="2" fillId="6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54" xfId="0" applyNumberFormat="1" applyFont="1" applyFill="1" applyBorder="1" applyAlignment="1" applyProtection="1">
      <alignment vertical="center" wrapText="1"/>
      <protection locked="0"/>
    </xf>
    <xf numFmtId="0" fontId="2" fillId="0" borderId="54" xfId="0" applyFont="1" applyFill="1" applyBorder="1" applyAlignment="1" applyProtection="1">
      <alignment horizontal="center" vertical="center"/>
      <protection locked="0"/>
    </xf>
    <xf numFmtId="7" fontId="2" fillId="0" borderId="54" xfId="0" applyNumberFormat="1" applyFont="1" applyFill="1" applyBorder="1" applyAlignment="1" applyProtection="1">
      <alignment horizontal="right" vertical="center"/>
      <protection locked="0"/>
    </xf>
    <xf numFmtId="1" fontId="2" fillId="0" borderId="54" xfId="0" applyNumberFormat="1" applyFont="1" applyFill="1" applyBorder="1" applyAlignment="1" applyProtection="1">
      <alignment horizontal="center" vertical="center"/>
      <protection locked="0"/>
    </xf>
    <xf numFmtId="49" fontId="2" fillId="0" borderId="54" xfId="0" applyNumberFormat="1" applyFont="1" applyFill="1" applyBorder="1" applyAlignment="1" applyProtection="1">
      <alignment vertical="center"/>
      <protection locked="0"/>
    </xf>
    <xf numFmtId="7" fontId="2" fillId="0" borderId="54" xfId="0" applyNumberFormat="1" applyFont="1" applyFill="1" applyBorder="1" applyAlignment="1" applyProtection="1">
      <alignment vertical="center"/>
      <protection locked="0"/>
    </xf>
    <xf numFmtId="49" fontId="2" fillId="0" borderId="54" xfId="0" applyNumberFormat="1" applyFont="1" applyBorder="1"/>
    <xf numFmtId="49" fontId="2" fillId="0" borderId="54" xfId="0" applyNumberFormat="1" applyFont="1" applyBorder="1" applyAlignment="1"/>
    <xf numFmtId="0" fontId="2" fillId="0" borderId="55" xfId="0" applyFont="1" applyFill="1" applyBorder="1" applyAlignment="1" applyProtection="1">
      <alignment horizontal="center" vertical="center"/>
      <protection locked="0"/>
    </xf>
    <xf numFmtId="7" fontId="2" fillId="0" borderId="55" xfId="0" applyNumberFormat="1" applyFont="1" applyFill="1" applyBorder="1" applyAlignment="1" applyProtection="1">
      <alignment horizontal="right" vertical="center"/>
      <protection locked="0"/>
    </xf>
    <xf numFmtId="44" fontId="0" fillId="0" borderId="0" xfId="2" applyFont="1"/>
    <xf numFmtId="44" fontId="0" fillId="0" borderId="0" xfId="2" applyFont="1" applyAlignment="1"/>
    <xf numFmtId="7" fontId="0" fillId="0" borderId="0" xfId="2" applyNumberFormat="1" applyFont="1"/>
    <xf numFmtId="164" fontId="0" fillId="0" borderId="0" xfId="2" applyNumberFormat="1" applyFont="1"/>
    <xf numFmtId="0" fontId="2" fillId="0" borderId="58" xfId="0" applyFont="1" applyFill="1" applyBorder="1" applyAlignment="1" applyProtection="1">
      <alignment horizontal="center" vertical="center"/>
      <protection locked="0"/>
    </xf>
    <xf numFmtId="7" fontId="2" fillId="0" borderId="58" xfId="0" applyNumberFormat="1" applyFont="1" applyFill="1" applyBorder="1" applyAlignment="1" applyProtection="1">
      <alignment horizontal="right" vertical="center"/>
      <protection locked="0"/>
    </xf>
    <xf numFmtId="49" fontId="2" fillId="0" borderId="46" xfId="0" applyNumberFormat="1" applyFont="1" applyBorder="1" applyAlignment="1"/>
    <xf numFmtId="164" fontId="2" fillId="0" borderId="46" xfId="0" applyNumberFormat="1" applyFont="1" applyFill="1" applyBorder="1" applyAlignment="1" applyProtection="1">
      <alignment vertical="center"/>
      <protection locked="0"/>
    </xf>
    <xf numFmtId="7" fontId="2" fillId="0" borderId="42" xfId="0" applyNumberFormat="1" applyFont="1" applyFill="1" applyBorder="1" applyAlignment="1" applyProtection="1">
      <alignment vertical="center"/>
      <protection locked="0"/>
    </xf>
    <xf numFmtId="1" fontId="2" fillId="0" borderId="59" xfId="0" applyNumberFormat="1" applyFont="1" applyFill="1" applyBorder="1" applyAlignment="1" applyProtection="1">
      <alignment horizontal="center" vertical="center"/>
      <protection locked="0"/>
    </xf>
    <xf numFmtId="0" fontId="2" fillId="0" borderId="54" xfId="0" applyFont="1" applyFill="1" applyBorder="1" applyAlignment="1" applyProtection="1">
      <alignment vertical="center"/>
      <protection locked="0"/>
    </xf>
    <xf numFmtId="10" fontId="2" fillId="0" borderId="54" xfId="0" applyNumberFormat="1" applyFont="1" applyFill="1" applyBorder="1" applyAlignment="1" applyProtection="1">
      <alignment vertical="center"/>
      <protection locked="0"/>
    </xf>
    <xf numFmtId="0" fontId="2" fillId="0" borderId="41" xfId="0" applyFont="1" applyFill="1" applyBorder="1" applyAlignment="1" applyProtection="1">
      <alignment vertical="center"/>
      <protection locked="0"/>
    </xf>
    <xf numFmtId="0" fontId="2" fillId="0" borderId="55" xfId="0" applyFont="1" applyFill="1" applyBorder="1" applyAlignment="1" applyProtection="1">
      <alignment vertical="center"/>
      <protection locked="0"/>
    </xf>
    <xf numFmtId="0" fontId="2" fillId="0" borderId="26" xfId="0" applyFont="1" applyFill="1" applyBorder="1" applyAlignment="1" applyProtection="1">
      <alignment vertical="center"/>
      <protection locked="0"/>
    </xf>
    <xf numFmtId="0" fontId="2" fillId="0" borderId="57" xfId="0" applyFont="1" applyFill="1" applyBorder="1" applyAlignment="1" applyProtection="1">
      <alignment vertical="center"/>
      <protection locked="0"/>
    </xf>
    <xf numFmtId="10" fontId="2" fillId="0" borderId="58" xfId="0" applyNumberFormat="1" applyFont="1" applyFill="1" applyBorder="1" applyAlignment="1" applyProtection="1">
      <alignment vertical="center"/>
      <protection locked="0"/>
    </xf>
    <xf numFmtId="10" fontId="2" fillId="3" borderId="54" xfId="0" applyNumberFormat="1" applyFont="1" applyFill="1" applyBorder="1" applyAlignment="1" applyProtection="1">
      <alignment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7" fontId="2" fillId="3" borderId="54" xfId="0" applyNumberFormat="1" applyFont="1" applyFill="1" applyBorder="1" applyAlignment="1" applyProtection="1">
      <alignment horizontal="right" vertical="center"/>
      <protection locked="0"/>
    </xf>
    <xf numFmtId="5" fontId="2" fillId="0" borderId="54" xfId="0" applyNumberFormat="1" applyFont="1" applyFill="1" applyBorder="1" applyAlignment="1" applyProtection="1">
      <alignment horizontal="right" vertical="center"/>
      <protection locked="0"/>
    </xf>
    <xf numFmtId="5" fontId="2" fillId="0" borderId="54" xfId="0" applyNumberFormat="1" applyFont="1" applyFill="1" applyBorder="1" applyAlignment="1" applyProtection="1">
      <alignment horizontal="center" vertical="center"/>
      <protection locked="0"/>
    </xf>
    <xf numFmtId="0" fontId="2" fillId="0" borderId="54" xfId="0" applyFont="1" applyFill="1" applyBorder="1" applyAlignment="1" applyProtection="1">
      <alignment horizontal="center"/>
      <protection locked="0"/>
    </xf>
    <xf numFmtId="164" fontId="2" fillId="0" borderId="54" xfId="0" applyNumberFormat="1" applyFont="1" applyFill="1" applyBorder="1" applyAlignment="1" applyProtection="1">
      <alignment horizontal="right"/>
      <protection locked="0"/>
    </xf>
    <xf numFmtId="164" fontId="2" fillId="0" borderId="54" xfId="0" applyNumberFormat="1" applyFont="1" applyFill="1" applyBorder="1" applyProtection="1">
      <protection locked="0"/>
    </xf>
    <xf numFmtId="10" fontId="2" fillId="0" borderId="54" xfId="0" applyNumberFormat="1" applyFont="1" applyFill="1" applyBorder="1" applyAlignment="1" applyProtection="1">
      <alignment horizontal="right"/>
      <protection locked="0"/>
    </xf>
    <xf numFmtId="0" fontId="2" fillId="0" borderId="54" xfId="0" applyFont="1" applyFill="1" applyBorder="1" applyProtection="1">
      <protection locked="0"/>
    </xf>
    <xf numFmtId="164" fontId="2" fillId="0" borderId="54" xfId="0" applyNumberFormat="1" applyFont="1" applyFill="1" applyBorder="1" applyAlignment="1" applyProtection="1">
      <alignment horizontal="center"/>
      <protection locked="0"/>
    </xf>
    <xf numFmtId="10" fontId="2" fillId="0" borderId="54" xfId="0" applyNumberFormat="1" applyFont="1" applyFill="1" applyBorder="1" applyProtection="1">
      <protection locked="0"/>
    </xf>
    <xf numFmtId="0" fontId="3" fillId="0" borderId="55" xfId="0" applyFont="1" applyFill="1" applyBorder="1" applyAlignment="1" applyProtection="1">
      <alignment vertical="center"/>
      <protection locked="0"/>
    </xf>
    <xf numFmtId="0" fontId="2" fillId="3" borderId="26" xfId="0" applyFont="1" applyFill="1" applyBorder="1" applyAlignment="1" applyProtection="1">
      <alignment vertical="center"/>
      <protection locked="0"/>
    </xf>
    <xf numFmtId="0" fontId="2" fillId="0" borderId="26" xfId="0" applyFont="1" applyFill="1" applyBorder="1" applyAlignment="1" applyProtection="1">
      <protection locked="0"/>
    </xf>
    <xf numFmtId="0" fontId="2" fillId="0" borderId="26" xfId="0" applyFont="1" applyFill="1" applyBorder="1" applyProtection="1">
      <protection locked="0"/>
    </xf>
    <xf numFmtId="0" fontId="3" fillId="0" borderId="26" xfId="0" applyFont="1" applyFill="1" applyBorder="1" applyProtection="1">
      <protection locked="0"/>
    </xf>
    <xf numFmtId="0" fontId="2" fillId="0" borderId="57" xfId="0" applyFont="1" applyFill="1" applyBorder="1" applyProtection="1">
      <protection locked="0"/>
    </xf>
    <xf numFmtId="0" fontId="2" fillId="0" borderId="58" xfId="0" applyFont="1" applyFill="1" applyBorder="1" applyProtection="1">
      <protection locked="0"/>
    </xf>
    <xf numFmtId="164" fontId="2" fillId="0" borderId="58" xfId="0" applyNumberFormat="1" applyFont="1" applyFill="1" applyBorder="1" applyProtection="1">
      <protection locked="0"/>
    </xf>
    <xf numFmtId="2" fontId="2" fillId="0" borderId="58" xfId="0" applyNumberFormat="1" applyFont="1" applyFill="1" applyBorder="1" applyProtection="1">
      <protection locked="0"/>
    </xf>
    <xf numFmtId="0" fontId="2" fillId="0" borderId="41" xfId="0" applyFont="1" applyFill="1" applyBorder="1" applyProtection="1">
      <protection locked="0"/>
    </xf>
    <xf numFmtId="166" fontId="2" fillId="0" borderId="55" xfId="0" applyNumberFormat="1" applyFont="1" applyBorder="1"/>
    <xf numFmtId="0" fontId="2" fillId="0" borderId="55" xfId="0" applyFont="1" applyBorder="1"/>
    <xf numFmtId="164" fontId="2" fillId="0" borderId="55" xfId="0" applyNumberFormat="1" applyFont="1" applyBorder="1"/>
    <xf numFmtId="0" fontId="3" fillId="0" borderId="33" xfId="0" applyFont="1" applyBorder="1"/>
    <xf numFmtId="9" fontId="2" fillId="0" borderId="56" xfId="0" applyNumberFormat="1" applyFont="1" applyBorder="1"/>
    <xf numFmtId="0" fontId="2" fillId="0" borderId="56" xfId="0" applyFont="1" applyBorder="1"/>
    <xf numFmtId="164" fontId="2" fillId="0" borderId="56" xfId="0" applyNumberFormat="1" applyFont="1" applyBorder="1"/>
    <xf numFmtId="164" fontId="1" fillId="0" borderId="0" xfId="0" applyNumberFormat="1" applyFont="1"/>
    <xf numFmtId="0" fontId="2" fillId="0" borderId="0" xfId="0" applyFont="1" applyFill="1" applyBorder="1" applyAlignment="1" applyProtection="1">
      <alignment vertical="center" wrapText="1"/>
      <protection locked="0"/>
    </xf>
    <xf numFmtId="164" fontId="2" fillId="0" borderId="54" xfId="2" applyNumberFormat="1" applyFont="1" applyFill="1" applyBorder="1" applyAlignment="1" applyProtection="1">
      <alignment horizontal="right"/>
      <protection locked="0"/>
    </xf>
    <xf numFmtId="164" fontId="2" fillId="0" borderId="54" xfId="2" applyNumberFormat="1" applyFont="1" applyFill="1" applyBorder="1" applyAlignment="1" applyProtection="1">
      <alignment horizontal="center"/>
      <protection locked="0"/>
    </xf>
    <xf numFmtId="0" fontId="2" fillId="7" borderId="14" xfId="0" applyFont="1" applyFill="1" applyBorder="1" applyAlignment="1" applyProtection="1">
      <alignment vertical="center" wrapText="1"/>
      <protection locked="0"/>
    </xf>
    <xf numFmtId="7" fontId="2" fillId="7" borderId="50" xfId="0" applyNumberFormat="1" applyFont="1" applyFill="1" applyBorder="1" applyAlignment="1" applyProtection="1">
      <alignment vertical="center"/>
      <protection locked="0"/>
    </xf>
    <xf numFmtId="1" fontId="2" fillId="7" borderId="39" xfId="0" applyNumberFormat="1" applyFont="1" applyFill="1" applyBorder="1" applyAlignment="1" applyProtection="1">
      <alignment horizontal="center" vertical="center"/>
      <protection locked="0"/>
    </xf>
    <xf numFmtId="7" fontId="2" fillId="7" borderId="16" xfId="0" applyNumberFormat="1" applyFont="1" applyFill="1" applyBorder="1" applyAlignment="1" applyProtection="1">
      <alignment horizontal="right" vertical="center"/>
      <protection locked="0"/>
    </xf>
    <xf numFmtId="0" fontId="2" fillId="7" borderId="39" xfId="0" applyFont="1" applyFill="1" applyBorder="1" applyAlignment="1" applyProtection="1">
      <alignment horizontal="center" vertical="center"/>
      <protection locked="0"/>
    </xf>
    <xf numFmtId="164" fontId="1" fillId="7" borderId="0" xfId="0" applyNumberFormat="1" applyFont="1" applyFill="1"/>
    <xf numFmtId="49" fontId="2" fillId="0" borderId="7" xfId="0" applyNumberFormat="1" applyFont="1" applyFill="1" applyBorder="1" applyAlignment="1" applyProtection="1">
      <alignment vertical="center" wrapText="1"/>
      <protection locked="0"/>
    </xf>
    <xf numFmtId="49" fontId="2" fillId="0" borderId="5" xfId="0" applyNumberFormat="1" applyFont="1" applyFill="1" applyBorder="1" applyAlignment="1" applyProtection="1">
      <alignment vertical="center" wrapText="1"/>
      <protection locked="0"/>
    </xf>
    <xf numFmtId="49" fontId="2" fillId="0" borderId="15" xfId="0" applyNumberFormat="1" applyFont="1" applyFill="1" applyBorder="1" applyAlignment="1" applyProtection="1">
      <alignment vertical="center" wrapText="1"/>
      <protection locked="0"/>
    </xf>
    <xf numFmtId="49" fontId="2" fillId="0" borderId="50" xfId="0" applyNumberFormat="1" applyFont="1" applyFill="1" applyBorder="1" applyAlignment="1" applyProtection="1">
      <alignment vertical="center" wrapText="1"/>
      <protection locked="0"/>
    </xf>
    <xf numFmtId="44" fontId="2" fillId="0" borderId="54" xfId="2" applyNumberFormat="1" applyFont="1" applyFill="1" applyBorder="1" applyAlignment="1" applyProtection="1">
      <alignment vertical="center" wrapText="1"/>
      <protection locked="0"/>
    </xf>
    <xf numFmtId="164" fontId="0" fillId="0" borderId="0" xfId="0" applyNumberFormat="1" applyAlignment="1">
      <alignment horizontal="left"/>
    </xf>
    <xf numFmtId="44" fontId="2" fillId="0" borderId="0" xfId="2" applyFont="1"/>
    <xf numFmtId="164" fontId="0" fillId="0" borderId="0" xfId="0" applyNumberFormat="1" applyAlignment="1">
      <alignment wrapText="1"/>
    </xf>
    <xf numFmtId="7" fontId="0" fillId="0" borderId="0" xfId="0" applyNumberFormat="1" applyAlignment="1">
      <alignment wrapText="1"/>
    </xf>
    <xf numFmtId="7" fontId="0" fillId="7" borderId="0" xfId="0" applyNumberFormat="1" applyFill="1" applyAlignment="1">
      <alignment wrapText="1"/>
    </xf>
    <xf numFmtId="43" fontId="2" fillId="0" borderId="52" xfId="0" applyNumberFormat="1" applyFont="1" applyBorder="1" applyAlignment="1">
      <alignment vertical="center"/>
    </xf>
    <xf numFmtId="7" fontId="2" fillId="0" borderId="18" xfId="0" applyNumberFormat="1" applyFont="1" applyFill="1" applyBorder="1" applyAlignment="1" applyProtection="1">
      <alignment horizontal="right" vertical="center"/>
      <protection locked="0"/>
    </xf>
    <xf numFmtId="0" fontId="5" fillId="0" borderId="0" xfId="0" applyFont="1" applyAlignment="1">
      <alignment horizontal="center"/>
    </xf>
    <xf numFmtId="0" fontId="2" fillId="0" borderId="21" xfId="0" applyFont="1" applyFill="1" applyBorder="1" applyAlignment="1" applyProtection="1">
      <alignment vertical="center" wrapText="1"/>
      <protection locked="0"/>
    </xf>
    <xf numFmtId="164" fontId="6" fillId="8" borderId="35" xfId="0" applyNumberFormat="1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7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7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14" fontId="2" fillId="0" borderId="43" xfId="0" applyNumberFormat="1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center" vertical="center"/>
      <protection locked="0"/>
    </xf>
    <xf numFmtId="0" fontId="2" fillId="0" borderId="43" xfId="0" applyFont="1" applyFill="1" applyBorder="1" applyAlignment="1" applyProtection="1">
      <alignment horizontal="center" vertical="center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215A-73A8-5B49-8CEB-F094C8AFB008}">
  <sheetPr>
    <pageSetUpPr fitToPage="1"/>
  </sheetPr>
  <dimension ref="A1:AE149"/>
  <sheetViews>
    <sheetView topLeftCell="A14" zoomScaleNormal="100" workbookViewId="0">
      <selection activeCell="B49" sqref="B49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22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197" t="s">
        <v>98</v>
      </c>
      <c r="B2" s="7"/>
      <c r="C2" s="193" t="s">
        <v>75</v>
      </c>
      <c r="D2" s="194"/>
      <c r="E2" s="193" t="s">
        <v>22</v>
      </c>
      <c r="F2" s="194"/>
      <c r="G2" s="193" t="s">
        <v>23</v>
      </c>
      <c r="H2" s="194"/>
      <c r="I2" s="193" t="s">
        <v>24</v>
      </c>
      <c r="J2" s="194"/>
      <c r="K2" s="193" t="s">
        <v>25</v>
      </c>
      <c r="L2" s="194"/>
      <c r="M2" s="193" t="s">
        <v>26</v>
      </c>
      <c r="N2" s="194"/>
      <c r="O2" s="193" t="s">
        <v>27</v>
      </c>
      <c r="P2" s="194"/>
      <c r="Q2" s="193" t="s">
        <v>28</v>
      </c>
      <c r="R2" s="194"/>
      <c r="S2" s="193" t="s">
        <v>29</v>
      </c>
      <c r="T2" s="194"/>
      <c r="U2" s="193" t="s">
        <v>21</v>
      </c>
      <c r="V2" s="194"/>
      <c r="W2" s="193" t="s">
        <v>40</v>
      </c>
      <c r="X2" s="194"/>
      <c r="Y2" s="193" t="s">
        <v>41</v>
      </c>
      <c r="Z2" s="194"/>
    </row>
    <row r="3" spans="1:28" ht="45.75" customHeight="1" thickBot="1" x14ac:dyDescent="0.2">
      <c r="A3" s="198"/>
      <c r="B3" s="8" t="s">
        <v>0</v>
      </c>
      <c r="C3" s="195"/>
      <c r="D3" s="196"/>
      <c r="E3" s="195"/>
      <c r="F3" s="196"/>
      <c r="G3" s="195"/>
      <c r="H3" s="196"/>
      <c r="I3" s="195"/>
      <c r="J3" s="196"/>
      <c r="K3" s="195"/>
      <c r="L3" s="196"/>
      <c r="M3" s="195"/>
      <c r="N3" s="196"/>
      <c r="O3" s="195"/>
      <c r="P3" s="196"/>
      <c r="Q3" s="195"/>
      <c r="R3" s="196"/>
      <c r="S3" s="195"/>
      <c r="T3" s="196"/>
      <c r="U3" s="195"/>
      <c r="V3" s="196"/>
      <c r="W3" s="195"/>
      <c r="X3" s="196"/>
      <c r="Y3" s="195"/>
      <c r="Z3" s="196"/>
    </row>
    <row r="4" spans="1:28" ht="19" thickBot="1" x14ac:dyDescent="0.2">
      <c r="A4" s="192">
        <f>D113</f>
        <v>3136.9295729859996</v>
      </c>
      <c r="B4" s="8" t="s">
        <v>0</v>
      </c>
      <c r="C4" s="195"/>
      <c r="D4" s="196"/>
      <c r="E4" s="195"/>
      <c r="F4" s="196"/>
      <c r="G4" s="195"/>
      <c r="H4" s="196"/>
      <c r="I4" s="195"/>
      <c r="J4" s="196"/>
      <c r="K4" s="195"/>
      <c r="L4" s="196"/>
      <c r="M4" s="195"/>
      <c r="N4" s="196"/>
      <c r="O4" s="195"/>
      <c r="P4" s="196"/>
      <c r="Q4" s="195"/>
      <c r="R4" s="196"/>
      <c r="S4" s="195"/>
      <c r="T4" s="196"/>
      <c r="U4" s="195"/>
      <c r="V4" s="196"/>
      <c r="W4" s="195"/>
      <c r="X4" s="196"/>
      <c r="Y4" s="195"/>
      <c r="Z4" s="196"/>
    </row>
    <row r="5" spans="1:28" ht="21.75" customHeight="1" thickBot="1" x14ac:dyDescent="0.2">
      <c r="A5" s="9"/>
      <c r="B5" s="8" t="s">
        <v>0</v>
      </c>
      <c r="C5" s="195"/>
      <c r="D5" s="196"/>
      <c r="E5" s="195"/>
      <c r="F5" s="196"/>
      <c r="G5" s="195"/>
      <c r="H5" s="196"/>
      <c r="I5" s="195"/>
      <c r="J5" s="196"/>
      <c r="K5" s="195"/>
      <c r="L5" s="196"/>
      <c r="M5" s="195"/>
      <c r="N5" s="196"/>
      <c r="O5" s="195"/>
      <c r="P5" s="196"/>
      <c r="Q5" s="195"/>
      <c r="R5" s="196"/>
      <c r="S5" s="195"/>
      <c r="T5" s="196"/>
      <c r="U5" s="195"/>
      <c r="V5" s="196"/>
      <c r="W5" s="195"/>
      <c r="X5" s="196"/>
      <c r="Y5" s="195"/>
      <c r="Z5" s="196"/>
    </row>
    <row r="6" spans="1:28" ht="15" thickBot="1" x14ac:dyDescent="0.2">
      <c r="A6" s="10" t="s">
        <v>76</v>
      </c>
      <c r="B6" s="11" t="s">
        <v>0</v>
      </c>
      <c r="C6" s="199" t="s">
        <v>18</v>
      </c>
      <c r="D6" s="200"/>
      <c r="E6" s="199" t="s">
        <v>18</v>
      </c>
      <c r="F6" s="200"/>
      <c r="G6" s="199" t="s">
        <v>18</v>
      </c>
      <c r="H6" s="200"/>
      <c r="I6" s="201" t="s">
        <v>18</v>
      </c>
      <c r="J6" s="200"/>
      <c r="K6" s="201" t="s">
        <v>18</v>
      </c>
      <c r="L6" s="200"/>
      <c r="M6" s="199" t="s">
        <v>18</v>
      </c>
      <c r="N6" s="200"/>
      <c r="O6" s="199" t="s">
        <v>18</v>
      </c>
      <c r="P6" s="200"/>
      <c r="Q6" s="199" t="s">
        <v>18</v>
      </c>
      <c r="R6" s="200"/>
      <c r="S6" s="199" t="s">
        <v>18</v>
      </c>
      <c r="T6" s="200"/>
      <c r="U6" s="199" t="s">
        <v>18</v>
      </c>
      <c r="V6" s="200"/>
      <c r="W6" s="199" t="s">
        <v>18</v>
      </c>
      <c r="X6" s="200"/>
      <c r="Y6" s="199" t="s">
        <v>18</v>
      </c>
      <c r="Z6" s="200"/>
    </row>
    <row r="7" spans="1:28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8" ht="21" thickBot="1" x14ac:dyDescent="0.25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  <c r="AB8" s="190"/>
    </row>
    <row r="9" spans="1:28" ht="14" x14ac:dyDescent="0.15">
      <c r="A9" s="21" t="s">
        <v>47</v>
      </c>
      <c r="B9" s="22">
        <v>37</v>
      </c>
      <c r="C9" s="23">
        <v>4</v>
      </c>
      <c r="D9" s="24">
        <f>C9*$B$9</f>
        <v>148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  <c r="AB9" s="102"/>
    </row>
    <row r="10" spans="1:28" ht="22.25" customHeight="1" x14ac:dyDescent="0.15">
      <c r="A10" s="25" t="s">
        <v>36</v>
      </c>
      <c r="B10" s="189">
        <v>28.85</v>
      </c>
      <c r="C10" s="23">
        <v>4</v>
      </c>
      <c r="D10" s="24">
        <f>C10*$B$10</f>
        <v>115.4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  <c r="AB10" s="186"/>
    </row>
    <row r="11" spans="1:28" ht="14" x14ac:dyDescent="0.15">
      <c r="A11" s="25" t="s">
        <v>38</v>
      </c>
      <c r="B11" s="26">
        <v>23</v>
      </c>
      <c r="C11" s="23"/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  <c r="AB11" s="102"/>
    </row>
    <row r="12" spans="1:28" ht="14" x14ac:dyDescent="0.15">
      <c r="A12" s="27" t="s">
        <v>62</v>
      </c>
      <c r="B12" s="26">
        <v>16</v>
      </c>
      <c r="C12" s="28">
        <v>4</v>
      </c>
      <c r="D12" s="24">
        <f>C12*$B$12</f>
        <v>64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32</v>
      </c>
      <c r="AB12" s="102"/>
    </row>
    <row r="13" spans="1:28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  <c r="AB13" s="187"/>
    </row>
    <row r="14" spans="1:28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8" ht="14" x14ac:dyDescent="0.15">
      <c r="A15" s="37" t="s">
        <v>48</v>
      </c>
      <c r="B15" s="26">
        <v>35</v>
      </c>
      <c r="C15" s="23">
        <v>0</v>
      </c>
      <c r="D15" s="38">
        <f>B15*C15</f>
        <v>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</row>
    <row r="16" spans="1:28" ht="14" x14ac:dyDescent="0.15">
      <c r="A16" s="37" t="s">
        <v>57</v>
      </c>
      <c r="B16" s="26">
        <v>28</v>
      </c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</row>
    <row r="17" spans="1:28" ht="14" x14ac:dyDescent="0.15">
      <c r="A17" s="37" t="s">
        <v>58</v>
      </c>
      <c r="B17" s="26">
        <v>23</v>
      </c>
      <c r="C17" s="23">
        <v>0</v>
      </c>
      <c r="D17" s="38">
        <f t="shared" si="0"/>
        <v>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</row>
    <row r="18" spans="1:28" ht="14" x14ac:dyDescent="0.15">
      <c r="A18" s="37" t="s">
        <v>70</v>
      </c>
      <c r="B18" s="26">
        <v>28</v>
      </c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</row>
    <row r="19" spans="1:28" ht="14" x14ac:dyDescent="0.15">
      <c r="A19" s="37" t="s">
        <v>7</v>
      </c>
      <c r="B19" s="26">
        <v>28</v>
      </c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  <c r="AB19" s="102"/>
    </row>
    <row r="20" spans="1:28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8" ht="14" x14ac:dyDescent="0.15">
      <c r="A21" s="45" t="s">
        <v>8</v>
      </c>
      <c r="B21" s="26"/>
      <c r="C21" s="46">
        <f t="shared" ref="C21:D21" si="1">SUM(C9:C20)</f>
        <v>12</v>
      </c>
      <c r="D21" s="48">
        <f t="shared" si="1"/>
        <v>327.39999999999998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32</v>
      </c>
      <c r="AB21" s="99"/>
    </row>
    <row r="22" spans="1:28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  <c r="AB22" s="99"/>
    </row>
    <row r="23" spans="1:28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2.1935799999999999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0.21440000000000001</v>
      </c>
      <c r="AB23" s="99"/>
    </row>
    <row r="24" spans="1:28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  <c r="AB24" s="99"/>
    </row>
    <row r="25" spans="1:28" ht="15" thickBot="1" x14ac:dyDescent="0.2">
      <c r="A25" s="61" t="s">
        <v>9</v>
      </c>
      <c r="B25" s="62"/>
      <c r="C25" s="63">
        <f>SUM(C21:C21)</f>
        <v>12</v>
      </c>
      <c r="D25" s="64">
        <f>SUM(D21:D21, D23)</f>
        <v>329.59357999999997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32.214399999999998</v>
      </c>
      <c r="AB25" s="99"/>
    </row>
    <row r="26" spans="1:28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  <c r="AB26" s="99"/>
    </row>
    <row r="27" spans="1:28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  <c r="AB27" s="99"/>
    </row>
    <row r="28" spans="1:28" ht="14" x14ac:dyDescent="0.15">
      <c r="A28" s="72" t="s">
        <v>74</v>
      </c>
      <c r="B28" s="73">
        <v>320</v>
      </c>
      <c r="C28" s="71">
        <v>1</v>
      </c>
      <c r="D28" s="38">
        <f>C28*$B$28</f>
        <v>320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  <c r="AB28" s="168" t="s">
        <v>89</v>
      </c>
    </row>
    <row r="29" spans="1:28" ht="14" x14ac:dyDescent="0.15">
      <c r="A29" s="72"/>
      <c r="B29" s="73">
        <v>0</v>
      </c>
      <c r="C29" s="71">
        <v>4</v>
      </c>
      <c r="D29" s="38">
        <f>C29*B29</f>
        <v>0</v>
      </c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  <c r="AB29" s="168"/>
    </row>
    <row r="30" spans="1:28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  <c r="AB30" s="99"/>
    </row>
    <row r="31" spans="1:28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  <c r="AB31" s="99"/>
    </row>
    <row r="32" spans="1:28" ht="16" hidden="1" thickBot="1" x14ac:dyDescent="0.2">
      <c r="A32" s="103" t="s">
        <v>42</v>
      </c>
      <c r="B32" s="188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  <c r="AB32" s="185"/>
    </row>
    <row r="33" spans="1:28" ht="16" hidden="1" thickBot="1" x14ac:dyDescent="0.2">
      <c r="A33" s="103" t="s">
        <v>52</v>
      </c>
      <c r="B33" s="188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  <c r="AB33" s="185"/>
    </row>
    <row r="34" spans="1:28" ht="15" hidden="1" thickBot="1" x14ac:dyDescent="0.2">
      <c r="A34" s="104" t="s">
        <v>54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  <c r="AB34" s="99"/>
    </row>
    <row r="35" spans="1:28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  <c r="AB35" s="99"/>
    </row>
    <row r="36" spans="1:28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  <c r="AB36" s="99"/>
    </row>
    <row r="37" spans="1:28" ht="30.75" hidden="1" customHeight="1" thickBot="1" x14ac:dyDescent="0.2">
      <c r="A37" s="106" t="s">
        <v>50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  <c r="AB37" s="99"/>
    </row>
    <row r="38" spans="1:28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  <c r="AB38" s="99"/>
    </row>
    <row r="39" spans="1:28" ht="14" x14ac:dyDescent="0.15">
      <c r="A39" s="172"/>
      <c r="B39" s="173"/>
      <c r="C39" s="174"/>
      <c r="D39" s="175"/>
      <c r="E39" s="176"/>
      <c r="F39" s="175"/>
      <c r="G39" s="176"/>
      <c r="H39" s="175"/>
      <c r="I39" s="176"/>
      <c r="J39" s="175"/>
      <c r="K39" s="176"/>
      <c r="L39" s="175"/>
      <c r="M39" s="176"/>
      <c r="N39" s="175"/>
      <c r="O39" s="176"/>
      <c r="P39" s="175"/>
      <c r="Q39" s="176"/>
      <c r="R39" s="175"/>
      <c r="S39" s="176"/>
      <c r="T39" s="175"/>
      <c r="U39" s="176"/>
      <c r="V39" s="175"/>
      <c r="W39" s="176"/>
      <c r="X39" s="175"/>
      <c r="Y39" s="176"/>
      <c r="Z39" s="175"/>
      <c r="AB39" s="177"/>
    </row>
    <row r="40" spans="1:28" ht="14" x14ac:dyDescent="0.15">
      <c r="A40" s="89"/>
      <c r="B40" s="90">
        <v>0</v>
      </c>
      <c r="C40" s="71">
        <v>1</v>
      </c>
      <c r="D40" s="38">
        <f>C40*$B$40</f>
        <v>0</v>
      </c>
      <c r="E40" s="71">
        <v>0</v>
      </c>
      <c r="F40" s="38">
        <f>E40*$B$40</f>
        <v>0</v>
      </c>
      <c r="G40" s="71">
        <v>0</v>
      </c>
      <c r="H40" s="38">
        <f>G40*$B$40</f>
        <v>0</v>
      </c>
      <c r="I40" s="71">
        <v>0</v>
      </c>
      <c r="J40" s="38">
        <f>I40*$B$40</f>
        <v>0</v>
      </c>
      <c r="K40" s="71">
        <v>0</v>
      </c>
      <c r="L40" s="38">
        <f>K40*$B$40</f>
        <v>0</v>
      </c>
      <c r="M40" s="71">
        <v>0</v>
      </c>
      <c r="N40" s="38">
        <f>M40*$B$40</f>
        <v>0</v>
      </c>
      <c r="O40" s="71">
        <v>0</v>
      </c>
      <c r="P40" s="38">
        <f>O40*$B$40</f>
        <v>0</v>
      </c>
      <c r="Q40" s="71">
        <v>0</v>
      </c>
      <c r="R40" s="38">
        <f>Q40*$B$40</f>
        <v>0</v>
      </c>
      <c r="S40" s="71">
        <v>0</v>
      </c>
      <c r="T40" s="38">
        <f>S40*$B$40</f>
        <v>0</v>
      </c>
      <c r="U40" s="71">
        <v>0</v>
      </c>
      <c r="V40" s="38">
        <f>U40*$B$40</f>
        <v>0</v>
      </c>
      <c r="W40" s="71">
        <v>0</v>
      </c>
      <c r="X40" s="24">
        <f>W40*B40</f>
        <v>0</v>
      </c>
      <c r="Y40" s="71">
        <v>0</v>
      </c>
      <c r="Z40" s="38">
        <f>Y40*$B$40</f>
        <v>0</v>
      </c>
      <c r="AB40" s="169"/>
    </row>
    <row r="41" spans="1:28" ht="14" x14ac:dyDescent="0.15">
      <c r="A41" s="191"/>
      <c r="B41" s="90">
        <v>0</v>
      </c>
      <c r="C41" s="71">
        <v>1</v>
      </c>
      <c r="D41" s="38">
        <f>C41*B41</f>
        <v>0</v>
      </c>
      <c r="E41" s="71">
        <v>0</v>
      </c>
      <c r="F41" s="38">
        <f>E41*$B$40</f>
        <v>0</v>
      </c>
      <c r="G41" s="71">
        <v>0</v>
      </c>
      <c r="H41" s="38">
        <f>G41*$B$40</f>
        <v>0</v>
      </c>
      <c r="I41" s="71">
        <v>0</v>
      </c>
      <c r="J41" s="38">
        <f>I41*$B$40</f>
        <v>0</v>
      </c>
      <c r="K41" s="71">
        <v>0</v>
      </c>
      <c r="L41" s="38">
        <f>K41*$B$40</f>
        <v>0</v>
      </c>
      <c r="M41" s="71">
        <v>0</v>
      </c>
      <c r="N41" s="38">
        <f>M41*$B$40</f>
        <v>0</v>
      </c>
      <c r="O41" s="71">
        <v>0</v>
      </c>
      <c r="P41" s="38">
        <f>O41*$B$40</f>
        <v>0</v>
      </c>
      <c r="Q41" s="71">
        <v>0</v>
      </c>
      <c r="R41" s="38">
        <f>Q41*$B$40</f>
        <v>0</v>
      </c>
      <c r="S41" s="71">
        <v>0</v>
      </c>
      <c r="T41" s="38">
        <f>S41*$B$40</f>
        <v>0</v>
      </c>
      <c r="U41" s="71">
        <v>0</v>
      </c>
      <c r="V41" s="38">
        <f>U41*$B$40</f>
        <v>0</v>
      </c>
      <c r="W41" s="71">
        <v>0</v>
      </c>
      <c r="X41" s="24">
        <f>W41*B41</f>
        <v>0</v>
      </c>
      <c r="Y41" s="71">
        <v>0</v>
      </c>
      <c r="Z41" s="38">
        <f>Y41*$B$40</f>
        <v>0</v>
      </c>
      <c r="AB41" s="169"/>
    </row>
    <row r="42" spans="1:28" ht="15" thickBot="1" x14ac:dyDescent="0.2">
      <c r="A42" s="91"/>
      <c r="B42" s="92"/>
      <c r="C42" s="71"/>
      <c r="D42" s="38"/>
      <c r="E42" s="71"/>
      <c r="F42" s="38"/>
      <c r="G42" s="71"/>
      <c r="H42" s="38"/>
      <c r="I42" s="71"/>
      <c r="J42" s="38"/>
      <c r="K42" s="71"/>
      <c r="L42" s="38"/>
      <c r="M42" s="71"/>
      <c r="N42" s="38"/>
      <c r="O42" s="71"/>
      <c r="P42" s="38"/>
      <c r="Q42" s="71"/>
      <c r="R42" s="38"/>
      <c r="S42" s="71"/>
      <c r="T42" s="38"/>
      <c r="U42" s="71"/>
      <c r="V42" s="38"/>
      <c r="W42" s="71"/>
      <c r="X42" s="38"/>
      <c r="Y42" s="71"/>
      <c r="Z42" s="38"/>
      <c r="AB42" s="99"/>
    </row>
    <row r="43" spans="1:28" ht="13.5" hidden="1" customHeight="1" thickBot="1" x14ac:dyDescent="0.2">
      <c r="A43" s="93"/>
      <c r="B43" s="94">
        <v>0</v>
      </c>
      <c r="C43" s="76">
        <v>0</v>
      </c>
      <c r="D43" s="95">
        <f>+C43*B43</f>
        <v>0</v>
      </c>
      <c r="E43" s="76">
        <v>0</v>
      </c>
      <c r="F43" s="42">
        <f>SUM($B43*E43)</f>
        <v>0</v>
      </c>
      <c r="G43" s="96">
        <v>0</v>
      </c>
      <c r="H43" s="42">
        <f>SUM($B43*G43)</f>
        <v>0</v>
      </c>
      <c r="I43" s="96">
        <v>0</v>
      </c>
      <c r="J43" s="42">
        <f>SUM($B43*I43)</f>
        <v>0</v>
      </c>
      <c r="K43" s="96">
        <v>0</v>
      </c>
      <c r="L43" s="42">
        <f>SUM($B43*K43)</f>
        <v>0</v>
      </c>
      <c r="M43" s="96">
        <v>0</v>
      </c>
      <c r="N43" s="42">
        <f>SUM($B43*M43)</f>
        <v>0</v>
      </c>
      <c r="O43" s="96">
        <v>0</v>
      </c>
      <c r="P43" s="42">
        <f>SUM($B43*O43)</f>
        <v>0</v>
      </c>
      <c r="Q43" s="96">
        <v>0</v>
      </c>
      <c r="R43" s="42">
        <f>SUM($B43*Q43)</f>
        <v>0</v>
      </c>
      <c r="S43" s="96">
        <v>0</v>
      </c>
      <c r="T43" s="42">
        <f>SUM($B43*S43)</f>
        <v>0</v>
      </c>
      <c r="U43" s="96">
        <v>0</v>
      </c>
      <c r="V43" s="42">
        <f>SUM($B43*U43)</f>
        <v>0</v>
      </c>
      <c r="W43" s="76">
        <v>0</v>
      </c>
      <c r="X43" s="95">
        <f>+W43*R43</f>
        <v>0</v>
      </c>
      <c r="Y43" s="76">
        <v>0</v>
      </c>
      <c r="Z43" s="95">
        <f>+Y43*T43</f>
        <v>0</v>
      </c>
      <c r="AB43" s="99"/>
    </row>
    <row r="44" spans="1:28" ht="14" x14ac:dyDescent="0.15">
      <c r="A44" s="107" t="s">
        <v>39</v>
      </c>
      <c r="B44" s="108"/>
      <c r="C44" s="109"/>
      <c r="D44" s="110"/>
      <c r="E44" s="109"/>
      <c r="F44" s="110"/>
      <c r="G44" s="111"/>
      <c r="H44" s="110"/>
      <c r="I44" s="111"/>
      <c r="J44" s="110"/>
      <c r="K44" s="111"/>
      <c r="L44" s="110"/>
      <c r="M44" s="111"/>
      <c r="N44" s="110"/>
      <c r="O44" s="111"/>
      <c r="P44" s="110"/>
      <c r="Q44" s="111"/>
      <c r="R44" s="110"/>
      <c r="S44" s="111"/>
      <c r="T44" s="110"/>
      <c r="U44" s="111"/>
      <c r="V44" s="110"/>
      <c r="W44" s="109"/>
      <c r="X44" s="110"/>
      <c r="Y44" s="109"/>
      <c r="Z44" s="110"/>
      <c r="AB44" s="99"/>
    </row>
    <row r="45" spans="1:28" ht="18.75" customHeight="1" x14ac:dyDescent="0.15">
      <c r="A45" s="112" t="s">
        <v>72</v>
      </c>
      <c r="B45" s="182">
        <v>600</v>
      </c>
      <c r="C45" s="113">
        <v>1</v>
      </c>
      <c r="D45" s="114">
        <f>C45*$B$45</f>
        <v>600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Q45*$B$45</f>
        <v>0</v>
      </c>
      <c r="S45" s="115">
        <v>0</v>
      </c>
      <c r="T45" s="114">
        <f>S45*$B$45</f>
        <v>0</v>
      </c>
      <c r="U45" s="115">
        <v>0</v>
      </c>
      <c r="V45" s="114">
        <f>U45*$B$45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  <c r="AB45" s="99"/>
    </row>
    <row r="46" spans="1:28" ht="18.75" hidden="1" customHeight="1" x14ac:dyDescent="0.15">
      <c r="A46" s="112"/>
      <c r="B46" s="182"/>
      <c r="C46" s="113">
        <v>1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Q46*$B$45</f>
        <v>0</v>
      </c>
      <c r="S46" s="115">
        <v>0</v>
      </c>
      <c r="T46" s="114">
        <f>S46*$B$45</f>
        <v>0</v>
      </c>
      <c r="U46" s="115">
        <v>0</v>
      </c>
      <c r="V46" s="114">
        <f>U46*$B$45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  <c r="AB46" s="99"/>
    </row>
    <row r="47" spans="1:28" ht="18.75" hidden="1" customHeight="1" x14ac:dyDescent="0.15">
      <c r="A47" s="112"/>
      <c r="B47" s="182"/>
      <c r="C47" s="113">
        <v>0</v>
      </c>
      <c r="D47" s="114">
        <f>C47*B47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0</v>
      </c>
      <c r="X47" s="114">
        <f>W47*$B$47</f>
        <v>0</v>
      </c>
      <c r="Y47" s="113">
        <v>0</v>
      </c>
      <c r="Z47" s="114">
        <f>Y47*$B$47</f>
        <v>0</v>
      </c>
      <c r="AB47" s="99"/>
    </row>
    <row r="48" spans="1:28" ht="18.75" hidden="1" customHeight="1" x14ac:dyDescent="0.15">
      <c r="A48" s="112"/>
      <c r="B48" s="182"/>
      <c r="C48" s="113">
        <v>0</v>
      </c>
      <c r="D48" s="114">
        <f>C48*$B$48</f>
        <v>0</v>
      </c>
      <c r="E48" s="115">
        <v>0</v>
      </c>
      <c r="F48" s="114">
        <f>E48*$B$48</f>
        <v>0</v>
      </c>
      <c r="G48" s="115">
        <v>0</v>
      </c>
      <c r="H48" s="114">
        <f>G48*$B$48</f>
        <v>0</v>
      </c>
      <c r="I48" s="115">
        <v>0</v>
      </c>
      <c r="J48" s="114">
        <f>I48*$B$48</f>
        <v>0</v>
      </c>
      <c r="K48" s="115">
        <v>0</v>
      </c>
      <c r="L48" s="114">
        <f>K48*$B$48</f>
        <v>0</v>
      </c>
      <c r="M48" s="115">
        <v>0</v>
      </c>
      <c r="N48" s="114">
        <f>M48*$B$48</f>
        <v>0</v>
      </c>
      <c r="O48" s="115">
        <v>0</v>
      </c>
      <c r="P48" s="114">
        <f>O48*$B$48</f>
        <v>0</v>
      </c>
      <c r="Q48" s="115">
        <v>0</v>
      </c>
      <c r="R48" s="114">
        <f>Q48*$B$48</f>
        <v>0</v>
      </c>
      <c r="S48" s="115">
        <v>0</v>
      </c>
      <c r="T48" s="114">
        <f>S48*$B$48</f>
        <v>0</v>
      </c>
      <c r="U48" s="115">
        <v>0</v>
      </c>
      <c r="V48" s="114">
        <f>U48*$B$48</f>
        <v>0</v>
      </c>
      <c r="W48" s="113">
        <v>1</v>
      </c>
      <c r="X48" s="114">
        <f>W48*$B$48</f>
        <v>0</v>
      </c>
      <c r="Y48" s="113">
        <v>1</v>
      </c>
      <c r="Z48" s="114">
        <f>Y48*$B$48</f>
        <v>0</v>
      </c>
      <c r="AB48" s="99"/>
    </row>
    <row r="49" spans="1:31" ht="15" x14ac:dyDescent="0.15">
      <c r="A49" s="112" t="s">
        <v>73</v>
      </c>
      <c r="B49" s="182">
        <v>1350</v>
      </c>
      <c r="C49" s="113">
        <v>1</v>
      </c>
      <c r="D49" s="114">
        <f>C49*$B$49</f>
        <v>1350</v>
      </c>
      <c r="E49" s="115">
        <v>0</v>
      </c>
      <c r="F49" s="114">
        <f>E49*$B$48</f>
        <v>0</v>
      </c>
      <c r="G49" s="115">
        <v>0</v>
      </c>
      <c r="H49" s="114">
        <f>G49*$B$48</f>
        <v>0</v>
      </c>
      <c r="I49" s="115">
        <v>0</v>
      </c>
      <c r="J49" s="114">
        <f>I49*$B$48</f>
        <v>0</v>
      </c>
      <c r="K49" s="115">
        <v>0</v>
      </c>
      <c r="L49" s="114">
        <f>K49*$B$48</f>
        <v>0</v>
      </c>
      <c r="M49" s="115">
        <v>0</v>
      </c>
      <c r="N49" s="114">
        <f>M49*$B$48</f>
        <v>0</v>
      </c>
      <c r="O49" s="115">
        <v>0</v>
      </c>
      <c r="P49" s="114">
        <f>O49*$B$48</f>
        <v>0</v>
      </c>
      <c r="Q49" s="115">
        <v>0</v>
      </c>
      <c r="R49" s="114">
        <f>Q49*$B$48</f>
        <v>0</v>
      </c>
      <c r="S49" s="115">
        <v>0</v>
      </c>
      <c r="T49" s="114">
        <f>S49*$B$48</f>
        <v>0</v>
      </c>
      <c r="U49" s="115">
        <v>0</v>
      </c>
      <c r="V49" s="114">
        <f>U49*$B$48</f>
        <v>0</v>
      </c>
      <c r="W49" s="113">
        <v>0</v>
      </c>
      <c r="X49" s="114">
        <f>W49*$B$48</f>
        <v>0</v>
      </c>
      <c r="Y49" s="113">
        <v>0</v>
      </c>
      <c r="Z49" s="114">
        <f>Y49*$B$48</f>
        <v>0</v>
      </c>
      <c r="AB49" s="168" t="s">
        <v>90</v>
      </c>
      <c r="AE49" s="99"/>
    </row>
    <row r="50" spans="1:31" ht="15" hidden="1" customHeight="1" x14ac:dyDescent="0.15">
      <c r="A50" s="112"/>
      <c r="B50" s="182"/>
      <c r="C50" s="113">
        <v>0</v>
      </c>
      <c r="D50" s="114">
        <f>C50*$B$50</f>
        <v>0</v>
      </c>
      <c r="E50" s="115">
        <v>0</v>
      </c>
      <c r="F50" s="114">
        <f>E50*$B$50</f>
        <v>0</v>
      </c>
      <c r="G50" s="115">
        <v>0</v>
      </c>
      <c r="H50" s="114">
        <f>G50*$B$50</f>
        <v>0</v>
      </c>
      <c r="I50" s="115">
        <v>0</v>
      </c>
      <c r="J50" s="114">
        <f>I50*$B$50</f>
        <v>0</v>
      </c>
      <c r="K50" s="115">
        <v>0</v>
      </c>
      <c r="L50" s="114">
        <f>K50*$B$50</f>
        <v>0</v>
      </c>
      <c r="M50" s="115">
        <v>0</v>
      </c>
      <c r="N50" s="114">
        <f>M50*$B$50</f>
        <v>0</v>
      </c>
      <c r="O50" s="115">
        <v>0</v>
      </c>
      <c r="P50" s="114">
        <f>O50*$B$50</f>
        <v>0</v>
      </c>
      <c r="Q50" s="115">
        <v>0</v>
      </c>
      <c r="R50" s="114">
        <f>Q50*$B$50</f>
        <v>0</v>
      </c>
      <c r="S50" s="115">
        <v>0</v>
      </c>
      <c r="T50" s="114">
        <f>S50*$B$50</f>
        <v>0</v>
      </c>
      <c r="U50" s="115">
        <v>0</v>
      </c>
      <c r="V50" s="114">
        <f>U50*$B$50</f>
        <v>0</v>
      </c>
      <c r="W50" s="113">
        <v>0</v>
      </c>
      <c r="X50" s="114">
        <f>W50*$B$50</f>
        <v>0</v>
      </c>
      <c r="Y50" s="113">
        <v>0</v>
      </c>
      <c r="Z50" s="114">
        <f>Y50*$B$50</f>
        <v>0</v>
      </c>
      <c r="AB50" s="99"/>
    </row>
    <row r="51" spans="1:31" ht="15" hidden="1" customHeight="1" x14ac:dyDescent="0.15">
      <c r="A51" s="112"/>
      <c r="B51" s="182"/>
      <c r="C51" s="113">
        <v>0</v>
      </c>
      <c r="D51" s="114">
        <f>C51*$B$51</f>
        <v>0</v>
      </c>
      <c r="E51" s="115">
        <v>0</v>
      </c>
      <c r="F51" s="114">
        <f>E51*$B$50</f>
        <v>0</v>
      </c>
      <c r="G51" s="115">
        <v>0</v>
      </c>
      <c r="H51" s="114">
        <f>G51*$B$50</f>
        <v>0</v>
      </c>
      <c r="I51" s="115">
        <v>0</v>
      </c>
      <c r="J51" s="114">
        <f>I51*$B$50</f>
        <v>0</v>
      </c>
      <c r="K51" s="115">
        <v>0</v>
      </c>
      <c r="L51" s="114">
        <f>K51*$B$50</f>
        <v>0</v>
      </c>
      <c r="M51" s="115">
        <v>0</v>
      </c>
      <c r="N51" s="114">
        <f>M51*$B$50</f>
        <v>0</v>
      </c>
      <c r="O51" s="115">
        <v>0</v>
      </c>
      <c r="P51" s="114">
        <f>O51*$B$50</f>
        <v>0</v>
      </c>
      <c r="Q51" s="115">
        <v>0</v>
      </c>
      <c r="R51" s="114">
        <f>Q51*$B$50</f>
        <v>0</v>
      </c>
      <c r="S51" s="115">
        <v>0</v>
      </c>
      <c r="T51" s="114">
        <f>S51*$B$50</f>
        <v>0</v>
      </c>
      <c r="U51" s="115">
        <v>0</v>
      </c>
      <c r="V51" s="114">
        <f>U51*$B$50</f>
        <v>0</v>
      </c>
      <c r="W51" s="113">
        <v>0</v>
      </c>
      <c r="X51" s="114">
        <f>W51*$B$50</f>
        <v>0</v>
      </c>
      <c r="Y51" s="113">
        <v>0</v>
      </c>
      <c r="Z51" s="114">
        <f>Y51*$B$50</f>
        <v>0</v>
      </c>
      <c r="AB51" s="99"/>
    </row>
    <row r="52" spans="1:31" ht="15" hidden="1" customHeight="1" x14ac:dyDescent="0.15">
      <c r="A52" s="112"/>
      <c r="B52" s="182"/>
      <c r="C52" s="113">
        <v>0</v>
      </c>
      <c r="D52" s="114">
        <f>C52*$B$52</f>
        <v>0</v>
      </c>
      <c r="E52" s="115">
        <v>0</v>
      </c>
      <c r="F52" s="114">
        <f>E52*$B$52</f>
        <v>0</v>
      </c>
      <c r="G52" s="115">
        <v>0</v>
      </c>
      <c r="H52" s="114">
        <f>G52*$B$52</f>
        <v>0</v>
      </c>
      <c r="I52" s="115">
        <v>0</v>
      </c>
      <c r="J52" s="114">
        <f>I52*$B$52</f>
        <v>0</v>
      </c>
      <c r="K52" s="115">
        <v>0</v>
      </c>
      <c r="L52" s="114">
        <f>K52*$B$52</f>
        <v>0</v>
      </c>
      <c r="M52" s="115">
        <v>0</v>
      </c>
      <c r="N52" s="114">
        <f>M52*$B$52</f>
        <v>0</v>
      </c>
      <c r="O52" s="115">
        <v>0</v>
      </c>
      <c r="P52" s="114">
        <f>O52*$B$52</f>
        <v>0</v>
      </c>
      <c r="Q52" s="115">
        <v>0</v>
      </c>
      <c r="R52" s="114">
        <f>Q52*$B$52</f>
        <v>0</v>
      </c>
      <c r="S52" s="115">
        <v>0</v>
      </c>
      <c r="T52" s="114">
        <f>S52*$B$52</f>
        <v>0</v>
      </c>
      <c r="U52" s="115">
        <v>0</v>
      </c>
      <c r="V52" s="114">
        <f>U52*$B$52</f>
        <v>0</v>
      </c>
      <c r="W52" s="113">
        <v>0</v>
      </c>
      <c r="X52" s="114">
        <f>W52*$B$52</f>
        <v>0</v>
      </c>
      <c r="Y52" s="113">
        <v>0</v>
      </c>
      <c r="Z52" s="114">
        <f>Y52*$B$52</f>
        <v>0</v>
      </c>
      <c r="AB52" s="99"/>
    </row>
    <row r="53" spans="1:31" ht="15" hidden="1" customHeight="1" x14ac:dyDescent="0.15">
      <c r="A53" s="116"/>
      <c r="B53" s="182"/>
      <c r="C53" s="113">
        <v>0</v>
      </c>
      <c r="D53" s="114">
        <f>C53*$B$53</f>
        <v>0</v>
      </c>
      <c r="E53" s="115">
        <v>0</v>
      </c>
      <c r="F53" s="114">
        <f>E53*$B$52</f>
        <v>0</v>
      </c>
      <c r="G53" s="115">
        <v>0</v>
      </c>
      <c r="H53" s="114">
        <f>G53*$B$52</f>
        <v>0</v>
      </c>
      <c r="I53" s="115">
        <v>0</v>
      </c>
      <c r="J53" s="114">
        <f>I53*$B$52</f>
        <v>0</v>
      </c>
      <c r="K53" s="115">
        <v>0</v>
      </c>
      <c r="L53" s="114">
        <f>K53*$B$52</f>
        <v>0</v>
      </c>
      <c r="M53" s="115">
        <v>0</v>
      </c>
      <c r="N53" s="114">
        <f>M53*$B$52</f>
        <v>0</v>
      </c>
      <c r="O53" s="115">
        <v>0</v>
      </c>
      <c r="P53" s="114">
        <f>O53*$B$52</f>
        <v>0</v>
      </c>
      <c r="Q53" s="115">
        <v>0</v>
      </c>
      <c r="R53" s="114">
        <f>Q53*$B$52</f>
        <v>0</v>
      </c>
      <c r="S53" s="115">
        <v>0</v>
      </c>
      <c r="T53" s="114">
        <f>S53*$B$52</f>
        <v>0</v>
      </c>
      <c r="U53" s="115">
        <v>0</v>
      </c>
      <c r="V53" s="114">
        <f>U53*$B$52</f>
        <v>0</v>
      </c>
      <c r="W53" s="113">
        <v>0</v>
      </c>
      <c r="X53" s="114">
        <f>W53*$B$52</f>
        <v>0</v>
      </c>
      <c r="Y53" s="113">
        <v>0</v>
      </c>
      <c r="Z53" s="114">
        <f>Y53*$B$52</f>
        <v>0</v>
      </c>
      <c r="AB53" s="99"/>
    </row>
    <row r="54" spans="1:31" ht="15" hidden="1" customHeight="1" x14ac:dyDescent="0.15">
      <c r="A54" s="116"/>
      <c r="B54" s="182"/>
      <c r="C54" s="113">
        <v>0</v>
      </c>
      <c r="D54" s="114">
        <f>C54*$B$54</f>
        <v>0</v>
      </c>
      <c r="E54" s="115">
        <v>0</v>
      </c>
      <c r="F54" s="114">
        <f>E54*$B$54</f>
        <v>0</v>
      </c>
      <c r="G54" s="115">
        <v>0</v>
      </c>
      <c r="H54" s="114">
        <f>G54*$B$54</f>
        <v>0</v>
      </c>
      <c r="I54" s="115">
        <v>0</v>
      </c>
      <c r="J54" s="114">
        <f>I54*$B$54</f>
        <v>0</v>
      </c>
      <c r="K54" s="115">
        <v>0</v>
      </c>
      <c r="L54" s="114">
        <f>K54*$B$54</f>
        <v>0</v>
      </c>
      <c r="M54" s="115">
        <v>0</v>
      </c>
      <c r="N54" s="114">
        <f>M54*$B$54</f>
        <v>0</v>
      </c>
      <c r="O54" s="115">
        <v>0</v>
      </c>
      <c r="P54" s="114">
        <f>O54*$B$54</f>
        <v>0</v>
      </c>
      <c r="Q54" s="115">
        <v>0</v>
      </c>
      <c r="R54" s="114">
        <f>Q54*$B$54</f>
        <v>0</v>
      </c>
      <c r="S54" s="115">
        <v>0</v>
      </c>
      <c r="T54" s="114">
        <f>S54*$B$54</f>
        <v>0</v>
      </c>
      <c r="U54" s="115">
        <v>0</v>
      </c>
      <c r="V54" s="114">
        <f>U54*$B$54</f>
        <v>0</v>
      </c>
      <c r="W54" s="113">
        <v>0</v>
      </c>
      <c r="X54" s="114">
        <f>W54*$B$54</f>
        <v>0</v>
      </c>
      <c r="Y54" s="113">
        <v>0</v>
      </c>
      <c r="Z54" s="114">
        <f>Y54*$B$54</f>
        <v>0</v>
      </c>
      <c r="AB54" s="99"/>
    </row>
    <row r="55" spans="1:31" ht="15" hidden="1" customHeight="1" x14ac:dyDescent="0.15">
      <c r="A55" s="116"/>
      <c r="B55" s="182"/>
      <c r="C55" s="113">
        <v>0</v>
      </c>
      <c r="D55" s="114">
        <f>C55*$B$54</f>
        <v>0</v>
      </c>
      <c r="E55" s="115">
        <v>0</v>
      </c>
      <c r="F55" s="114">
        <f>E55*$B$54</f>
        <v>0</v>
      </c>
      <c r="G55" s="115">
        <v>0</v>
      </c>
      <c r="H55" s="114">
        <f>G55*$B$54</f>
        <v>0</v>
      </c>
      <c r="I55" s="115">
        <v>0</v>
      </c>
      <c r="J55" s="114">
        <f>I55*$B$54</f>
        <v>0</v>
      </c>
      <c r="K55" s="115">
        <v>0</v>
      </c>
      <c r="L55" s="114">
        <f>K55*$B$54</f>
        <v>0</v>
      </c>
      <c r="M55" s="115">
        <v>0</v>
      </c>
      <c r="N55" s="114">
        <f>M55*$B$54</f>
        <v>0</v>
      </c>
      <c r="O55" s="115">
        <v>0</v>
      </c>
      <c r="P55" s="114">
        <f>O55*$B$54</f>
        <v>0</v>
      </c>
      <c r="Q55" s="115">
        <v>0</v>
      </c>
      <c r="R55" s="114">
        <f>Q55*$B$54</f>
        <v>0</v>
      </c>
      <c r="S55" s="115">
        <v>0</v>
      </c>
      <c r="T55" s="114">
        <f>S55*$B$54</f>
        <v>0</v>
      </c>
      <c r="U55" s="115">
        <v>0</v>
      </c>
      <c r="V55" s="114">
        <f>U55*$B$54</f>
        <v>0</v>
      </c>
      <c r="W55" s="113">
        <v>0</v>
      </c>
      <c r="X55" s="114">
        <f>W55*$B$54</f>
        <v>0</v>
      </c>
      <c r="Y55" s="113">
        <v>0</v>
      </c>
      <c r="Z55" s="114">
        <f>Y55*$B$54</f>
        <v>0</v>
      </c>
      <c r="AB55" s="99"/>
    </row>
    <row r="56" spans="1:31" ht="15" hidden="1" customHeight="1" x14ac:dyDescent="0.15">
      <c r="A56" s="116"/>
      <c r="B56" s="182"/>
      <c r="C56" s="113">
        <v>0</v>
      </c>
      <c r="D56" s="114">
        <f>C56*$B$56</f>
        <v>0</v>
      </c>
      <c r="E56" s="115">
        <v>0</v>
      </c>
      <c r="F56" s="114">
        <f>E56*$B$52</f>
        <v>0</v>
      </c>
      <c r="G56" s="115">
        <v>0</v>
      </c>
      <c r="H56" s="114">
        <f>G56*$B$52</f>
        <v>0</v>
      </c>
      <c r="I56" s="115">
        <v>0</v>
      </c>
      <c r="J56" s="114">
        <f>I56*$B$52</f>
        <v>0</v>
      </c>
      <c r="K56" s="115">
        <v>0</v>
      </c>
      <c r="L56" s="114">
        <f>K56*$B$52</f>
        <v>0</v>
      </c>
      <c r="M56" s="115">
        <v>0</v>
      </c>
      <c r="N56" s="114">
        <f>M56*$B$52</f>
        <v>0</v>
      </c>
      <c r="O56" s="115">
        <v>0</v>
      </c>
      <c r="P56" s="114">
        <f>O56*$B$52</f>
        <v>0</v>
      </c>
      <c r="Q56" s="115">
        <v>0</v>
      </c>
      <c r="R56" s="114">
        <f>Q56*$B$52</f>
        <v>0</v>
      </c>
      <c r="S56" s="115">
        <v>0</v>
      </c>
      <c r="T56" s="114">
        <f>S56*$B$52</f>
        <v>0</v>
      </c>
      <c r="U56" s="115">
        <v>0</v>
      </c>
      <c r="V56" s="114">
        <f>U56*$B$52</f>
        <v>0</v>
      </c>
      <c r="W56" s="113">
        <v>0</v>
      </c>
      <c r="X56" s="114">
        <f>W56*$B$52</f>
        <v>0</v>
      </c>
      <c r="Y56" s="113">
        <v>0</v>
      </c>
      <c r="Z56" s="114">
        <f>Y56*$B$52</f>
        <v>0</v>
      </c>
      <c r="AB56" s="99"/>
    </row>
    <row r="57" spans="1:31" ht="15" hidden="1" customHeight="1" x14ac:dyDescent="0.15">
      <c r="A57" s="116"/>
      <c r="B57" s="182"/>
      <c r="C57" s="113">
        <v>0</v>
      </c>
      <c r="D57" s="114">
        <f>C57*$B$57</f>
        <v>0</v>
      </c>
      <c r="E57" s="115">
        <v>0</v>
      </c>
      <c r="F57" s="114">
        <f>E57*$B$57</f>
        <v>0</v>
      </c>
      <c r="G57" s="115">
        <v>0</v>
      </c>
      <c r="H57" s="114">
        <f>G57*$B$57</f>
        <v>0</v>
      </c>
      <c r="I57" s="115">
        <v>0</v>
      </c>
      <c r="J57" s="114">
        <f>I57*$B$57</f>
        <v>0</v>
      </c>
      <c r="K57" s="115">
        <v>0</v>
      </c>
      <c r="L57" s="114">
        <f>K57*$B$57</f>
        <v>0</v>
      </c>
      <c r="M57" s="115">
        <v>0</v>
      </c>
      <c r="N57" s="114">
        <f>M57*$B$57</f>
        <v>0</v>
      </c>
      <c r="O57" s="115">
        <v>0</v>
      </c>
      <c r="P57" s="114">
        <f>O57*$B$57</f>
        <v>0</v>
      </c>
      <c r="Q57" s="115">
        <v>0</v>
      </c>
      <c r="R57" s="114">
        <f>Q57*$B$57</f>
        <v>0</v>
      </c>
      <c r="S57" s="115">
        <v>0</v>
      </c>
      <c r="T57" s="114">
        <f>S57*$B$57</f>
        <v>0</v>
      </c>
      <c r="U57" s="115">
        <v>0</v>
      </c>
      <c r="V57" s="114">
        <f>U57*$B$57</f>
        <v>0</v>
      </c>
      <c r="W57" s="113">
        <v>0</v>
      </c>
      <c r="X57" s="114">
        <f>W57*$B$57</f>
        <v>0</v>
      </c>
      <c r="Y57" s="113">
        <v>0</v>
      </c>
      <c r="Z57" s="114">
        <f>Y57*$B$57</f>
        <v>0</v>
      </c>
      <c r="AB57" s="99"/>
    </row>
    <row r="58" spans="1:31" ht="15" hidden="1" customHeight="1" x14ac:dyDescent="0.15">
      <c r="A58" s="116"/>
      <c r="B58" s="182"/>
      <c r="C58" s="113">
        <v>0</v>
      </c>
      <c r="D58" s="114">
        <f>C58*$B$58</f>
        <v>0</v>
      </c>
      <c r="E58" s="115">
        <v>0</v>
      </c>
      <c r="F58" s="114">
        <f>E58*$B$57</f>
        <v>0</v>
      </c>
      <c r="G58" s="115">
        <v>0</v>
      </c>
      <c r="H58" s="114">
        <f>G58*$B$57</f>
        <v>0</v>
      </c>
      <c r="I58" s="115">
        <v>0</v>
      </c>
      <c r="J58" s="114">
        <f>I58*$B$57</f>
        <v>0</v>
      </c>
      <c r="K58" s="115">
        <v>0</v>
      </c>
      <c r="L58" s="114">
        <f>K58*$B$57</f>
        <v>0</v>
      </c>
      <c r="M58" s="115">
        <v>0</v>
      </c>
      <c r="N58" s="114">
        <f>M58*$B$57</f>
        <v>0</v>
      </c>
      <c r="O58" s="115">
        <v>0</v>
      </c>
      <c r="P58" s="114">
        <f>O58*$B$57</f>
        <v>0</v>
      </c>
      <c r="Q58" s="115">
        <v>0</v>
      </c>
      <c r="R58" s="114">
        <f>Q58*$B$57</f>
        <v>0</v>
      </c>
      <c r="S58" s="115">
        <v>0</v>
      </c>
      <c r="T58" s="114">
        <f>S58*$B$57</f>
        <v>0</v>
      </c>
      <c r="U58" s="115">
        <v>0</v>
      </c>
      <c r="V58" s="114">
        <f>U58*$B$57</f>
        <v>0</v>
      </c>
      <c r="W58" s="113">
        <v>0</v>
      </c>
      <c r="X58" s="114">
        <f>W58*$B$57</f>
        <v>0</v>
      </c>
      <c r="Y58" s="113">
        <v>0</v>
      </c>
      <c r="Z58" s="114">
        <f>Y58*$B$57</f>
        <v>0</v>
      </c>
      <c r="AB58" s="99"/>
    </row>
    <row r="59" spans="1:31" ht="15" hidden="1" customHeight="1" x14ac:dyDescent="0.15">
      <c r="A59" s="116"/>
      <c r="B59" s="182"/>
      <c r="C59" s="113">
        <v>0</v>
      </c>
      <c r="D59" s="114">
        <f>C59*$B$59</f>
        <v>0</v>
      </c>
      <c r="E59" s="115">
        <v>0</v>
      </c>
      <c r="F59" s="114">
        <f>E59*$B$59</f>
        <v>0</v>
      </c>
      <c r="G59" s="115">
        <v>0</v>
      </c>
      <c r="H59" s="114">
        <f>G59*$B$59</f>
        <v>0</v>
      </c>
      <c r="I59" s="115">
        <v>0</v>
      </c>
      <c r="J59" s="114">
        <f>I59*$B$59</f>
        <v>0</v>
      </c>
      <c r="K59" s="115">
        <v>0</v>
      </c>
      <c r="L59" s="114">
        <f>K59*$B$59</f>
        <v>0</v>
      </c>
      <c r="M59" s="115">
        <v>0</v>
      </c>
      <c r="N59" s="114">
        <f>M59*$B$59</f>
        <v>0</v>
      </c>
      <c r="O59" s="115">
        <v>0</v>
      </c>
      <c r="P59" s="114">
        <f>O59*$B$59</f>
        <v>0</v>
      </c>
      <c r="Q59" s="115">
        <v>0</v>
      </c>
      <c r="R59" s="114">
        <f>Q59*$B$59</f>
        <v>0</v>
      </c>
      <c r="S59" s="115">
        <v>0</v>
      </c>
      <c r="T59" s="114">
        <f>S59*$B$59</f>
        <v>0</v>
      </c>
      <c r="U59" s="115">
        <v>0</v>
      </c>
      <c r="V59" s="114">
        <f>U59*$B$59</f>
        <v>0</v>
      </c>
      <c r="W59" s="113">
        <v>0</v>
      </c>
      <c r="X59" s="114">
        <f>W59*$B$59</f>
        <v>0</v>
      </c>
      <c r="Y59" s="113">
        <v>0</v>
      </c>
      <c r="Z59" s="114">
        <f>Y59*$B$59</f>
        <v>0</v>
      </c>
      <c r="AB59" s="99"/>
    </row>
    <row r="60" spans="1:31" s="1" customFormat="1" ht="15" hidden="1" customHeight="1" x14ac:dyDescent="0.15">
      <c r="A60" s="116"/>
      <c r="B60" s="182"/>
      <c r="C60" s="113">
        <v>0</v>
      </c>
      <c r="D60" s="117">
        <f>C60*$B$60</f>
        <v>0</v>
      </c>
      <c r="E60" s="115">
        <v>0</v>
      </c>
      <c r="F60" s="117">
        <f>E60*$B$60</f>
        <v>0</v>
      </c>
      <c r="G60" s="115">
        <v>0</v>
      </c>
      <c r="H60" s="117">
        <f>G60*$B$60</f>
        <v>0</v>
      </c>
      <c r="I60" s="115">
        <v>0</v>
      </c>
      <c r="J60" s="117">
        <f>I60*$B$60</f>
        <v>0</v>
      </c>
      <c r="K60" s="115">
        <v>0</v>
      </c>
      <c r="L60" s="117">
        <f>K60*$B$60</f>
        <v>0</v>
      </c>
      <c r="M60" s="115">
        <v>0</v>
      </c>
      <c r="N60" s="117">
        <f>M60*$B$60</f>
        <v>0</v>
      </c>
      <c r="O60" s="115">
        <v>0</v>
      </c>
      <c r="P60" s="117">
        <f>O60*$B$60</f>
        <v>0</v>
      </c>
      <c r="Q60" s="115">
        <v>0</v>
      </c>
      <c r="R60" s="117">
        <f>Q60*$B$60</f>
        <v>0</v>
      </c>
      <c r="S60" s="115">
        <v>0</v>
      </c>
      <c r="T60" s="117">
        <f>S60*$B$60</f>
        <v>0</v>
      </c>
      <c r="U60" s="115">
        <v>0</v>
      </c>
      <c r="V60" s="117">
        <f>U60*$B$60</f>
        <v>0</v>
      </c>
      <c r="W60" s="113">
        <v>0</v>
      </c>
      <c r="X60" s="117">
        <f>W60*$B$60</f>
        <v>0</v>
      </c>
      <c r="Y60" s="113">
        <v>0</v>
      </c>
      <c r="Z60" s="117">
        <f>Y60*$B$60</f>
        <v>0</v>
      </c>
      <c r="AB60" s="99"/>
      <c r="AC60" s="123"/>
    </row>
    <row r="61" spans="1:31" s="1" customFormat="1" ht="15" hidden="1" customHeight="1" x14ac:dyDescent="0.15">
      <c r="A61" s="118"/>
      <c r="B61" s="182"/>
      <c r="C61" s="113">
        <v>0</v>
      </c>
      <c r="D61" s="114">
        <f>C61*$B$61</f>
        <v>0</v>
      </c>
      <c r="E61" s="113">
        <v>0</v>
      </c>
      <c r="F61" s="114">
        <f>E61*$B$61</f>
        <v>0</v>
      </c>
      <c r="G61" s="113">
        <v>0</v>
      </c>
      <c r="H61" s="114">
        <f>G61*$B$61</f>
        <v>0</v>
      </c>
      <c r="I61" s="113">
        <v>0</v>
      </c>
      <c r="J61" s="114">
        <f>I61*$B$61</f>
        <v>0</v>
      </c>
      <c r="K61" s="113">
        <v>0</v>
      </c>
      <c r="L61" s="114">
        <f>K61*$B$61</f>
        <v>0</v>
      </c>
      <c r="M61" s="113">
        <v>0</v>
      </c>
      <c r="N61" s="114">
        <f>M61*$B$61</f>
        <v>0</v>
      </c>
      <c r="O61" s="113">
        <v>0</v>
      </c>
      <c r="P61" s="114">
        <f>O61*$B$61</f>
        <v>0</v>
      </c>
      <c r="Q61" s="113">
        <v>0</v>
      </c>
      <c r="R61" s="114">
        <f>Q61*$B$61</f>
        <v>0</v>
      </c>
      <c r="S61" s="113">
        <v>0</v>
      </c>
      <c r="T61" s="114">
        <f>S61*$B$61</f>
        <v>0</v>
      </c>
      <c r="U61" s="113">
        <v>0</v>
      </c>
      <c r="V61" s="114">
        <f>U61*$B$61</f>
        <v>0</v>
      </c>
      <c r="W61" s="113">
        <v>0</v>
      </c>
      <c r="X61" s="114">
        <f>W61*$B$61</f>
        <v>0</v>
      </c>
      <c r="Y61" s="113">
        <v>0</v>
      </c>
      <c r="Z61" s="114">
        <f>Y61*$B$61</f>
        <v>0</v>
      </c>
      <c r="AB61" s="99"/>
      <c r="AC61" s="123"/>
    </row>
    <row r="62" spans="1:31" s="1" customFormat="1" ht="15" hidden="1" customHeight="1" x14ac:dyDescent="0.15">
      <c r="A62" s="119"/>
      <c r="B62" s="182"/>
      <c r="C62" s="113">
        <v>0</v>
      </c>
      <c r="D62" s="117">
        <f>C62*$B$62</f>
        <v>0</v>
      </c>
      <c r="E62" s="113">
        <v>0</v>
      </c>
      <c r="F62" s="117">
        <f>E62*$B$62</f>
        <v>0</v>
      </c>
      <c r="G62" s="113">
        <v>0</v>
      </c>
      <c r="H62" s="117">
        <f>G62*$B$62</f>
        <v>0</v>
      </c>
      <c r="I62" s="113">
        <v>0</v>
      </c>
      <c r="J62" s="117">
        <f>I62*$B$62</f>
        <v>0</v>
      </c>
      <c r="K62" s="113">
        <v>0</v>
      </c>
      <c r="L62" s="117">
        <f>K62*$B$62</f>
        <v>0</v>
      </c>
      <c r="M62" s="113">
        <v>0</v>
      </c>
      <c r="N62" s="117">
        <f>M62*$B$62</f>
        <v>0</v>
      </c>
      <c r="O62" s="113">
        <v>0</v>
      </c>
      <c r="P62" s="117">
        <f>O62*$B$62</f>
        <v>0</v>
      </c>
      <c r="Q62" s="113">
        <v>0</v>
      </c>
      <c r="R62" s="117">
        <f>Q62*$B$62</f>
        <v>0</v>
      </c>
      <c r="S62" s="113">
        <v>0</v>
      </c>
      <c r="T62" s="117">
        <f>S62*$B$62</f>
        <v>0</v>
      </c>
      <c r="U62" s="113">
        <v>0</v>
      </c>
      <c r="V62" s="117">
        <f>U62*$B$62</f>
        <v>0</v>
      </c>
      <c r="W62" s="113">
        <v>0</v>
      </c>
      <c r="X62" s="117">
        <f>W62*$B$62</f>
        <v>0</v>
      </c>
      <c r="Y62" s="113">
        <v>0</v>
      </c>
      <c r="Z62" s="117">
        <f>Y62*$B$62</f>
        <v>0</v>
      </c>
      <c r="AB62" s="99"/>
      <c r="AC62" s="123"/>
    </row>
    <row r="63" spans="1:31" s="1" customFormat="1" ht="15" hidden="1" customHeight="1" x14ac:dyDescent="0.15">
      <c r="A63" s="119"/>
      <c r="B63" s="182"/>
      <c r="C63" s="113">
        <v>0</v>
      </c>
      <c r="D63" s="114">
        <f>C63*$B$63</f>
        <v>0</v>
      </c>
      <c r="E63" s="113">
        <v>0</v>
      </c>
      <c r="F63" s="114">
        <f t="shared" ref="F63:F68" si="6">E63*$B$63</f>
        <v>0</v>
      </c>
      <c r="G63" s="113">
        <v>0</v>
      </c>
      <c r="H63" s="114">
        <f t="shared" ref="H63:H68" si="7">G63*$B$63</f>
        <v>0</v>
      </c>
      <c r="I63" s="113">
        <v>0</v>
      </c>
      <c r="J63" s="114">
        <f t="shared" ref="J63:J68" si="8">I63*$B$63</f>
        <v>0</v>
      </c>
      <c r="K63" s="113">
        <v>0</v>
      </c>
      <c r="L63" s="114">
        <f t="shared" ref="L63:L68" si="9">K63*$B$63</f>
        <v>0</v>
      </c>
      <c r="M63" s="113">
        <v>0</v>
      </c>
      <c r="N63" s="114">
        <f t="shared" ref="N63:N68" si="10">M63*$B$63</f>
        <v>0</v>
      </c>
      <c r="O63" s="113">
        <v>0</v>
      </c>
      <c r="P63" s="114">
        <f t="shared" ref="P63:P68" si="11">O63*$B$63</f>
        <v>0</v>
      </c>
      <c r="Q63" s="113">
        <v>0</v>
      </c>
      <c r="R63" s="114">
        <f t="shared" ref="R63:R68" si="12">Q63*$B$63</f>
        <v>0</v>
      </c>
      <c r="S63" s="113">
        <v>0</v>
      </c>
      <c r="T63" s="114">
        <f t="shared" ref="T63:T68" si="13">S63*$B$63</f>
        <v>0</v>
      </c>
      <c r="U63" s="113">
        <v>0</v>
      </c>
      <c r="V63" s="114">
        <f t="shared" ref="V63:V68" si="14">U63*$B$63</f>
        <v>0</v>
      </c>
      <c r="W63" s="113">
        <v>0</v>
      </c>
      <c r="X63" s="114">
        <f>W63*$B$63</f>
        <v>0</v>
      </c>
      <c r="Y63" s="113">
        <v>0</v>
      </c>
      <c r="Z63" s="114">
        <f>Y63*$B$63</f>
        <v>0</v>
      </c>
      <c r="AB63" s="99"/>
      <c r="AC63" s="123"/>
    </row>
    <row r="64" spans="1:31" s="1" customFormat="1" ht="15" hidden="1" customHeight="1" x14ac:dyDescent="0.15">
      <c r="A64" s="119"/>
      <c r="B64" s="182"/>
      <c r="C64" s="113">
        <v>0</v>
      </c>
      <c r="D64" s="114">
        <f>C64*$B$64</f>
        <v>0</v>
      </c>
      <c r="E64" s="113">
        <v>0</v>
      </c>
      <c r="F64" s="114">
        <f t="shared" si="6"/>
        <v>0</v>
      </c>
      <c r="G64" s="113">
        <v>0</v>
      </c>
      <c r="H64" s="114">
        <f t="shared" si="7"/>
        <v>0</v>
      </c>
      <c r="I64" s="113">
        <v>0</v>
      </c>
      <c r="J64" s="114">
        <f t="shared" si="8"/>
        <v>0</v>
      </c>
      <c r="K64" s="113">
        <v>0</v>
      </c>
      <c r="L64" s="114">
        <f t="shared" si="9"/>
        <v>0</v>
      </c>
      <c r="M64" s="113">
        <v>0</v>
      </c>
      <c r="N64" s="114">
        <f t="shared" si="10"/>
        <v>0</v>
      </c>
      <c r="O64" s="113">
        <v>0</v>
      </c>
      <c r="P64" s="114">
        <f t="shared" si="11"/>
        <v>0</v>
      </c>
      <c r="Q64" s="113">
        <v>0</v>
      </c>
      <c r="R64" s="114">
        <f t="shared" si="12"/>
        <v>0</v>
      </c>
      <c r="S64" s="113">
        <v>0</v>
      </c>
      <c r="T64" s="114">
        <f t="shared" si="13"/>
        <v>0</v>
      </c>
      <c r="U64" s="113">
        <v>0</v>
      </c>
      <c r="V64" s="114">
        <f t="shared" si="14"/>
        <v>0</v>
      </c>
      <c r="W64" s="113">
        <v>0</v>
      </c>
      <c r="X64" s="114">
        <f>W64*$B$63</f>
        <v>0</v>
      </c>
      <c r="Y64" s="113">
        <v>0</v>
      </c>
      <c r="Z64" s="114">
        <f>Y64*$B$63</f>
        <v>0</v>
      </c>
      <c r="AB64" s="99"/>
      <c r="AC64" s="123"/>
    </row>
    <row r="65" spans="1:31" s="1" customFormat="1" ht="15" hidden="1" customHeight="1" x14ac:dyDescent="0.15">
      <c r="A65" s="119"/>
      <c r="B65" s="182"/>
      <c r="C65" s="113">
        <v>0</v>
      </c>
      <c r="D65" s="114">
        <f>C65*$B$65</f>
        <v>0</v>
      </c>
      <c r="E65" s="113">
        <v>0</v>
      </c>
      <c r="F65" s="114">
        <f t="shared" si="6"/>
        <v>0</v>
      </c>
      <c r="G65" s="113">
        <v>0</v>
      </c>
      <c r="H65" s="114">
        <f t="shared" si="7"/>
        <v>0</v>
      </c>
      <c r="I65" s="113">
        <v>0</v>
      </c>
      <c r="J65" s="114">
        <f t="shared" si="8"/>
        <v>0</v>
      </c>
      <c r="K65" s="113">
        <v>0</v>
      </c>
      <c r="L65" s="114">
        <f t="shared" si="9"/>
        <v>0</v>
      </c>
      <c r="M65" s="113">
        <v>0</v>
      </c>
      <c r="N65" s="114">
        <f t="shared" si="10"/>
        <v>0</v>
      </c>
      <c r="O65" s="113">
        <v>0</v>
      </c>
      <c r="P65" s="114">
        <f t="shared" si="11"/>
        <v>0</v>
      </c>
      <c r="Q65" s="113">
        <v>0</v>
      </c>
      <c r="R65" s="114">
        <f t="shared" si="12"/>
        <v>0</v>
      </c>
      <c r="S65" s="113">
        <v>0</v>
      </c>
      <c r="T65" s="114">
        <f t="shared" si="13"/>
        <v>0</v>
      </c>
      <c r="U65" s="113">
        <v>0</v>
      </c>
      <c r="V65" s="114">
        <f t="shared" si="14"/>
        <v>0</v>
      </c>
      <c r="W65" s="113">
        <v>0</v>
      </c>
      <c r="X65" s="114">
        <f>W65*$B$63</f>
        <v>0</v>
      </c>
      <c r="Y65" s="113">
        <v>0</v>
      </c>
      <c r="Z65" s="114">
        <f>Y65*$B$63</f>
        <v>0</v>
      </c>
      <c r="AB65" s="99"/>
      <c r="AC65" s="123"/>
    </row>
    <row r="66" spans="1:31" s="1" customFormat="1" ht="33" customHeight="1" x14ac:dyDescent="0.15">
      <c r="A66" s="112"/>
      <c r="B66" s="182"/>
      <c r="C66" s="113">
        <v>0</v>
      </c>
      <c r="D66" s="114">
        <f>C66*$B$68</f>
        <v>0</v>
      </c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W66*$B$63</f>
        <v>0</v>
      </c>
      <c r="Y66" s="113">
        <v>0</v>
      </c>
      <c r="Z66" s="114">
        <f>Y66*$B$63</f>
        <v>0</v>
      </c>
      <c r="AB66" s="99"/>
      <c r="AC66" s="123"/>
    </row>
    <row r="67" spans="1:31" s="1" customFormat="1" ht="17.25" customHeight="1" x14ac:dyDescent="0.15">
      <c r="A67" s="112"/>
      <c r="B67" s="182"/>
      <c r="C67" s="113">
        <v>0</v>
      </c>
      <c r="D67" s="114">
        <f t="shared" ref="D67" si="15">C67*$B$49</f>
        <v>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>
        <v>0</v>
      </c>
      <c r="X67" s="114">
        <f>W67*B67</f>
        <v>0</v>
      </c>
      <c r="Y67" s="113">
        <v>0</v>
      </c>
      <c r="Z67" s="114">
        <f>Y67*B67</f>
        <v>0</v>
      </c>
      <c r="AB67" s="99"/>
      <c r="AC67" s="123"/>
    </row>
    <row r="68" spans="1:31" s="1" customFormat="1" ht="17.25" hidden="1" customHeight="1" x14ac:dyDescent="0.15">
      <c r="A68" s="112"/>
      <c r="B68" s="182"/>
      <c r="C68" s="113">
        <v>0</v>
      </c>
      <c r="D68" s="114">
        <f t="shared" ref="D68" si="16">C68*$B$50</f>
        <v>0</v>
      </c>
      <c r="E68" s="113">
        <v>0</v>
      </c>
      <c r="F68" s="114">
        <f t="shared" si="6"/>
        <v>0</v>
      </c>
      <c r="G68" s="113">
        <v>0</v>
      </c>
      <c r="H68" s="114">
        <f t="shared" si="7"/>
        <v>0</v>
      </c>
      <c r="I68" s="113">
        <v>0</v>
      </c>
      <c r="J68" s="114">
        <f t="shared" si="8"/>
        <v>0</v>
      </c>
      <c r="K68" s="113">
        <v>0</v>
      </c>
      <c r="L68" s="114">
        <f t="shared" si="9"/>
        <v>0</v>
      </c>
      <c r="M68" s="113">
        <v>0</v>
      </c>
      <c r="N68" s="114">
        <f t="shared" si="10"/>
        <v>0</v>
      </c>
      <c r="O68" s="113">
        <v>0</v>
      </c>
      <c r="P68" s="114">
        <f t="shared" si="11"/>
        <v>0</v>
      </c>
      <c r="Q68" s="113">
        <v>0</v>
      </c>
      <c r="R68" s="114">
        <f t="shared" si="12"/>
        <v>0</v>
      </c>
      <c r="S68" s="113">
        <v>0</v>
      </c>
      <c r="T68" s="114">
        <f t="shared" si="13"/>
        <v>0</v>
      </c>
      <c r="U68" s="113">
        <v>0</v>
      </c>
      <c r="V68" s="114">
        <f t="shared" si="14"/>
        <v>0</v>
      </c>
      <c r="W68" s="113"/>
      <c r="X68" s="114">
        <f>W68*B68</f>
        <v>0</v>
      </c>
      <c r="Y68" s="113">
        <v>0</v>
      </c>
      <c r="Z68" s="114">
        <f>Y68*B68</f>
        <v>0</v>
      </c>
      <c r="AB68" s="99"/>
      <c r="AC68" s="123"/>
    </row>
    <row r="69" spans="1:31" s="1" customFormat="1" ht="13.5" hidden="1" customHeight="1" thickBot="1" x14ac:dyDescent="0.2">
      <c r="A69" s="178"/>
      <c r="B69" s="179"/>
      <c r="C69" s="113">
        <v>0</v>
      </c>
      <c r="D69" s="114">
        <f t="shared" ref="D69" si="17">C69*$B$51</f>
        <v>0</v>
      </c>
      <c r="E69" s="71">
        <v>0</v>
      </c>
      <c r="F69" s="24">
        <f>E69*$B$69</f>
        <v>0</v>
      </c>
      <c r="G69" s="71">
        <v>0</v>
      </c>
      <c r="H69" s="24">
        <f>G69*$B$69</f>
        <v>0</v>
      </c>
      <c r="I69" s="71">
        <v>0</v>
      </c>
      <c r="J69" s="24">
        <f>I69*$B$69</f>
        <v>0</v>
      </c>
      <c r="K69" s="71">
        <v>0</v>
      </c>
      <c r="L69" s="24">
        <f>K69*$B$69</f>
        <v>0</v>
      </c>
      <c r="M69" s="71">
        <v>0</v>
      </c>
      <c r="N69" s="24">
        <f>M69*$B$69</f>
        <v>0</v>
      </c>
      <c r="O69" s="71">
        <v>0</v>
      </c>
      <c r="P69" s="24">
        <f>O69*$B$69</f>
        <v>0</v>
      </c>
      <c r="Q69" s="71">
        <v>0</v>
      </c>
      <c r="R69" s="24">
        <f>Q69*$B$69</f>
        <v>0</v>
      </c>
      <c r="S69" s="71">
        <v>0</v>
      </c>
      <c r="T69" s="24">
        <f>S69*$B$69</f>
        <v>0</v>
      </c>
      <c r="U69" s="71">
        <v>0</v>
      </c>
      <c r="V69" s="24">
        <f>U69*$B$69</f>
        <v>0</v>
      </c>
      <c r="W69" s="71">
        <v>0</v>
      </c>
      <c r="X69" s="24">
        <f>W69*$B$69</f>
        <v>0</v>
      </c>
      <c r="Y69" s="71">
        <v>0</v>
      </c>
      <c r="Z69" s="24">
        <f>Y69*$B$69</f>
        <v>0</v>
      </c>
      <c r="AB69" s="99"/>
      <c r="AC69" s="123"/>
    </row>
    <row r="70" spans="1:31" s="1" customFormat="1" ht="13.5" hidden="1" customHeight="1" thickBot="1" x14ac:dyDescent="0.2">
      <c r="A70" s="178"/>
      <c r="B70" s="179"/>
      <c r="C70" s="113">
        <v>0</v>
      </c>
      <c r="D70" s="114">
        <f t="shared" ref="D70" si="18">C70*$B$52</f>
        <v>0</v>
      </c>
      <c r="E70" s="71">
        <v>0</v>
      </c>
      <c r="F70" s="97">
        <f>E70*$B$70</f>
        <v>0</v>
      </c>
      <c r="G70" s="71">
        <v>0</v>
      </c>
      <c r="H70" s="97">
        <f>G70*$B$70</f>
        <v>0</v>
      </c>
      <c r="I70" s="71">
        <v>0</v>
      </c>
      <c r="J70" s="97">
        <f>I70*$B$70</f>
        <v>0</v>
      </c>
      <c r="K70" s="71">
        <v>0</v>
      </c>
      <c r="L70" s="97">
        <f>K70*$B$70</f>
        <v>0</v>
      </c>
      <c r="M70" s="71">
        <v>0</v>
      </c>
      <c r="N70" s="97">
        <f>M70*$B$70</f>
        <v>0</v>
      </c>
      <c r="O70" s="71">
        <v>0</v>
      </c>
      <c r="P70" s="97">
        <f>O70*$B$70</f>
        <v>0</v>
      </c>
      <c r="Q70" s="71">
        <v>0</v>
      </c>
      <c r="R70" s="97">
        <f>Q70*$B$70</f>
        <v>0</v>
      </c>
      <c r="S70" s="71">
        <v>0</v>
      </c>
      <c r="T70" s="97">
        <f>S70*$B$70</f>
        <v>0</v>
      </c>
      <c r="U70" s="71">
        <v>0</v>
      </c>
      <c r="V70" s="97">
        <f>U70*$B$70</f>
        <v>0</v>
      </c>
      <c r="W70" s="71">
        <v>0</v>
      </c>
      <c r="X70" s="97">
        <f>W70*$B$70</f>
        <v>0</v>
      </c>
      <c r="Y70" s="71">
        <v>0</v>
      </c>
      <c r="Z70" s="97">
        <f>Y70*$B$70</f>
        <v>0</v>
      </c>
      <c r="AB70" s="99"/>
      <c r="AC70" s="123"/>
    </row>
    <row r="71" spans="1:31" s="1" customFormat="1" ht="13.5" hidden="1" customHeight="1" thickBot="1" x14ac:dyDescent="0.2">
      <c r="A71" s="180"/>
      <c r="B71" s="181"/>
      <c r="C71" s="113">
        <v>0</v>
      </c>
      <c r="D71" s="114">
        <f t="shared" ref="D71" si="19">C71*$B$53</f>
        <v>0</v>
      </c>
      <c r="E71" s="71">
        <v>0</v>
      </c>
      <c r="F71" s="24">
        <f>E71*$B$71</f>
        <v>0</v>
      </c>
      <c r="G71" s="71">
        <v>0</v>
      </c>
      <c r="H71" s="24">
        <f>G71*$B$71</f>
        <v>0</v>
      </c>
      <c r="I71" s="71">
        <v>0</v>
      </c>
      <c r="J71" s="24">
        <f>I71*$B$71</f>
        <v>0</v>
      </c>
      <c r="K71" s="71">
        <v>0</v>
      </c>
      <c r="L71" s="24">
        <f>K71*$B$71</f>
        <v>0</v>
      </c>
      <c r="M71" s="71">
        <v>0</v>
      </c>
      <c r="N71" s="24">
        <f>M71*$B$71</f>
        <v>0</v>
      </c>
      <c r="O71" s="71">
        <v>0</v>
      </c>
      <c r="P71" s="24">
        <f>O71*$B$71</f>
        <v>0</v>
      </c>
      <c r="Q71" s="71">
        <v>0</v>
      </c>
      <c r="R71" s="24">
        <f>Q71*$B$71</f>
        <v>0</v>
      </c>
      <c r="S71" s="71">
        <v>0</v>
      </c>
      <c r="T71" s="24">
        <f>S71*$B$71</f>
        <v>0</v>
      </c>
      <c r="U71" s="71">
        <v>0</v>
      </c>
      <c r="V71" s="24">
        <f>U71*$B$71</f>
        <v>0</v>
      </c>
      <c r="W71" s="71">
        <v>0</v>
      </c>
      <c r="X71" s="24">
        <f>W71*$B$71</f>
        <v>0</v>
      </c>
      <c r="Y71" s="71">
        <v>0</v>
      </c>
      <c r="Z71" s="24">
        <f>Y71*$B$71</f>
        <v>0</v>
      </c>
      <c r="AB71" s="99"/>
      <c r="AC71" s="123"/>
    </row>
    <row r="72" spans="1:31" s="1" customFormat="1" ht="13.5" hidden="1" customHeight="1" thickBot="1" x14ac:dyDescent="0.2">
      <c r="A72" s="128"/>
      <c r="B72" s="129"/>
      <c r="C72" s="113">
        <v>0</v>
      </c>
      <c r="D72" s="114">
        <f t="shared" ref="D72:D73" si="20">C72*$B$54</f>
        <v>0</v>
      </c>
      <c r="E72" s="131">
        <v>0</v>
      </c>
      <c r="F72" s="130">
        <f>E72*$B$72</f>
        <v>0</v>
      </c>
      <c r="G72" s="131">
        <v>0</v>
      </c>
      <c r="H72" s="130">
        <f>G72*$B$72</f>
        <v>0</v>
      </c>
      <c r="I72" s="131">
        <v>0</v>
      </c>
      <c r="J72" s="130">
        <f>I72*$B$72</f>
        <v>0</v>
      </c>
      <c r="K72" s="131">
        <v>0</v>
      </c>
      <c r="L72" s="130">
        <f>K72*$B$72</f>
        <v>0</v>
      </c>
      <c r="M72" s="131">
        <v>0</v>
      </c>
      <c r="N72" s="130">
        <f>M72*$B$72</f>
        <v>0</v>
      </c>
      <c r="O72" s="131">
        <v>0</v>
      </c>
      <c r="P72" s="130">
        <f>O72*$B$72</f>
        <v>0</v>
      </c>
      <c r="Q72" s="131">
        <v>0</v>
      </c>
      <c r="R72" s="130">
        <f>Q72*$B$72</f>
        <v>0</v>
      </c>
      <c r="S72" s="131">
        <v>0</v>
      </c>
      <c r="T72" s="130">
        <f>S72*$B$72</f>
        <v>0</v>
      </c>
      <c r="U72" s="131">
        <v>0</v>
      </c>
      <c r="V72" s="130">
        <f>U72*$B$72</f>
        <v>0</v>
      </c>
      <c r="W72" s="76">
        <v>0</v>
      </c>
      <c r="X72" s="130">
        <f>W72*$B$72</f>
        <v>0</v>
      </c>
      <c r="Y72" s="76">
        <v>0</v>
      </c>
      <c r="Z72" s="130">
        <f>Y72*$B$72</f>
        <v>0</v>
      </c>
      <c r="AB72" s="99"/>
      <c r="AC72" s="123"/>
    </row>
    <row r="73" spans="1:31" ht="18.75" hidden="1" customHeight="1" x14ac:dyDescent="0.15">
      <c r="A73" s="112"/>
      <c r="B73" s="182"/>
      <c r="C73" s="113">
        <v>0</v>
      </c>
      <c r="D73" s="114">
        <f t="shared" si="20"/>
        <v>0</v>
      </c>
      <c r="E73" s="115">
        <v>0</v>
      </c>
      <c r="F73" s="114">
        <f>E73*$B$45</f>
        <v>0</v>
      </c>
      <c r="G73" s="115">
        <v>0</v>
      </c>
      <c r="H73" s="114">
        <f>G73*$B$45</f>
        <v>0</v>
      </c>
      <c r="I73" s="115">
        <v>0</v>
      </c>
      <c r="J73" s="114">
        <f>I73*$B$45</f>
        <v>0</v>
      </c>
      <c r="K73" s="115">
        <v>0</v>
      </c>
      <c r="L73" s="114">
        <f>K73*$B$45</f>
        <v>0</v>
      </c>
      <c r="M73" s="115">
        <v>0</v>
      </c>
      <c r="N73" s="114">
        <f>M73*$B$45</f>
        <v>0</v>
      </c>
      <c r="O73" s="115">
        <v>0</v>
      </c>
      <c r="P73" s="114">
        <f>O73*$B$45</f>
        <v>0</v>
      </c>
      <c r="Q73" s="115">
        <v>0</v>
      </c>
      <c r="R73" s="114">
        <f>Q73*$B$45</f>
        <v>0</v>
      </c>
      <c r="S73" s="115">
        <v>0</v>
      </c>
      <c r="T73" s="114">
        <f>S73*$B$45</f>
        <v>0</v>
      </c>
      <c r="U73" s="115">
        <v>0</v>
      </c>
      <c r="V73" s="114">
        <f>U73*$B$45</f>
        <v>0</v>
      </c>
      <c r="W73" s="113">
        <v>0</v>
      </c>
      <c r="X73" s="114">
        <f>W73*$B$45</f>
        <v>0</v>
      </c>
      <c r="Y73" s="113">
        <v>0</v>
      </c>
      <c r="Z73" s="114">
        <f>Y73*$B$45</f>
        <v>0</v>
      </c>
      <c r="AB73" s="99"/>
    </row>
    <row r="74" spans="1:31" ht="18.75" hidden="1" customHeight="1" x14ac:dyDescent="0.15">
      <c r="A74" s="112"/>
      <c r="B74" s="182"/>
      <c r="C74" s="113">
        <v>0</v>
      </c>
      <c r="D74" s="114">
        <f t="shared" ref="D74" si="21">C74*$B$56</f>
        <v>0</v>
      </c>
      <c r="E74" s="115">
        <v>0</v>
      </c>
      <c r="F74" s="114">
        <f>E74*$B$46</f>
        <v>0</v>
      </c>
      <c r="G74" s="115">
        <v>0</v>
      </c>
      <c r="H74" s="114">
        <f>G74*$B$46</f>
        <v>0</v>
      </c>
      <c r="I74" s="115">
        <v>0</v>
      </c>
      <c r="J74" s="114">
        <f>I74*$B$46</f>
        <v>0</v>
      </c>
      <c r="K74" s="115">
        <v>0</v>
      </c>
      <c r="L74" s="114">
        <f>K74*$B$46</f>
        <v>0</v>
      </c>
      <c r="M74" s="115">
        <v>0</v>
      </c>
      <c r="N74" s="114">
        <f>M74*$B$46</f>
        <v>0</v>
      </c>
      <c r="O74" s="115">
        <v>0</v>
      </c>
      <c r="P74" s="114">
        <f>O74*$B$46</f>
        <v>0</v>
      </c>
      <c r="Q74" s="115">
        <v>0</v>
      </c>
      <c r="R74" s="114">
        <f>Q74*$B$45</f>
        <v>0</v>
      </c>
      <c r="S74" s="115">
        <v>0</v>
      </c>
      <c r="T74" s="114">
        <f>S74*$B$45</f>
        <v>0</v>
      </c>
      <c r="U74" s="115">
        <v>0</v>
      </c>
      <c r="V74" s="114">
        <f>U74*$B$45</f>
        <v>0</v>
      </c>
      <c r="W74" s="113">
        <v>0</v>
      </c>
      <c r="X74" s="114">
        <f>W74*$B$46</f>
        <v>0</v>
      </c>
      <c r="Y74" s="113">
        <v>0</v>
      </c>
      <c r="Z74" s="114">
        <f>Y74*$B$46</f>
        <v>0</v>
      </c>
      <c r="AB74" s="99"/>
    </row>
    <row r="75" spans="1:31" ht="18.75" hidden="1" customHeight="1" x14ac:dyDescent="0.15">
      <c r="A75" s="112"/>
      <c r="B75" s="182"/>
      <c r="C75" s="113">
        <v>0</v>
      </c>
      <c r="D75" s="114">
        <f t="shared" ref="D75" si="22">C75*$B$57</f>
        <v>0</v>
      </c>
      <c r="E75" s="115">
        <v>0</v>
      </c>
      <c r="F75" s="114">
        <f>E75*$B$47</f>
        <v>0</v>
      </c>
      <c r="G75" s="115">
        <v>0</v>
      </c>
      <c r="H75" s="114">
        <f>G75*$B$47</f>
        <v>0</v>
      </c>
      <c r="I75" s="115">
        <v>0</v>
      </c>
      <c r="J75" s="114">
        <f>I75*$B$47</f>
        <v>0</v>
      </c>
      <c r="K75" s="115">
        <v>0</v>
      </c>
      <c r="L75" s="114">
        <f>K75*$B$47</f>
        <v>0</v>
      </c>
      <c r="M75" s="115">
        <v>0</v>
      </c>
      <c r="N75" s="114">
        <f>M75*$B$47</f>
        <v>0</v>
      </c>
      <c r="O75" s="115">
        <v>0</v>
      </c>
      <c r="P75" s="114">
        <f>O75*$B$47</f>
        <v>0</v>
      </c>
      <c r="Q75" s="115">
        <v>0</v>
      </c>
      <c r="R75" s="114">
        <f>Q75*$B$47</f>
        <v>0</v>
      </c>
      <c r="S75" s="115">
        <v>0</v>
      </c>
      <c r="T75" s="114">
        <f>S75*$B$47</f>
        <v>0</v>
      </c>
      <c r="U75" s="115">
        <v>0</v>
      </c>
      <c r="V75" s="114">
        <f>U75*$B$47</f>
        <v>0</v>
      </c>
      <c r="W75" s="113">
        <v>0</v>
      </c>
      <c r="X75" s="114">
        <f>W75*$B$47</f>
        <v>0</v>
      </c>
      <c r="Y75" s="113">
        <v>0</v>
      </c>
      <c r="Z75" s="114">
        <f>Y75*$B$47</f>
        <v>0</v>
      </c>
      <c r="AB75" s="99"/>
    </row>
    <row r="76" spans="1:31" ht="18.75" hidden="1" customHeight="1" x14ac:dyDescent="0.15">
      <c r="A76" s="112"/>
      <c r="B76" s="182"/>
      <c r="C76" s="113">
        <v>0</v>
      </c>
      <c r="D76" s="114">
        <f t="shared" ref="D76" si="23">C76*$B$58</f>
        <v>0</v>
      </c>
      <c r="E76" s="115">
        <v>0</v>
      </c>
      <c r="F76" s="114">
        <f>E76*$B$48</f>
        <v>0</v>
      </c>
      <c r="G76" s="115">
        <v>0</v>
      </c>
      <c r="H76" s="114">
        <f>G76*$B$48</f>
        <v>0</v>
      </c>
      <c r="I76" s="115">
        <v>0</v>
      </c>
      <c r="J76" s="114">
        <f>I76*$B$48</f>
        <v>0</v>
      </c>
      <c r="K76" s="115">
        <v>0</v>
      </c>
      <c r="L76" s="114">
        <f>K76*$B$48</f>
        <v>0</v>
      </c>
      <c r="M76" s="115">
        <v>0</v>
      </c>
      <c r="N76" s="114">
        <f>M76*$B$48</f>
        <v>0</v>
      </c>
      <c r="O76" s="115">
        <v>0</v>
      </c>
      <c r="P76" s="114">
        <f>O76*$B$48</f>
        <v>0</v>
      </c>
      <c r="Q76" s="115">
        <v>0</v>
      </c>
      <c r="R76" s="114">
        <f>Q76*$B$48</f>
        <v>0</v>
      </c>
      <c r="S76" s="115">
        <v>0</v>
      </c>
      <c r="T76" s="114">
        <f>S76*$B$48</f>
        <v>0</v>
      </c>
      <c r="U76" s="115">
        <v>0</v>
      </c>
      <c r="V76" s="114">
        <f>U76*$B$48</f>
        <v>0</v>
      </c>
      <c r="W76" s="113">
        <v>1</v>
      </c>
      <c r="X76" s="114">
        <f>W76*$B$48</f>
        <v>0</v>
      </c>
      <c r="Y76" s="113">
        <v>1</v>
      </c>
      <c r="Z76" s="114">
        <f>Y76*$B$48</f>
        <v>0</v>
      </c>
      <c r="AB76" s="99"/>
    </row>
    <row r="77" spans="1:31" ht="14" hidden="1" x14ac:dyDescent="0.15">
      <c r="A77" s="112"/>
      <c r="B77" s="182"/>
      <c r="C77" s="113">
        <v>0</v>
      </c>
      <c r="D77" s="114">
        <f t="shared" ref="D77" si="24">C77*$B$59</f>
        <v>0</v>
      </c>
      <c r="E77" s="115">
        <v>0</v>
      </c>
      <c r="F77" s="114">
        <f>E77*$B$48</f>
        <v>0</v>
      </c>
      <c r="G77" s="115">
        <v>0</v>
      </c>
      <c r="H77" s="114">
        <f>G77*$B$48</f>
        <v>0</v>
      </c>
      <c r="I77" s="115">
        <v>0</v>
      </c>
      <c r="J77" s="114">
        <f>I77*$B$48</f>
        <v>0</v>
      </c>
      <c r="K77" s="115">
        <v>0</v>
      </c>
      <c r="L77" s="114">
        <f>K77*$B$48</f>
        <v>0</v>
      </c>
      <c r="M77" s="115">
        <v>0</v>
      </c>
      <c r="N77" s="114">
        <f>M77*$B$48</f>
        <v>0</v>
      </c>
      <c r="O77" s="115">
        <v>0</v>
      </c>
      <c r="P77" s="114">
        <f>O77*$B$48</f>
        <v>0</v>
      </c>
      <c r="Q77" s="115">
        <v>0</v>
      </c>
      <c r="R77" s="114">
        <f>Q77*$B$48</f>
        <v>0</v>
      </c>
      <c r="S77" s="115">
        <v>0</v>
      </c>
      <c r="T77" s="114">
        <f>S77*$B$48</f>
        <v>0</v>
      </c>
      <c r="U77" s="115">
        <v>0</v>
      </c>
      <c r="V77" s="114">
        <f>U77*$B$48</f>
        <v>0</v>
      </c>
      <c r="W77" s="113">
        <v>0</v>
      </c>
      <c r="X77" s="114">
        <f>W77*$B$48</f>
        <v>0</v>
      </c>
      <c r="Y77" s="113">
        <v>0</v>
      </c>
      <c r="Z77" s="114">
        <f>Y77*$B$48</f>
        <v>0</v>
      </c>
      <c r="AB77" s="99"/>
      <c r="AE77" s="99"/>
    </row>
    <row r="78" spans="1:31" ht="15" hidden="1" customHeight="1" x14ac:dyDescent="0.15">
      <c r="A78" s="112"/>
      <c r="B78" s="182"/>
      <c r="C78" s="113">
        <v>0</v>
      </c>
      <c r="D78" s="117">
        <f t="shared" ref="D78" si="25">C78*$B$60</f>
        <v>0</v>
      </c>
      <c r="E78" s="115">
        <v>0</v>
      </c>
      <c r="F78" s="114">
        <f>E78*$B$50</f>
        <v>0</v>
      </c>
      <c r="G78" s="115">
        <v>0</v>
      </c>
      <c r="H78" s="114">
        <f>G78*$B$50</f>
        <v>0</v>
      </c>
      <c r="I78" s="115">
        <v>0</v>
      </c>
      <c r="J78" s="114">
        <f>I78*$B$50</f>
        <v>0</v>
      </c>
      <c r="K78" s="115">
        <v>0</v>
      </c>
      <c r="L78" s="114">
        <f>K78*$B$50</f>
        <v>0</v>
      </c>
      <c r="M78" s="115">
        <v>0</v>
      </c>
      <c r="N78" s="114">
        <f>M78*$B$50</f>
        <v>0</v>
      </c>
      <c r="O78" s="115">
        <v>0</v>
      </c>
      <c r="P78" s="114">
        <f>O78*$B$50</f>
        <v>0</v>
      </c>
      <c r="Q78" s="115">
        <v>0</v>
      </c>
      <c r="R78" s="114">
        <f>Q78*$B$50</f>
        <v>0</v>
      </c>
      <c r="S78" s="115">
        <v>0</v>
      </c>
      <c r="T78" s="114">
        <f>S78*$B$50</f>
        <v>0</v>
      </c>
      <c r="U78" s="115">
        <v>0</v>
      </c>
      <c r="V78" s="114">
        <f>U78*$B$50</f>
        <v>0</v>
      </c>
      <c r="W78" s="113">
        <v>0</v>
      </c>
      <c r="X78" s="114">
        <f>W78*$B$50</f>
        <v>0</v>
      </c>
      <c r="Y78" s="113">
        <v>0</v>
      </c>
      <c r="Z78" s="114">
        <f>Y78*$B$50</f>
        <v>0</v>
      </c>
      <c r="AB78" s="99"/>
    </row>
    <row r="79" spans="1:31" ht="15" hidden="1" customHeight="1" x14ac:dyDescent="0.15">
      <c r="A79" s="112"/>
      <c r="B79" s="182"/>
      <c r="C79" s="113">
        <v>0</v>
      </c>
      <c r="D79" s="114">
        <f t="shared" ref="D79" si="26">C79*$B$61</f>
        <v>0</v>
      </c>
      <c r="E79" s="115">
        <v>0</v>
      </c>
      <c r="F79" s="114">
        <f>E79*$B$50</f>
        <v>0</v>
      </c>
      <c r="G79" s="115">
        <v>0</v>
      </c>
      <c r="H79" s="114">
        <f>G79*$B$50</f>
        <v>0</v>
      </c>
      <c r="I79" s="115">
        <v>0</v>
      </c>
      <c r="J79" s="114">
        <f>I79*$B$50</f>
        <v>0</v>
      </c>
      <c r="K79" s="115">
        <v>0</v>
      </c>
      <c r="L79" s="114">
        <f>K79*$B$50</f>
        <v>0</v>
      </c>
      <c r="M79" s="115">
        <v>0</v>
      </c>
      <c r="N79" s="114">
        <f>M79*$B$50</f>
        <v>0</v>
      </c>
      <c r="O79" s="115">
        <v>0</v>
      </c>
      <c r="P79" s="114">
        <f>O79*$B$50</f>
        <v>0</v>
      </c>
      <c r="Q79" s="115">
        <v>0</v>
      </c>
      <c r="R79" s="114">
        <f>Q79*$B$50</f>
        <v>0</v>
      </c>
      <c r="S79" s="115">
        <v>0</v>
      </c>
      <c r="T79" s="114">
        <f>S79*$B$50</f>
        <v>0</v>
      </c>
      <c r="U79" s="115">
        <v>0</v>
      </c>
      <c r="V79" s="114">
        <f>U79*$B$50</f>
        <v>0</v>
      </c>
      <c r="W79" s="113">
        <v>0</v>
      </c>
      <c r="X79" s="114">
        <f>W79*$B$50</f>
        <v>0</v>
      </c>
      <c r="Y79" s="113">
        <v>0</v>
      </c>
      <c r="Z79" s="114">
        <f>Y79*$B$50</f>
        <v>0</v>
      </c>
      <c r="AB79" s="99"/>
    </row>
    <row r="80" spans="1:31" ht="15" hidden="1" customHeight="1" x14ac:dyDescent="0.15">
      <c r="A80" s="112"/>
      <c r="B80" s="182"/>
      <c r="C80" s="113">
        <v>0</v>
      </c>
      <c r="D80" s="117">
        <f t="shared" ref="D80" si="27">C80*$B$62</f>
        <v>0</v>
      </c>
      <c r="E80" s="115">
        <v>0</v>
      </c>
      <c r="F80" s="114">
        <f>E80*$B$52</f>
        <v>0</v>
      </c>
      <c r="G80" s="115">
        <v>0</v>
      </c>
      <c r="H80" s="114">
        <f>G80*$B$52</f>
        <v>0</v>
      </c>
      <c r="I80" s="115">
        <v>0</v>
      </c>
      <c r="J80" s="114">
        <f>I80*$B$52</f>
        <v>0</v>
      </c>
      <c r="K80" s="115">
        <v>0</v>
      </c>
      <c r="L80" s="114">
        <f>K80*$B$52</f>
        <v>0</v>
      </c>
      <c r="M80" s="115">
        <v>0</v>
      </c>
      <c r="N80" s="114">
        <f>M80*$B$52</f>
        <v>0</v>
      </c>
      <c r="O80" s="115">
        <v>0</v>
      </c>
      <c r="P80" s="114">
        <f>O80*$B$52</f>
        <v>0</v>
      </c>
      <c r="Q80" s="115">
        <v>0</v>
      </c>
      <c r="R80" s="114">
        <f>Q80*$B$52</f>
        <v>0</v>
      </c>
      <c r="S80" s="115">
        <v>0</v>
      </c>
      <c r="T80" s="114">
        <f>S80*$B$52</f>
        <v>0</v>
      </c>
      <c r="U80" s="115">
        <v>0</v>
      </c>
      <c r="V80" s="114">
        <f>U80*$B$52</f>
        <v>0</v>
      </c>
      <c r="W80" s="113">
        <v>0</v>
      </c>
      <c r="X80" s="114">
        <f>W80*$B$52</f>
        <v>0</v>
      </c>
      <c r="Y80" s="113">
        <v>0</v>
      </c>
      <c r="Z80" s="114">
        <f>Y80*$B$52</f>
        <v>0</v>
      </c>
      <c r="AB80" s="99"/>
    </row>
    <row r="81" spans="1:29" ht="15" hidden="1" customHeight="1" x14ac:dyDescent="0.15">
      <c r="A81" s="116"/>
      <c r="B81" s="182"/>
      <c r="C81" s="113">
        <v>0</v>
      </c>
      <c r="D81" s="114">
        <f t="shared" ref="D81" si="28">C81*$B$63</f>
        <v>0</v>
      </c>
      <c r="E81" s="115">
        <v>0</v>
      </c>
      <c r="F81" s="114">
        <f>E81*$B$52</f>
        <v>0</v>
      </c>
      <c r="G81" s="115">
        <v>0</v>
      </c>
      <c r="H81" s="114">
        <f>G81*$B$52</f>
        <v>0</v>
      </c>
      <c r="I81" s="115">
        <v>0</v>
      </c>
      <c r="J81" s="114">
        <f>I81*$B$52</f>
        <v>0</v>
      </c>
      <c r="K81" s="115">
        <v>0</v>
      </c>
      <c r="L81" s="114">
        <f>K81*$B$52</f>
        <v>0</v>
      </c>
      <c r="M81" s="115">
        <v>0</v>
      </c>
      <c r="N81" s="114">
        <f>M81*$B$52</f>
        <v>0</v>
      </c>
      <c r="O81" s="115">
        <v>0</v>
      </c>
      <c r="P81" s="114">
        <f>O81*$B$52</f>
        <v>0</v>
      </c>
      <c r="Q81" s="115">
        <v>0</v>
      </c>
      <c r="R81" s="114">
        <f>Q81*$B$52</f>
        <v>0</v>
      </c>
      <c r="S81" s="115">
        <v>0</v>
      </c>
      <c r="T81" s="114">
        <f>S81*$B$52</f>
        <v>0</v>
      </c>
      <c r="U81" s="115">
        <v>0</v>
      </c>
      <c r="V81" s="114">
        <f>U81*$B$52</f>
        <v>0</v>
      </c>
      <c r="W81" s="113">
        <v>0</v>
      </c>
      <c r="X81" s="114">
        <f>W81*$B$52</f>
        <v>0</v>
      </c>
      <c r="Y81" s="113">
        <v>0</v>
      </c>
      <c r="Z81" s="114">
        <f>Y81*$B$52</f>
        <v>0</v>
      </c>
      <c r="AB81" s="99"/>
    </row>
    <row r="82" spans="1:29" ht="15" hidden="1" customHeight="1" x14ac:dyDescent="0.15">
      <c r="A82" s="116"/>
      <c r="B82" s="182"/>
      <c r="C82" s="113">
        <v>0</v>
      </c>
      <c r="D82" s="114">
        <f t="shared" ref="D82" si="29">C82*$B$64</f>
        <v>0</v>
      </c>
      <c r="E82" s="115">
        <v>0</v>
      </c>
      <c r="F82" s="114">
        <f>E82*$B$54</f>
        <v>0</v>
      </c>
      <c r="G82" s="115">
        <v>0</v>
      </c>
      <c r="H82" s="114">
        <f>G82*$B$54</f>
        <v>0</v>
      </c>
      <c r="I82" s="115">
        <v>0</v>
      </c>
      <c r="J82" s="114">
        <f>I82*$B$54</f>
        <v>0</v>
      </c>
      <c r="K82" s="115">
        <v>0</v>
      </c>
      <c r="L82" s="114">
        <f>K82*$B$54</f>
        <v>0</v>
      </c>
      <c r="M82" s="115">
        <v>0</v>
      </c>
      <c r="N82" s="114">
        <f>M82*$B$54</f>
        <v>0</v>
      </c>
      <c r="O82" s="115">
        <v>0</v>
      </c>
      <c r="P82" s="114">
        <f>O82*$B$54</f>
        <v>0</v>
      </c>
      <c r="Q82" s="115">
        <v>0</v>
      </c>
      <c r="R82" s="114">
        <f>Q82*$B$54</f>
        <v>0</v>
      </c>
      <c r="S82" s="115">
        <v>0</v>
      </c>
      <c r="T82" s="114">
        <f>S82*$B$54</f>
        <v>0</v>
      </c>
      <c r="U82" s="115">
        <v>0</v>
      </c>
      <c r="V82" s="114">
        <f>U82*$B$54</f>
        <v>0</v>
      </c>
      <c r="W82" s="113">
        <v>0</v>
      </c>
      <c r="X82" s="114">
        <f>W82*$B$54</f>
        <v>0</v>
      </c>
      <c r="Y82" s="113">
        <v>0</v>
      </c>
      <c r="Z82" s="114">
        <f>Y82*$B$54</f>
        <v>0</v>
      </c>
      <c r="AB82" s="99"/>
    </row>
    <row r="83" spans="1:29" ht="15" hidden="1" customHeight="1" x14ac:dyDescent="0.15">
      <c r="A83" s="116"/>
      <c r="B83" s="182"/>
      <c r="C83" s="113">
        <v>0</v>
      </c>
      <c r="D83" s="114">
        <f t="shared" ref="D83" si="30">C83*$B$65</f>
        <v>0</v>
      </c>
      <c r="E83" s="115">
        <v>0</v>
      </c>
      <c r="F83" s="114">
        <f>E83*$B$54</f>
        <v>0</v>
      </c>
      <c r="G83" s="115">
        <v>0</v>
      </c>
      <c r="H83" s="114">
        <f>G83*$B$54</f>
        <v>0</v>
      </c>
      <c r="I83" s="115">
        <v>0</v>
      </c>
      <c r="J83" s="114">
        <f>I83*$B$54</f>
        <v>0</v>
      </c>
      <c r="K83" s="115">
        <v>0</v>
      </c>
      <c r="L83" s="114">
        <f>K83*$B$54</f>
        <v>0</v>
      </c>
      <c r="M83" s="115">
        <v>0</v>
      </c>
      <c r="N83" s="114">
        <f>M83*$B$54</f>
        <v>0</v>
      </c>
      <c r="O83" s="115">
        <v>0</v>
      </c>
      <c r="P83" s="114">
        <f>O83*$B$54</f>
        <v>0</v>
      </c>
      <c r="Q83" s="115">
        <v>0</v>
      </c>
      <c r="R83" s="114">
        <f>Q83*$B$54</f>
        <v>0</v>
      </c>
      <c r="S83" s="115">
        <v>0</v>
      </c>
      <c r="T83" s="114">
        <f>S83*$B$54</f>
        <v>0</v>
      </c>
      <c r="U83" s="115">
        <v>0</v>
      </c>
      <c r="V83" s="114">
        <f>U83*$B$54</f>
        <v>0</v>
      </c>
      <c r="W83" s="113">
        <v>0</v>
      </c>
      <c r="X83" s="114">
        <f>W83*$B$54</f>
        <v>0</v>
      </c>
      <c r="Y83" s="113">
        <v>0</v>
      </c>
      <c r="Z83" s="114">
        <f>Y83*$B$54</f>
        <v>0</v>
      </c>
      <c r="AB83" s="99"/>
    </row>
    <row r="84" spans="1:29" ht="15" hidden="1" customHeight="1" x14ac:dyDescent="0.15">
      <c r="A84" s="116"/>
      <c r="B84" s="182"/>
      <c r="C84" s="113">
        <v>0</v>
      </c>
      <c r="D84" s="114">
        <f t="shared" ref="D84" si="31">C84*$B$68</f>
        <v>0</v>
      </c>
      <c r="E84" s="115">
        <v>0</v>
      </c>
      <c r="F84" s="114">
        <f>E84*$B$52</f>
        <v>0</v>
      </c>
      <c r="G84" s="115">
        <v>0</v>
      </c>
      <c r="H84" s="114">
        <f>G84*$B$52</f>
        <v>0</v>
      </c>
      <c r="I84" s="115">
        <v>0</v>
      </c>
      <c r="J84" s="114">
        <f>I84*$B$52</f>
        <v>0</v>
      </c>
      <c r="K84" s="115">
        <v>0</v>
      </c>
      <c r="L84" s="114">
        <f>K84*$B$52</f>
        <v>0</v>
      </c>
      <c r="M84" s="115">
        <v>0</v>
      </c>
      <c r="N84" s="114">
        <f>M84*$B$52</f>
        <v>0</v>
      </c>
      <c r="O84" s="115">
        <v>0</v>
      </c>
      <c r="P84" s="114">
        <f>O84*$B$52</f>
        <v>0</v>
      </c>
      <c r="Q84" s="115">
        <v>0</v>
      </c>
      <c r="R84" s="114">
        <f>Q84*$B$52</f>
        <v>0</v>
      </c>
      <c r="S84" s="115">
        <v>0</v>
      </c>
      <c r="T84" s="114">
        <f>S84*$B$52</f>
        <v>0</v>
      </c>
      <c r="U84" s="115">
        <v>0</v>
      </c>
      <c r="V84" s="114">
        <f>U84*$B$52</f>
        <v>0</v>
      </c>
      <c r="W84" s="113">
        <v>0</v>
      </c>
      <c r="X84" s="114">
        <f>W84*$B$52</f>
        <v>0</v>
      </c>
      <c r="Y84" s="113">
        <v>0</v>
      </c>
      <c r="Z84" s="114">
        <f>Y84*$B$52</f>
        <v>0</v>
      </c>
      <c r="AB84" s="99"/>
    </row>
    <row r="85" spans="1:29" ht="15" hidden="1" customHeight="1" x14ac:dyDescent="0.15">
      <c r="A85" s="116"/>
      <c r="B85" s="182"/>
      <c r="C85" s="113">
        <v>0</v>
      </c>
      <c r="D85" s="114">
        <f t="shared" ref="D85" si="32">C85*$B$49</f>
        <v>0</v>
      </c>
      <c r="E85" s="115">
        <v>0</v>
      </c>
      <c r="F85" s="114">
        <f>E85*$B$57</f>
        <v>0</v>
      </c>
      <c r="G85" s="115">
        <v>0</v>
      </c>
      <c r="H85" s="114">
        <f>G85*$B$57</f>
        <v>0</v>
      </c>
      <c r="I85" s="115">
        <v>0</v>
      </c>
      <c r="J85" s="114">
        <f>I85*$B$57</f>
        <v>0</v>
      </c>
      <c r="K85" s="115">
        <v>0</v>
      </c>
      <c r="L85" s="114">
        <f>K85*$B$57</f>
        <v>0</v>
      </c>
      <c r="M85" s="115">
        <v>0</v>
      </c>
      <c r="N85" s="114">
        <f>M85*$B$57</f>
        <v>0</v>
      </c>
      <c r="O85" s="115">
        <v>0</v>
      </c>
      <c r="P85" s="114">
        <f>O85*$B$57</f>
        <v>0</v>
      </c>
      <c r="Q85" s="115">
        <v>0</v>
      </c>
      <c r="R85" s="114">
        <f>Q85*$B$57</f>
        <v>0</v>
      </c>
      <c r="S85" s="115">
        <v>0</v>
      </c>
      <c r="T85" s="114">
        <f>S85*$B$57</f>
        <v>0</v>
      </c>
      <c r="U85" s="115">
        <v>0</v>
      </c>
      <c r="V85" s="114">
        <f>U85*$B$57</f>
        <v>0</v>
      </c>
      <c r="W85" s="113">
        <v>0</v>
      </c>
      <c r="X85" s="114">
        <f>W85*$B$57</f>
        <v>0</v>
      </c>
      <c r="Y85" s="113">
        <v>0</v>
      </c>
      <c r="Z85" s="114">
        <f>Y85*$B$57</f>
        <v>0</v>
      </c>
      <c r="AB85" s="99"/>
    </row>
    <row r="86" spans="1:29" ht="15" hidden="1" customHeight="1" x14ac:dyDescent="0.15">
      <c r="A86" s="116"/>
      <c r="B86" s="182"/>
      <c r="C86" s="113">
        <v>0</v>
      </c>
      <c r="D86" s="114">
        <f t="shared" ref="D86" si="33">C86*$B$50</f>
        <v>0</v>
      </c>
      <c r="E86" s="115">
        <v>0</v>
      </c>
      <c r="F86" s="114">
        <f>E86*$B$57</f>
        <v>0</v>
      </c>
      <c r="G86" s="115">
        <v>0</v>
      </c>
      <c r="H86" s="114">
        <f>G86*$B$57</f>
        <v>0</v>
      </c>
      <c r="I86" s="115">
        <v>0</v>
      </c>
      <c r="J86" s="114">
        <f>I86*$B$57</f>
        <v>0</v>
      </c>
      <c r="K86" s="115">
        <v>0</v>
      </c>
      <c r="L86" s="114">
        <f>K86*$B$57</f>
        <v>0</v>
      </c>
      <c r="M86" s="115">
        <v>0</v>
      </c>
      <c r="N86" s="114">
        <f>M86*$B$57</f>
        <v>0</v>
      </c>
      <c r="O86" s="115">
        <v>0</v>
      </c>
      <c r="P86" s="114">
        <f>O86*$B$57</f>
        <v>0</v>
      </c>
      <c r="Q86" s="115">
        <v>0</v>
      </c>
      <c r="R86" s="114">
        <f>Q86*$B$57</f>
        <v>0</v>
      </c>
      <c r="S86" s="115">
        <v>0</v>
      </c>
      <c r="T86" s="114">
        <f>S86*$B$57</f>
        <v>0</v>
      </c>
      <c r="U86" s="115">
        <v>0</v>
      </c>
      <c r="V86" s="114">
        <f>U86*$B$57</f>
        <v>0</v>
      </c>
      <c r="W86" s="113">
        <v>0</v>
      </c>
      <c r="X86" s="114">
        <f>W86*$B$57</f>
        <v>0</v>
      </c>
      <c r="Y86" s="113">
        <v>0</v>
      </c>
      <c r="Z86" s="114">
        <f>Y86*$B$57</f>
        <v>0</v>
      </c>
      <c r="AB86" s="99"/>
    </row>
    <row r="87" spans="1:29" ht="15" hidden="1" customHeight="1" x14ac:dyDescent="0.15">
      <c r="A87" s="116"/>
      <c r="B87" s="182"/>
      <c r="C87" s="113">
        <v>0</v>
      </c>
      <c r="D87" s="114">
        <f t="shared" ref="D87" si="34">C87*$B$51</f>
        <v>0</v>
      </c>
      <c r="E87" s="115">
        <v>0</v>
      </c>
      <c r="F87" s="114">
        <f>E87*$B$59</f>
        <v>0</v>
      </c>
      <c r="G87" s="115">
        <v>0</v>
      </c>
      <c r="H87" s="114">
        <f>G87*$B$59</f>
        <v>0</v>
      </c>
      <c r="I87" s="115">
        <v>0</v>
      </c>
      <c r="J87" s="114">
        <f>I87*$B$59</f>
        <v>0</v>
      </c>
      <c r="K87" s="115">
        <v>0</v>
      </c>
      <c r="L87" s="114">
        <f>K87*$B$59</f>
        <v>0</v>
      </c>
      <c r="M87" s="115">
        <v>0</v>
      </c>
      <c r="N87" s="114">
        <f>M87*$B$59</f>
        <v>0</v>
      </c>
      <c r="O87" s="115">
        <v>0</v>
      </c>
      <c r="P87" s="114">
        <f>O87*$B$59</f>
        <v>0</v>
      </c>
      <c r="Q87" s="115">
        <v>0</v>
      </c>
      <c r="R87" s="114">
        <f>Q87*$B$59</f>
        <v>0</v>
      </c>
      <c r="S87" s="115">
        <v>0</v>
      </c>
      <c r="T87" s="114">
        <f>S87*$B$59</f>
        <v>0</v>
      </c>
      <c r="U87" s="115">
        <v>0</v>
      </c>
      <c r="V87" s="114">
        <f>U87*$B$59</f>
        <v>0</v>
      </c>
      <c r="W87" s="113">
        <v>0</v>
      </c>
      <c r="X87" s="114">
        <f>W87*$B$59</f>
        <v>0</v>
      </c>
      <c r="Y87" s="113">
        <v>0</v>
      </c>
      <c r="Z87" s="114">
        <f>Y87*$B$59</f>
        <v>0</v>
      </c>
      <c r="AB87" s="99"/>
    </row>
    <row r="88" spans="1:29" s="1" customFormat="1" ht="15" hidden="1" customHeight="1" x14ac:dyDescent="0.15">
      <c r="A88" s="116"/>
      <c r="B88" s="182"/>
      <c r="C88" s="113">
        <v>0</v>
      </c>
      <c r="D88" s="114">
        <f t="shared" ref="D88" si="35">C88*$B$52</f>
        <v>0</v>
      </c>
      <c r="E88" s="115">
        <v>0</v>
      </c>
      <c r="F88" s="117">
        <f>E88*$B$60</f>
        <v>0</v>
      </c>
      <c r="G88" s="115">
        <v>0</v>
      </c>
      <c r="H88" s="117">
        <f>G88*$B$60</f>
        <v>0</v>
      </c>
      <c r="I88" s="115">
        <v>0</v>
      </c>
      <c r="J88" s="117">
        <f>I88*$B$60</f>
        <v>0</v>
      </c>
      <c r="K88" s="115">
        <v>0</v>
      </c>
      <c r="L88" s="117">
        <f>K88*$B$60</f>
        <v>0</v>
      </c>
      <c r="M88" s="115">
        <v>0</v>
      </c>
      <c r="N88" s="117">
        <f>M88*$B$60</f>
        <v>0</v>
      </c>
      <c r="O88" s="115">
        <v>0</v>
      </c>
      <c r="P88" s="117">
        <f>O88*$B$60</f>
        <v>0</v>
      </c>
      <c r="Q88" s="115">
        <v>0</v>
      </c>
      <c r="R88" s="117">
        <f>Q88*$B$60</f>
        <v>0</v>
      </c>
      <c r="S88" s="115">
        <v>0</v>
      </c>
      <c r="T88" s="117">
        <f>S88*$B$60</f>
        <v>0</v>
      </c>
      <c r="U88" s="115">
        <v>0</v>
      </c>
      <c r="V88" s="117">
        <f>U88*$B$60</f>
        <v>0</v>
      </c>
      <c r="W88" s="113">
        <v>0</v>
      </c>
      <c r="X88" s="117">
        <f>W88*$B$60</f>
        <v>0</v>
      </c>
      <c r="Y88" s="113">
        <v>0</v>
      </c>
      <c r="Z88" s="117">
        <f>Y88*$B$60</f>
        <v>0</v>
      </c>
      <c r="AB88" s="99"/>
      <c r="AC88" s="123"/>
    </row>
    <row r="89" spans="1:29" s="1" customFormat="1" ht="15" hidden="1" customHeight="1" x14ac:dyDescent="0.15">
      <c r="A89" s="118"/>
      <c r="B89" s="182"/>
      <c r="C89" s="113">
        <v>0</v>
      </c>
      <c r="D89" s="114">
        <f t="shared" ref="D89" si="36">C89*$B$53</f>
        <v>0</v>
      </c>
      <c r="E89" s="113">
        <v>0</v>
      </c>
      <c r="F89" s="114">
        <f>E89*$B$61</f>
        <v>0</v>
      </c>
      <c r="G89" s="113">
        <v>0</v>
      </c>
      <c r="H89" s="114">
        <f>G89*$B$61</f>
        <v>0</v>
      </c>
      <c r="I89" s="113">
        <v>0</v>
      </c>
      <c r="J89" s="114">
        <f>I89*$B$61</f>
        <v>0</v>
      </c>
      <c r="K89" s="113">
        <v>0</v>
      </c>
      <c r="L89" s="114">
        <f>K89*$B$61</f>
        <v>0</v>
      </c>
      <c r="M89" s="113">
        <v>0</v>
      </c>
      <c r="N89" s="114">
        <f>M89*$B$61</f>
        <v>0</v>
      </c>
      <c r="O89" s="113">
        <v>0</v>
      </c>
      <c r="P89" s="114">
        <f>O89*$B$61</f>
        <v>0</v>
      </c>
      <c r="Q89" s="113">
        <v>0</v>
      </c>
      <c r="R89" s="114">
        <f>Q89*$B$61</f>
        <v>0</v>
      </c>
      <c r="S89" s="113">
        <v>0</v>
      </c>
      <c r="T89" s="114">
        <f>S89*$B$61</f>
        <v>0</v>
      </c>
      <c r="U89" s="113">
        <v>0</v>
      </c>
      <c r="V89" s="114">
        <f>U89*$B$61</f>
        <v>0</v>
      </c>
      <c r="W89" s="113">
        <v>0</v>
      </c>
      <c r="X89" s="114">
        <f>W89*$B$61</f>
        <v>0</v>
      </c>
      <c r="Y89" s="113">
        <v>0</v>
      </c>
      <c r="Z89" s="114">
        <f>Y89*$B$61</f>
        <v>0</v>
      </c>
      <c r="AB89" s="99"/>
      <c r="AC89" s="123"/>
    </row>
    <row r="90" spans="1:29" s="1" customFormat="1" ht="15" hidden="1" customHeight="1" x14ac:dyDescent="0.15">
      <c r="A90" s="119"/>
      <c r="B90" s="182"/>
      <c r="C90" s="113">
        <v>0</v>
      </c>
      <c r="D90" s="114">
        <f t="shared" ref="D90:D91" si="37">C90*$B$54</f>
        <v>0</v>
      </c>
      <c r="E90" s="113">
        <v>0</v>
      </c>
      <c r="F90" s="117">
        <f>E90*$B$62</f>
        <v>0</v>
      </c>
      <c r="G90" s="113">
        <v>0</v>
      </c>
      <c r="H90" s="117">
        <f>G90*$B$62</f>
        <v>0</v>
      </c>
      <c r="I90" s="113">
        <v>0</v>
      </c>
      <c r="J90" s="117">
        <f>I90*$B$62</f>
        <v>0</v>
      </c>
      <c r="K90" s="113">
        <v>0</v>
      </c>
      <c r="L90" s="117">
        <f>K90*$B$62</f>
        <v>0</v>
      </c>
      <c r="M90" s="113">
        <v>0</v>
      </c>
      <c r="N90" s="117">
        <f>M90*$B$62</f>
        <v>0</v>
      </c>
      <c r="O90" s="113">
        <v>0</v>
      </c>
      <c r="P90" s="117">
        <f>O90*$B$62</f>
        <v>0</v>
      </c>
      <c r="Q90" s="113">
        <v>0</v>
      </c>
      <c r="R90" s="117">
        <f>Q90*$B$62</f>
        <v>0</v>
      </c>
      <c r="S90" s="113">
        <v>0</v>
      </c>
      <c r="T90" s="117">
        <f>S90*$B$62</f>
        <v>0</v>
      </c>
      <c r="U90" s="113">
        <v>0</v>
      </c>
      <c r="V90" s="117">
        <f>U90*$B$62</f>
        <v>0</v>
      </c>
      <c r="W90" s="113">
        <v>0</v>
      </c>
      <c r="X90" s="117">
        <f>W90*$B$62</f>
        <v>0</v>
      </c>
      <c r="Y90" s="113">
        <v>0</v>
      </c>
      <c r="Z90" s="117">
        <f>Y90*$B$62</f>
        <v>0</v>
      </c>
      <c r="AB90" s="99"/>
      <c r="AC90" s="123"/>
    </row>
    <row r="91" spans="1:29" s="1" customFormat="1" ht="15" hidden="1" customHeight="1" x14ac:dyDescent="0.15">
      <c r="A91" s="119"/>
      <c r="B91" s="182"/>
      <c r="C91" s="113">
        <v>0</v>
      </c>
      <c r="D91" s="114">
        <f t="shared" si="37"/>
        <v>0</v>
      </c>
      <c r="E91" s="113">
        <v>0</v>
      </c>
      <c r="F91" s="114">
        <f t="shared" ref="F91:F94" si="38">E91*$B$63</f>
        <v>0</v>
      </c>
      <c r="G91" s="113">
        <v>0</v>
      </c>
      <c r="H91" s="114">
        <f t="shared" ref="H91:H94" si="39">G91*$B$63</f>
        <v>0</v>
      </c>
      <c r="I91" s="113">
        <v>0</v>
      </c>
      <c r="J91" s="114">
        <f t="shared" ref="J91:J94" si="40">I91*$B$63</f>
        <v>0</v>
      </c>
      <c r="K91" s="113">
        <v>0</v>
      </c>
      <c r="L91" s="114">
        <f t="shared" ref="L91:L94" si="41">K91*$B$63</f>
        <v>0</v>
      </c>
      <c r="M91" s="113">
        <v>0</v>
      </c>
      <c r="N91" s="114">
        <f t="shared" ref="N91:N94" si="42">M91*$B$63</f>
        <v>0</v>
      </c>
      <c r="O91" s="113">
        <v>0</v>
      </c>
      <c r="P91" s="114">
        <f t="shared" ref="P91:P94" si="43">O91*$B$63</f>
        <v>0</v>
      </c>
      <c r="Q91" s="113">
        <v>0</v>
      </c>
      <c r="R91" s="114">
        <f t="shared" ref="R91:R94" si="44">Q91*$B$63</f>
        <v>0</v>
      </c>
      <c r="S91" s="113">
        <v>0</v>
      </c>
      <c r="T91" s="114">
        <f t="shared" ref="T91:T94" si="45">S91*$B$63</f>
        <v>0</v>
      </c>
      <c r="U91" s="113">
        <v>0</v>
      </c>
      <c r="V91" s="114">
        <f t="shared" ref="V91:V94" si="46">U91*$B$63</f>
        <v>0</v>
      </c>
      <c r="W91" s="113">
        <v>0</v>
      </c>
      <c r="X91" s="114">
        <f>W91*$B$63</f>
        <v>0</v>
      </c>
      <c r="Y91" s="113">
        <v>0</v>
      </c>
      <c r="Z91" s="114">
        <f>Y91*$B$63</f>
        <v>0</v>
      </c>
      <c r="AB91" s="99"/>
      <c r="AC91" s="123"/>
    </row>
    <row r="92" spans="1:29" s="1" customFormat="1" ht="15" hidden="1" customHeight="1" x14ac:dyDescent="0.15">
      <c r="A92" s="119"/>
      <c r="B92" s="182"/>
      <c r="C92" s="113">
        <v>0</v>
      </c>
      <c r="D92" s="114">
        <f t="shared" ref="D92" si="47">C92*$B$56</f>
        <v>0</v>
      </c>
      <c r="E92" s="113">
        <v>0</v>
      </c>
      <c r="F92" s="114">
        <f t="shared" si="38"/>
        <v>0</v>
      </c>
      <c r="G92" s="113">
        <v>0</v>
      </c>
      <c r="H92" s="114">
        <f t="shared" si="39"/>
        <v>0</v>
      </c>
      <c r="I92" s="113">
        <v>0</v>
      </c>
      <c r="J92" s="114">
        <f t="shared" si="40"/>
        <v>0</v>
      </c>
      <c r="K92" s="113">
        <v>0</v>
      </c>
      <c r="L92" s="114">
        <f t="shared" si="41"/>
        <v>0</v>
      </c>
      <c r="M92" s="113">
        <v>0</v>
      </c>
      <c r="N92" s="114">
        <f t="shared" si="42"/>
        <v>0</v>
      </c>
      <c r="O92" s="113">
        <v>0</v>
      </c>
      <c r="P92" s="114">
        <f t="shared" si="43"/>
        <v>0</v>
      </c>
      <c r="Q92" s="113">
        <v>0</v>
      </c>
      <c r="R92" s="114">
        <f t="shared" si="44"/>
        <v>0</v>
      </c>
      <c r="S92" s="113">
        <v>0</v>
      </c>
      <c r="T92" s="114">
        <f t="shared" si="45"/>
        <v>0</v>
      </c>
      <c r="U92" s="113">
        <v>0</v>
      </c>
      <c r="V92" s="114">
        <f t="shared" si="46"/>
        <v>0</v>
      </c>
      <c r="W92" s="113">
        <v>0</v>
      </c>
      <c r="X92" s="114">
        <f>W92*$B$63</f>
        <v>0</v>
      </c>
      <c r="Y92" s="113">
        <v>0</v>
      </c>
      <c r="Z92" s="114">
        <f>Y92*$B$63</f>
        <v>0</v>
      </c>
      <c r="AB92" s="99"/>
      <c r="AC92" s="123"/>
    </row>
    <row r="93" spans="1:29" s="1" customFormat="1" ht="15" hidden="1" customHeight="1" x14ac:dyDescent="0.15">
      <c r="A93" s="119"/>
      <c r="B93" s="182"/>
      <c r="C93" s="113">
        <v>0</v>
      </c>
      <c r="D93" s="114">
        <f t="shared" ref="D93" si="48">C93*$B$57</f>
        <v>0</v>
      </c>
      <c r="E93" s="113">
        <v>0</v>
      </c>
      <c r="F93" s="114">
        <f t="shared" si="38"/>
        <v>0</v>
      </c>
      <c r="G93" s="113">
        <v>0</v>
      </c>
      <c r="H93" s="114">
        <f t="shared" si="39"/>
        <v>0</v>
      </c>
      <c r="I93" s="113">
        <v>0</v>
      </c>
      <c r="J93" s="114">
        <f t="shared" si="40"/>
        <v>0</v>
      </c>
      <c r="K93" s="113">
        <v>0</v>
      </c>
      <c r="L93" s="114">
        <f t="shared" si="41"/>
        <v>0</v>
      </c>
      <c r="M93" s="113">
        <v>0</v>
      </c>
      <c r="N93" s="114">
        <f t="shared" si="42"/>
        <v>0</v>
      </c>
      <c r="O93" s="113">
        <v>0</v>
      </c>
      <c r="P93" s="114">
        <f t="shared" si="43"/>
        <v>0</v>
      </c>
      <c r="Q93" s="113">
        <v>0</v>
      </c>
      <c r="R93" s="114">
        <f t="shared" si="44"/>
        <v>0</v>
      </c>
      <c r="S93" s="113">
        <v>0</v>
      </c>
      <c r="T93" s="114">
        <f t="shared" si="45"/>
        <v>0</v>
      </c>
      <c r="U93" s="113">
        <v>0</v>
      </c>
      <c r="V93" s="114">
        <f t="shared" si="46"/>
        <v>0</v>
      </c>
      <c r="W93" s="113">
        <v>0</v>
      </c>
      <c r="X93" s="114">
        <f>W93*$B$63</f>
        <v>0</v>
      </c>
      <c r="Y93" s="113">
        <v>0</v>
      </c>
      <c r="Z93" s="114">
        <f>Y93*$B$63</f>
        <v>0</v>
      </c>
      <c r="AB93" s="99"/>
      <c r="AC93" s="123"/>
    </row>
    <row r="94" spans="1:29" s="1" customFormat="1" ht="15" hidden="1" customHeight="1" x14ac:dyDescent="0.15">
      <c r="A94" s="112"/>
      <c r="B94" s="182"/>
      <c r="C94" s="113">
        <v>0</v>
      </c>
      <c r="D94" s="114">
        <f t="shared" ref="D94" si="49">C94*$B$58</f>
        <v>0</v>
      </c>
      <c r="E94" s="113">
        <v>0</v>
      </c>
      <c r="F94" s="114">
        <f t="shared" si="38"/>
        <v>0</v>
      </c>
      <c r="G94" s="113">
        <v>0</v>
      </c>
      <c r="H94" s="114">
        <f t="shared" si="39"/>
        <v>0</v>
      </c>
      <c r="I94" s="113">
        <v>0</v>
      </c>
      <c r="J94" s="114">
        <f t="shared" si="40"/>
        <v>0</v>
      </c>
      <c r="K94" s="113">
        <v>0</v>
      </c>
      <c r="L94" s="114">
        <f t="shared" si="41"/>
        <v>0</v>
      </c>
      <c r="M94" s="113">
        <v>0</v>
      </c>
      <c r="N94" s="114">
        <f t="shared" si="42"/>
        <v>0</v>
      </c>
      <c r="O94" s="113">
        <v>0</v>
      </c>
      <c r="P94" s="114">
        <f t="shared" si="43"/>
        <v>0</v>
      </c>
      <c r="Q94" s="113">
        <v>0</v>
      </c>
      <c r="R94" s="114">
        <f t="shared" si="44"/>
        <v>0</v>
      </c>
      <c r="S94" s="113">
        <v>0</v>
      </c>
      <c r="T94" s="114">
        <f t="shared" si="45"/>
        <v>0</v>
      </c>
      <c r="U94" s="113">
        <v>0</v>
      </c>
      <c r="V94" s="114">
        <f t="shared" si="46"/>
        <v>0</v>
      </c>
      <c r="W94" s="113">
        <v>0</v>
      </c>
      <c r="X94" s="114">
        <f>W94*$B$63</f>
        <v>0</v>
      </c>
      <c r="Y94" s="113">
        <v>0</v>
      </c>
      <c r="Z94" s="114">
        <f>Y94*$B$63</f>
        <v>0</v>
      </c>
      <c r="AB94" s="99"/>
      <c r="AC94" s="123"/>
    </row>
    <row r="95" spans="1:29" s="1" customFormat="1" ht="30" hidden="1" customHeight="1" x14ac:dyDescent="0.15">
      <c r="A95" s="112" t="s">
        <v>45</v>
      </c>
      <c r="B95" s="182"/>
      <c r="C95" s="113">
        <v>0</v>
      </c>
      <c r="D95" s="114">
        <f>C95*$B$68</f>
        <v>0</v>
      </c>
      <c r="E95" s="113">
        <v>0</v>
      </c>
      <c r="F95" s="114">
        <f>E95*$B$63</f>
        <v>0</v>
      </c>
      <c r="G95" s="113">
        <v>0</v>
      </c>
      <c r="H95" s="114">
        <f>G95*$B$63</f>
        <v>0</v>
      </c>
      <c r="I95" s="113">
        <v>0</v>
      </c>
      <c r="J95" s="114">
        <f>I95*$B$63</f>
        <v>0</v>
      </c>
      <c r="K95" s="113">
        <v>0</v>
      </c>
      <c r="L95" s="114">
        <f>K95*$B$63</f>
        <v>0</v>
      </c>
      <c r="M95" s="113">
        <v>0</v>
      </c>
      <c r="N95" s="114">
        <f>M95*$B$63</f>
        <v>0</v>
      </c>
      <c r="O95" s="113">
        <v>0</v>
      </c>
      <c r="P95" s="114">
        <f>O95*$B$63</f>
        <v>0</v>
      </c>
      <c r="Q95" s="113">
        <v>0</v>
      </c>
      <c r="R95" s="114">
        <f>Q95*$B$63</f>
        <v>0</v>
      </c>
      <c r="S95" s="113">
        <v>0</v>
      </c>
      <c r="T95" s="114">
        <f>S95*$B$63</f>
        <v>0</v>
      </c>
      <c r="U95" s="113">
        <v>0</v>
      </c>
      <c r="V95" s="114">
        <f>U95*$B$63</f>
        <v>0</v>
      </c>
      <c r="W95" s="113">
        <v>0</v>
      </c>
      <c r="X95" s="114">
        <f>W95*B95</f>
        <v>0</v>
      </c>
      <c r="Y95" s="113"/>
      <c r="Z95" s="114">
        <f>Y95*B95</f>
        <v>0</v>
      </c>
      <c r="AB95" s="99"/>
      <c r="AC95" s="123"/>
    </row>
    <row r="96" spans="1:29" s="1" customFormat="1" ht="17.25" customHeight="1" thickBot="1" x14ac:dyDescent="0.2">
      <c r="A96" s="112"/>
      <c r="B96" s="182"/>
      <c r="C96" s="113">
        <v>0</v>
      </c>
      <c r="D96" s="114">
        <f>C96*$B$68</f>
        <v>0</v>
      </c>
      <c r="E96" s="113">
        <v>0</v>
      </c>
      <c r="F96" s="114">
        <f>E96*$B$63</f>
        <v>0</v>
      </c>
      <c r="G96" s="113">
        <v>0</v>
      </c>
      <c r="H96" s="114">
        <f>G96*$B$63</f>
        <v>0</v>
      </c>
      <c r="I96" s="113">
        <v>0</v>
      </c>
      <c r="J96" s="114">
        <f>I96*$B$63</f>
        <v>0</v>
      </c>
      <c r="K96" s="113">
        <v>0</v>
      </c>
      <c r="L96" s="114">
        <f>K96*$B$63</f>
        <v>0</v>
      </c>
      <c r="M96" s="113">
        <v>0</v>
      </c>
      <c r="N96" s="114">
        <f>M96*$B$63</f>
        <v>0</v>
      </c>
      <c r="O96" s="113">
        <v>0</v>
      </c>
      <c r="P96" s="114">
        <f>O96*$B$63</f>
        <v>0</v>
      </c>
      <c r="Q96" s="113">
        <v>0</v>
      </c>
      <c r="R96" s="114">
        <f>Q96*$B$63</f>
        <v>0</v>
      </c>
      <c r="S96" s="113">
        <v>0</v>
      </c>
      <c r="T96" s="114">
        <f>S96*$B$63</f>
        <v>0</v>
      </c>
      <c r="U96" s="113">
        <v>0</v>
      </c>
      <c r="V96" s="114">
        <f>U96*$B$63</f>
        <v>0</v>
      </c>
      <c r="W96" s="113"/>
      <c r="X96" s="114">
        <f>W96*B96</f>
        <v>0</v>
      </c>
      <c r="Y96" s="113">
        <v>0</v>
      </c>
      <c r="Z96" s="114">
        <f>Y96*B96</f>
        <v>0</v>
      </c>
      <c r="AB96" s="99"/>
      <c r="AC96" s="123"/>
    </row>
    <row r="97" spans="1:28" ht="14" x14ac:dyDescent="0.15">
      <c r="A97" s="134" t="s">
        <v>13</v>
      </c>
      <c r="B97" s="135"/>
      <c r="C97" s="120"/>
      <c r="D97" s="121">
        <f>SUM(D28:D96)</f>
        <v>2270</v>
      </c>
      <c r="E97" s="120"/>
      <c r="F97" s="121" t="e">
        <f>SUM(F26:F72)</f>
        <v>#REF!</v>
      </c>
      <c r="G97" s="120"/>
      <c r="H97" s="121" t="e">
        <f>SUM(H26:H72)</f>
        <v>#REF!</v>
      </c>
      <c r="I97" s="120"/>
      <c r="J97" s="121" t="e">
        <f>SUM(J26:J72)</f>
        <v>#REF!</v>
      </c>
      <c r="K97" s="120"/>
      <c r="L97" s="121" t="e">
        <f>SUM(L26:L72)</f>
        <v>#REF!</v>
      </c>
      <c r="M97" s="120"/>
      <c r="N97" s="121" t="e">
        <f>SUM(N26:N72)</f>
        <v>#REF!</v>
      </c>
      <c r="O97" s="120"/>
      <c r="P97" s="121" t="e">
        <f>SUM(P26:P72)</f>
        <v>#REF!</v>
      </c>
      <c r="Q97" s="120"/>
      <c r="R97" s="121" t="e">
        <f>SUM(R26:R72)</f>
        <v>#REF!</v>
      </c>
      <c r="S97" s="120"/>
      <c r="T97" s="121" t="e">
        <f>SUM(T26:T72)</f>
        <v>#REF!</v>
      </c>
      <c r="U97" s="120"/>
      <c r="V97" s="121" t="e">
        <f>SUM(V26:V72)</f>
        <v>#REF!</v>
      </c>
      <c r="W97" s="120"/>
      <c r="X97" s="121">
        <f>SUM(X28:X96)</f>
        <v>0</v>
      </c>
      <c r="Y97" s="120"/>
      <c r="Z97" s="121">
        <f>SUM(Z28:Z96)</f>
        <v>0</v>
      </c>
      <c r="AB97" s="183"/>
    </row>
    <row r="98" spans="1:28" ht="14" x14ac:dyDescent="0.15">
      <c r="A98" s="136" t="s">
        <v>14</v>
      </c>
      <c r="B98" s="132"/>
      <c r="C98" s="113"/>
      <c r="D98" s="114">
        <f>D97+D25</f>
        <v>2599.5935799999997</v>
      </c>
      <c r="E98" s="113"/>
      <c r="F98" s="114" t="e">
        <f>SUM(F97,F25)</f>
        <v>#REF!</v>
      </c>
      <c r="G98" s="113"/>
      <c r="H98" s="114" t="e">
        <f>SUM(H97,H25)</f>
        <v>#REF!</v>
      </c>
      <c r="I98" s="113"/>
      <c r="J98" s="114" t="e">
        <f>SUM(J97,J25)</f>
        <v>#REF!</v>
      </c>
      <c r="K98" s="113"/>
      <c r="L98" s="114" t="e">
        <f>SUM(L97,L25)</f>
        <v>#REF!</v>
      </c>
      <c r="M98" s="113"/>
      <c r="N98" s="114" t="e">
        <f>SUM(N97,N25)</f>
        <v>#REF!</v>
      </c>
      <c r="O98" s="113"/>
      <c r="P98" s="114" t="e">
        <f>SUM(P97,P25)</f>
        <v>#REF!</v>
      </c>
      <c r="Q98" s="113"/>
      <c r="R98" s="114" t="e">
        <f>SUM(R97,R25)</f>
        <v>#REF!</v>
      </c>
      <c r="S98" s="113"/>
      <c r="T98" s="114" t="e">
        <f>SUM(T97,T25)</f>
        <v>#REF!</v>
      </c>
      <c r="U98" s="113"/>
      <c r="V98" s="114" t="e">
        <f>SUM(V97,V25)</f>
        <v>#REF!</v>
      </c>
      <c r="W98" s="114" t="s">
        <v>0</v>
      </c>
      <c r="X98" s="114">
        <f>X97+X25</f>
        <v>0</v>
      </c>
      <c r="Y98" s="114" t="s">
        <v>0</v>
      </c>
      <c r="Z98" s="114">
        <f>Z97+Z25</f>
        <v>32.214399999999998</v>
      </c>
      <c r="AB98" s="183"/>
    </row>
    <row r="99" spans="1:28" ht="15" thickBot="1" x14ac:dyDescent="0.2">
      <c r="A99" s="137" t="s">
        <v>15</v>
      </c>
      <c r="B99" s="138">
        <v>9.7000000000000003E-2</v>
      </c>
      <c r="C99" s="126"/>
      <c r="D99" s="127">
        <f>D98*$B$99</f>
        <v>252.16057726</v>
      </c>
      <c r="E99" s="126"/>
      <c r="F99" s="127" t="e">
        <f>F98*$B$99</f>
        <v>#REF!</v>
      </c>
      <c r="G99" s="126"/>
      <c r="H99" s="127" t="e">
        <f>H98*$B$99</f>
        <v>#REF!</v>
      </c>
      <c r="I99" s="126"/>
      <c r="J99" s="127" t="e">
        <f>J98*$B$99</f>
        <v>#REF!</v>
      </c>
      <c r="K99" s="126"/>
      <c r="L99" s="127" t="e">
        <f>L98*$B$99</f>
        <v>#REF!</v>
      </c>
      <c r="M99" s="126"/>
      <c r="N99" s="127" t="e">
        <f>N98*$B$99</f>
        <v>#REF!</v>
      </c>
      <c r="O99" s="126"/>
      <c r="P99" s="127" t="e">
        <f>P98*$B$99</f>
        <v>#REF!</v>
      </c>
      <c r="Q99" s="126"/>
      <c r="R99" s="127" t="e">
        <f>R98*$B$99</f>
        <v>#REF!</v>
      </c>
      <c r="S99" s="126"/>
      <c r="T99" s="127" t="e">
        <f>T98*$B$99</f>
        <v>#REF!</v>
      </c>
      <c r="U99" s="126"/>
      <c r="V99" s="127" t="e">
        <f>V98*$B$99</f>
        <v>#REF!</v>
      </c>
      <c r="W99" s="126"/>
      <c r="X99" s="127">
        <f>X98*$B$99</f>
        <v>0</v>
      </c>
      <c r="Y99" s="126"/>
      <c r="Z99" s="127">
        <f>Z98*$B$99</f>
        <v>3.1247967999999999</v>
      </c>
      <c r="AB99" s="183"/>
    </row>
    <row r="100" spans="1:28" ht="14" x14ac:dyDescent="0.15">
      <c r="A100" s="134" t="s">
        <v>16</v>
      </c>
      <c r="B100" s="151"/>
      <c r="C100" s="120"/>
      <c r="D100" s="121">
        <f>D98+D99</f>
        <v>2851.7541572599998</v>
      </c>
      <c r="E100" s="120"/>
      <c r="F100" s="121" t="e">
        <f>F98+F99</f>
        <v>#REF!</v>
      </c>
      <c r="G100" s="120"/>
      <c r="H100" s="121" t="e">
        <f>H98+H99</f>
        <v>#REF!</v>
      </c>
      <c r="I100" s="120"/>
      <c r="J100" s="121" t="e">
        <f>J98+J99</f>
        <v>#REF!</v>
      </c>
      <c r="K100" s="120"/>
      <c r="L100" s="121" t="e">
        <f>L98+L99</f>
        <v>#REF!</v>
      </c>
      <c r="M100" s="120"/>
      <c r="N100" s="121" t="e">
        <f>N98+N99</f>
        <v>#REF!</v>
      </c>
      <c r="O100" s="120"/>
      <c r="P100" s="121" t="e">
        <f>P98+P99</f>
        <v>#REF!</v>
      </c>
      <c r="Q100" s="120"/>
      <c r="R100" s="121" t="e">
        <f>R98+R99</f>
        <v>#REF!</v>
      </c>
      <c r="S100" s="120"/>
      <c r="T100" s="121" t="e">
        <f>T98+T99</f>
        <v>#REF!</v>
      </c>
      <c r="U100" s="120"/>
      <c r="V100" s="121" t="e">
        <f>V98+V99</f>
        <v>#REF!</v>
      </c>
      <c r="W100" s="120"/>
      <c r="X100" s="121">
        <f>X98+X99</f>
        <v>0</v>
      </c>
      <c r="Y100" s="120"/>
      <c r="Z100" s="121">
        <f>Z98+Z99</f>
        <v>35.339196799999996</v>
      </c>
      <c r="AA100" s="2"/>
      <c r="AB100" s="183"/>
    </row>
    <row r="101" spans="1:28" ht="15.75" hidden="1" customHeight="1" thickBot="1" x14ac:dyDescent="0.2">
      <c r="A101" s="152"/>
      <c r="B101" s="139"/>
      <c r="C101" s="140"/>
      <c r="D101" s="141"/>
      <c r="E101" s="140"/>
      <c r="F101" s="141"/>
      <c r="G101" s="140"/>
      <c r="H101" s="141"/>
      <c r="I101" s="140"/>
      <c r="J101" s="141"/>
      <c r="K101" s="140"/>
      <c r="L101" s="141"/>
      <c r="M101" s="140"/>
      <c r="N101" s="141"/>
      <c r="O101" s="140"/>
      <c r="P101" s="141"/>
      <c r="Q101" s="140"/>
      <c r="R101" s="141"/>
      <c r="S101" s="140"/>
      <c r="T101" s="141"/>
      <c r="U101" s="140"/>
      <c r="V101" s="141"/>
      <c r="W101" s="140"/>
      <c r="X101" s="141"/>
      <c r="Y101" s="140"/>
      <c r="Z101" s="141"/>
      <c r="AB101" s="183"/>
    </row>
    <row r="102" spans="1:28" ht="15" hidden="1" customHeight="1" x14ac:dyDescent="0.15">
      <c r="A102" s="136" t="s">
        <v>34</v>
      </c>
      <c r="B102" s="133">
        <v>0</v>
      </c>
      <c r="C102" s="113"/>
      <c r="D102" s="114">
        <f>D100*$B$102</f>
        <v>0</v>
      </c>
      <c r="E102" s="113"/>
      <c r="F102" s="114" t="e">
        <f>F100*$B$102</f>
        <v>#REF!</v>
      </c>
      <c r="G102" s="113"/>
      <c r="H102" s="114" t="e">
        <f>H100*$B$102</f>
        <v>#REF!</v>
      </c>
      <c r="I102" s="113"/>
      <c r="J102" s="114" t="e">
        <f>J100*$B$102</f>
        <v>#REF!</v>
      </c>
      <c r="K102" s="113"/>
      <c r="L102" s="114" t="e">
        <f>L100*$B$102</f>
        <v>#REF!</v>
      </c>
      <c r="M102" s="113"/>
      <c r="N102" s="114" t="e">
        <f>N100*$B$102</f>
        <v>#REF!</v>
      </c>
      <c r="O102" s="113"/>
      <c r="P102" s="114" t="e">
        <f>P100*$B$102</f>
        <v>#REF!</v>
      </c>
      <c r="Q102" s="113"/>
      <c r="R102" s="114" t="e">
        <f>R100*$B$102</f>
        <v>#REF!</v>
      </c>
      <c r="S102" s="113"/>
      <c r="T102" s="114" t="e">
        <f>T100*$B$102</f>
        <v>#REF!</v>
      </c>
      <c r="U102" s="113"/>
      <c r="V102" s="114" t="e">
        <f>V100*$B$102</f>
        <v>#REF!</v>
      </c>
      <c r="W102" s="113"/>
      <c r="X102" s="114">
        <f>X100*$B$102</f>
        <v>0</v>
      </c>
      <c r="Y102" s="113"/>
      <c r="Z102" s="114">
        <f>Z100*$B$102</f>
        <v>0</v>
      </c>
      <c r="AB102" s="183"/>
    </row>
    <row r="103" spans="1:28" ht="15" hidden="1" customHeight="1" x14ac:dyDescent="0.15">
      <c r="A103" s="136"/>
      <c r="B103" s="132"/>
      <c r="C103" s="113"/>
      <c r="D103" s="114"/>
      <c r="E103" s="113"/>
      <c r="F103" s="114"/>
      <c r="G103" s="113"/>
      <c r="H103" s="114"/>
      <c r="I103" s="113"/>
      <c r="J103" s="114"/>
      <c r="K103" s="113"/>
      <c r="L103" s="114"/>
      <c r="M103" s="113"/>
      <c r="N103" s="114"/>
      <c r="O103" s="113"/>
      <c r="P103" s="114"/>
      <c r="Q103" s="113"/>
      <c r="R103" s="114"/>
      <c r="S103" s="113"/>
      <c r="T103" s="114"/>
      <c r="U103" s="113"/>
      <c r="V103" s="114"/>
      <c r="W103" s="113"/>
      <c r="X103" s="114"/>
      <c r="Y103" s="113"/>
      <c r="Z103" s="114"/>
      <c r="AB103" s="183"/>
    </row>
    <row r="104" spans="1:28" ht="15.75" hidden="1" customHeight="1" thickBot="1" x14ac:dyDescent="0.2">
      <c r="A104" s="136" t="s">
        <v>17</v>
      </c>
      <c r="B104" s="132" t="s">
        <v>0</v>
      </c>
      <c r="C104" s="113"/>
      <c r="D104" s="142">
        <f>SUM(D100:D102)</f>
        <v>2851.7541572599998</v>
      </c>
      <c r="E104" s="143"/>
      <c r="F104" s="142" t="e">
        <f>SUM(F100:F102)</f>
        <v>#REF!</v>
      </c>
      <c r="G104" s="143"/>
      <c r="H104" s="142" t="e">
        <f>SUM(H100:H102)</f>
        <v>#REF!</v>
      </c>
      <c r="I104" s="143"/>
      <c r="J104" s="142" t="e">
        <f>SUM(J100:J102)</f>
        <v>#REF!</v>
      </c>
      <c r="K104" s="143"/>
      <c r="L104" s="142" t="e">
        <f>SUM(L100:L102)</f>
        <v>#REF!</v>
      </c>
      <c r="M104" s="143"/>
      <c r="N104" s="142" t="e">
        <f>SUM(N100:N102)</f>
        <v>#REF!</v>
      </c>
      <c r="O104" s="143"/>
      <c r="P104" s="142" t="e">
        <f>SUM(P100:P102)</f>
        <v>#REF!</v>
      </c>
      <c r="Q104" s="143"/>
      <c r="R104" s="142" t="e">
        <f>SUM(R100:R102)</f>
        <v>#REF!</v>
      </c>
      <c r="S104" s="143"/>
      <c r="T104" s="142" t="e">
        <f>SUM(T100:T102)</f>
        <v>#REF!</v>
      </c>
      <c r="U104" s="143"/>
      <c r="V104" s="142" t="e">
        <f>SUM(V100:V102)</f>
        <v>#REF!</v>
      </c>
      <c r="W104" s="143"/>
      <c r="X104" s="142">
        <f>SUM(X100:X102)</f>
        <v>0</v>
      </c>
      <c r="Y104" s="143"/>
      <c r="Z104" s="142">
        <f>SUM(Z100:Z102)</f>
        <v>35.339196799999996</v>
      </c>
      <c r="AB104" s="183"/>
    </row>
    <row r="105" spans="1:28" ht="15.75" hidden="1" customHeight="1" thickBot="1" x14ac:dyDescent="0.2">
      <c r="A105" s="153"/>
      <c r="B105" s="144"/>
      <c r="C105" s="144"/>
      <c r="D105" s="145"/>
      <c r="E105" s="144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4"/>
      <c r="X105" s="145"/>
      <c r="Y105" s="144"/>
      <c r="Z105" s="145"/>
      <c r="AB105" s="183"/>
    </row>
    <row r="106" spans="1:28" ht="15" hidden="1" customHeight="1" x14ac:dyDescent="0.15">
      <c r="A106" s="153" t="s">
        <v>35</v>
      </c>
      <c r="B106" s="147">
        <v>0</v>
      </c>
      <c r="C106" s="144"/>
      <c r="D106" s="145">
        <f>D104*$B$106</f>
        <v>0</v>
      </c>
      <c r="E106" s="144"/>
      <c r="F106" s="145" t="e">
        <f>F104*$B$106</f>
        <v>#REF!</v>
      </c>
      <c r="G106" s="146"/>
      <c r="H106" s="145" t="e">
        <f>H104*$B$106</f>
        <v>#REF!</v>
      </c>
      <c r="I106" s="146"/>
      <c r="J106" s="145" t="e">
        <f>J104*$B$106</f>
        <v>#REF!</v>
      </c>
      <c r="K106" s="146"/>
      <c r="L106" s="145" t="e">
        <f>L104*$B$106</f>
        <v>#REF!</v>
      </c>
      <c r="M106" s="146"/>
      <c r="N106" s="145" t="e">
        <f>N104*$B$106</f>
        <v>#REF!</v>
      </c>
      <c r="O106" s="146"/>
      <c r="P106" s="145" t="e">
        <f>P104*$B$106</f>
        <v>#REF!</v>
      </c>
      <c r="Q106" s="146"/>
      <c r="R106" s="145" t="e">
        <f>R104*$B$106</f>
        <v>#REF!</v>
      </c>
      <c r="S106" s="146"/>
      <c r="T106" s="145" t="e">
        <f>T104*$B$106</f>
        <v>#REF!</v>
      </c>
      <c r="U106" s="146"/>
      <c r="V106" s="145" t="e">
        <f>V104*$B$106</f>
        <v>#REF!</v>
      </c>
      <c r="W106" s="144"/>
      <c r="X106" s="145">
        <f>X104*$B$106</f>
        <v>0</v>
      </c>
      <c r="Y106" s="144"/>
      <c r="Z106" s="145">
        <f>Z104*$B$106</f>
        <v>0</v>
      </c>
      <c r="AB106" s="183"/>
    </row>
    <row r="107" spans="1:28" ht="15" hidden="1" customHeight="1" x14ac:dyDescent="0.15">
      <c r="A107" s="153"/>
      <c r="B107" s="144"/>
      <c r="C107" s="144"/>
      <c r="D107" s="145"/>
      <c r="E107" s="144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4"/>
      <c r="X107" s="145"/>
      <c r="Y107" s="144"/>
      <c r="Z107" s="145"/>
      <c r="AB107" s="183"/>
    </row>
    <row r="108" spans="1:28" ht="15" hidden="1" customHeight="1" x14ac:dyDescent="0.15">
      <c r="A108" s="154" t="s">
        <v>20</v>
      </c>
      <c r="B108" s="147">
        <v>0</v>
      </c>
      <c r="C108" s="144"/>
      <c r="D108" s="145">
        <f>D104*$B$108</f>
        <v>0</v>
      </c>
      <c r="E108" s="149"/>
      <c r="F108" s="145" t="e">
        <f>F104*$B$108</f>
        <v>#REF!</v>
      </c>
      <c r="G108" s="149"/>
      <c r="H108" s="145" t="e">
        <f>H104*$B$108</f>
        <v>#REF!</v>
      </c>
      <c r="I108" s="149"/>
      <c r="J108" s="145" t="e">
        <f>J104*$B$108</f>
        <v>#REF!</v>
      </c>
      <c r="K108" s="149"/>
      <c r="L108" s="145" t="e">
        <f>L104*$B$108</f>
        <v>#REF!</v>
      </c>
      <c r="M108" s="149"/>
      <c r="N108" s="145" t="e">
        <f>N104*$B$108</f>
        <v>#REF!</v>
      </c>
      <c r="O108" s="149"/>
      <c r="P108" s="145" t="e">
        <f>P104*$B$108</f>
        <v>#REF!</v>
      </c>
      <c r="Q108" s="149"/>
      <c r="R108" s="145" t="e">
        <f>R104*$B$108</f>
        <v>#REF!</v>
      </c>
      <c r="S108" s="149"/>
      <c r="T108" s="145" t="e">
        <f>T104*$B$108</f>
        <v>#REF!</v>
      </c>
      <c r="U108" s="145"/>
      <c r="V108" s="145" t="e">
        <f t="shared" ref="V108" si="50">V104*$B$108</f>
        <v>#REF!</v>
      </c>
      <c r="W108" s="149"/>
      <c r="X108" s="145">
        <f>X104*$B$108</f>
        <v>0</v>
      </c>
      <c r="Y108" s="149"/>
      <c r="Z108" s="145">
        <f>Z104*$B$108</f>
        <v>0</v>
      </c>
      <c r="AB108" s="183"/>
    </row>
    <row r="109" spans="1:28" ht="15" hidden="1" customHeight="1" x14ac:dyDescent="0.15">
      <c r="A109" s="154"/>
      <c r="B109" s="148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B109" s="183"/>
    </row>
    <row r="110" spans="1:28" ht="14" x14ac:dyDescent="0.15">
      <c r="A110" s="155" t="s">
        <v>31</v>
      </c>
      <c r="B110" s="150">
        <v>0.1</v>
      </c>
      <c r="C110" s="144"/>
      <c r="D110" s="170">
        <f>D100*B110</f>
        <v>285.17541572599998</v>
      </c>
      <c r="E110" s="171"/>
      <c r="F110" s="170" t="e">
        <f>SUM(F108,F106,F104,)</f>
        <v>#REF!</v>
      </c>
      <c r="G110" s="171"/>
      <c r="H110" s="170" t="e">
        <f>SUM(H108,H106,H104,)</f>
        <v>#REF!</v>
      </c>
      <c r="I110" s="171"/>
      <c r="J110" s="170" t="e">
        <f>SUM(J108,J106,J104,)</f>
        <v>#REF!</v>
      </c>
      <c r="K110" s="171"/>
      <c r="L110" s="170" t="e">
        <f>SUM(L108,L106,L104,)</f>
        <v>#REF!</v>
      </c>
      <c r="M110" s="171"/>
      <c r="N110" s="170" t="e">
        <f>SUM(N108,N106,N104,)</f>
        <v>#REF!</v>
      </c>
      <c r="O110" s="171"/>
      <c r="P110" s="170" t="e">
        <f>SUM(P108,P106,P104,)</f>
        <v>#REF!</v>
      </c>
      <c r="Q110" s="171"/>
      <c r="R110" s="170" t="e">
        <f>SUM(R108,R106,R104,)</f>
        <v>#REF!</v>
      </c>
      <c r="S110" s="171"/>
      <c r="T110" s="170" t="e">
        <f>SUM(T108,T106,T104,)</f>
        <v>#REF!</v>
      </c>
      <c r="U110" s="170"/>
      <c r="V110" s="170" t="e">
        <f>SUM(V108,V106,V104,)</f>
        <v>#REF!</v>
      </c>
      <c r="W110" s="171"/>
      <c r="X110" s="170">
        <f>X100*B110</f>
        <v>0</v>
      </c>
      <c r="Y110" s="171"/>
      <c r="Z110" s="170">
        <f>Z100*B110</f>
        <v>3.5339196799999999</v>
      </c>
      <c r="AB110" s="183"/>
    </row>
    <row r="111" spans="1:28" ht="15" thickBot="1" x14ac:dyDescent="0.2">
      <c r="A111" s="156" t="s">
        <v>32</v>
      </c>
      <c r="B111" s="157"/>
      <c r="C111" s="157"/>
      <c r="D111" s="158">
        <f>D110+D100</f>
        <v>3136.9295729859996</v>
      </c>
      <c r="E111" s="157"/>
      <c r="F111" s="157"/>
      <c r="G111" s="157"/>
      <c r="H111" s="157"/>
      <c r="I111" s="157"/>
      <c r="J111" s="157"/>
      <c r="K111" s="157"/>
      <c r="L111" s="157"/>
      <c r="M111" s="158"/>
      <c r="N111" s="157"/>
      <c r="O111" s="157"/>
      <c r="P111" s="157"/>
      <c r="Q111" s="157"/>
      <c r="R111" s="157"/>
      <c r="S111" s="157"/>
      <c r="T111" s="157"/>
      <c r="U111" s="157"/>
      <c r="V111" s="157"/>
      <c r="W111" s="159"/>
      <c r="X111" s="158">
        <f>X110+X100</f>
        <v>0</v>
      </c>
      <c r="Y111" s="159"/>
      <c r="Z111" s="158">
        <f>Z110+Z100</f>
        <v>38.873116479999993</v>
      </c>
      <c r="AB111" s="183"/>
    </row>
    <row r="112" spans="1:28" ht="14" x14ac:dyDescent="0.15">
      <c r="A112" s="160" t="s">
        <v>30</v>
      </c>
      <c r="B112" s="161"/>
      <c r="C112" s="162"/>
      <c r="D112" s="163">
        <f>1*D115</f>
        <v>0</v>
      </c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3"/>
      <c r="S112" s="163"/>
      <c r="T112" s="163"/>
      <c r="U112" s="163"/>
      <c r="V112" s="163"/>
      <c r="W112" s="162"/>
      <c r="X112" s="163">
        <f>X111*X115</f>
        <v>0</v>
      </c>
      <c r="Y112" s="162"/>
      <c r="Z112" s="163">
        <f>Z111*Z115</f>
        <v>0.38873116479999992</v>
      </c>
      <c r="AB112" s="183"/>
    </row>
    <row r="113" spans="1:29" ht="15" thickBot="1" x14ac:dyDescent="0.2">
      <c r="A113" s="164" t="s">
        <v>33</v>
      </c>
      <c r="B113" s="165"/>
      <c r="C113" s="166"/>
      <c r="D113" s="167">
        <f>D112+D111</f>
        <v>3136.9295729859996</v>
      </c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7"/>
      <c r="S113" s="167"/>
      <c r="T113" s="167"/>
      <c r="U113" s="167"/>
      <c r="V113" s="167"/>
      <c r="W113" s="166"/>
      <c r="X113" s="167">
        <f>X112+X111</f>
        <v>0</v>
      </c>
      <c r="Y113" s="167"/>
      <c r="Z113" s="167">
        <f t="shared" ref="Z113" si="51">Z112+Z111</f>
        <v>39.261847644799992</v>
      </c>
      <c r="AB113" s="183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99"/>
    </row>
    <row r="115" spans="1:29" ht="14" x14ac:dyDescent="0.15">
      <c r="A115" s="98"/>
      <c r="B115" s="3"/>
      <c r="C115" s="98"/>
      <c r="D115" s="100"/>
      <c r="E115" s="98"/>
      <c r="F115" s="98"/>
      <c r="G115" s="98"/>
      <c r="H115" s="98"/>
      <c r="I115" s="98"/>
      <c r="J115" s="9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98"/>
      <c r="X115" s="100"/>
      <c r="Y115" s="98"/>
      <c r="Z115" s="100">
        <v>0.01</v>
      </c>
      <c r="AB115" s="183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99"/>
      <c r="AC116" s="125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02"/>
    </row>
    <row r="118" spans="1:29" ht="14" x14ac:dyDescent="0.15">
      <c r="A118" s="3"/>
      <c r="B118" s="184"/>
      <c r="C118" s="3"/>
      <c r="D118" s="1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99"/>
    </row>
    <row r="119" spans="1:29" ht="14" x14ac:dyDescent="0.15">
      <c r="A119" s="3"/>
      <c r="B119" s="184"/>
      <c r="C119" s="3"/>
      <c r="D119" s="1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24"/>
    </row>
    <row r="120" spans="1:29" ht="14" x14ac:dyDescent="0.15">
      <c r="A120" s="3"/>
      <c r="B120" s="184"/>
      <c r="C120" s="3"/>
      <c r="D120" s="1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24"/>
    </row>
    <row r="121" spans="1:29" ht="14" x14ac:dyDescent="0.15">
      <c r="A121" s="3"/>
      <c r="B121" s="184"/>
      <c r="C121" s="3"/>
      <c r="D121" s="1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184"/>
      <c r="C122" s="3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184"/>
      <c r="C123" s="3"/>
      <c r="D123" s="1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184"/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184"/>
      <c r="C125" s="3"/>
      <c r="D125" s="1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22"/>
      <c r="D126" s="122"/>
    </row>
    <row r="127" spans="1:29" x14ac:dyDescent="0.15">
      <c r="B127" s="122"/>
      <c r="D127" s="122"/>
    </row>
    <row r="128" spans="1:29" x14ac:dyDescent="0.15">
      <c r="D128" s="122"/>
    </row>
    <row r="129" spans="4:26" x14ac:dyDescent="0.15">
      <c r="D129" s="122"/>
    </row>
    <row r="130" spans="4:26" x14ac:dyDescent="0.15">
      <c r="D130" s="122"/>
    </row>
    <row r="131" spans="4:26" x14ac:dyDescent="0.15">
      <c r="D131" s="122"/>
      <c r="Z131" s="99"/>
    </row>
    <row r="132" spans="4:26" x14ac:dyDescent="0.15">
      <c r="D132" s="122"/>
    </row>
    <row r="133" spans="4:26" x14ac:dyDescent="0.15">
      <c r="D133" s="122"/>
    </row>
    <row r="134" spans="4:26" x14ac:dyDescent="0.15">
      <c r="D134" s="122"/>
    </row>
    <row r="135" spans="4:26" x14ac:dyDescent="0.15">
      <c r="D135" s="122"/>
    </row>
    <row r="136" spans="4:26" x14ac:dyDescent="0.15">
      <c r="D136" s="122"/>
    </row>
    <row r="137" spans="4:26" x14ac:dyDescent="0.15">
      <c r="D137" s="122"/>
    </row>
    <row r="138" spans="4:26" x14ac:dyDescent="0.15">
      <c r="D138" s="122"/>
    </row>
    <row r="139" spans="4:26" x14ac:dyDescent="0.15">
      <c r="D139" s="122"/>
    </row>
    <row r="140" spans="4:26" x14ac:dyDescent="0.15">
      <c r="D140" s="122"/>
    </row>
    <row r="141" spans="4:26" x14ac:dyDescent="0.15">
      <c r="D141" s="122"/>
    </row>
    <row r="142" spans="4:26" x14ac:dyDescent="0.15">
      <c r="D142" s="122"/>
    </row>
    <row r="143" spans="4:26" x14ac:dyDescent="0.15">
      <c r="D143" s="122"/>
    </row>
    <row r="144" spans="4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  <row r="149" spans="4:4" x14ac:dyDescent="0.15">
      <c r="D149" s="122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9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0066-2FA2-294D-BE3C-AEBAB21D9525}">
  <sheetPr>
    <pageSetUpPr fitToPage="1"/>
  </sheetPr>
  <dimension ref="A1:AE149"/>
  <sheetViews>
    <sheetView topLeftCell="A4" zoomScale="107" zoomScaleNormal="107" workbookViewId="0">
      <selection activeCell="A45" sqref="A45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22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197" t="s">
        <v>84</v>
      </c>
      <c r="B2" s="7"/>
      <c r="C2" s="193" t="s">
        <v>75</v>
      </c>
      <c r="D2" s="194"/>
      <c r="E2" s="193" t="s">
        <v>22</v>
      </c>
      <c r="F2" s="194"/>
      <c r="G2" s="193" t="s">
        <v>23</v>
      </c>
      <c r="H2" s="194"/>
      <c r="I2" s="193" t="s">
        <v>24</v>
      </c>
      <c r="J2" s="194"/>
      <c r="K2" s="193" t="s">
        <v>25</v>
      </c>
      <c r="L2" s="194"/>
      <c r="M2" s="193" t="s">
        <v>26</v>
      </c>
      <c r="N2" s="194"/>
      <c r="O2" s="193" t="s">
        <v>27</v>
      </c>
      <c r="P2" s="194"/>
      <c r="Q2" s="193" t="s">
        <v>28</v>
      </c>
      <c r="R2" s="194"/>
      <c r="S2" s="193" t="s">
        <v>29</v>
      </c>
      <c r="T2" s="194"/>
      <c r="U2" s="193" t="s">
        <v>21</v>
      </c>
      <c r="V2" s="194"/>
      <c r="W2" s="193" t="s">
        <v>40</v>
      </c>
      <c r="X2" s="194"/>
      <c r="Y2" s="193" t="s">
        <v>41</v>
      </c>
      <c r="Z2" s="194"/>
    </row>
    <row r="3" spans="1:28" ht="45.75" customHeight="1" thickBot="1" x14ac:dyDescent="0.2">
      <c r="A3" s="198"/>
      <c r="B3" s="8" t="s">
        <v>0</v>
      </c>
      <c r="C3" s="195"/>
      <c r="D3" s="196"/>
      <c r="E3" s="195"/>
      <c r="F3" s="196"/>
      <c r="G3" s="195"/>
      <c r="H3" s="196"/>
      <c r="I3" s="195"/>
      <c r="J3" s="196"/>
      <c r="K3" s="195"/>
      <c r="L3" s="196"/>
      <c r="M3" s="195"/>
      <c r="N3" s="196"/>
      <c r="O3" s="195"/>
      <c r="P3" s="196"/>
      <c r="Q3" s="195"/>
      <c r="R3" s="196"/>
      <c r="S3" s="195"/>
      <c r="T3" s="196"/>
      <c r="U3" s="195"/>
      <c r="V3" s="196"/>
      <c r="W3" s="195"/>
      <c r="X3" s="196"/>
      <c r="Y3" s="195"/>
      <c r="Z3" s="196"/>
    </row>
    <row r="4" spans="1:28" ht="19" thickBot="1" x14ac:dyDescent="0.2">
      <c r="A4" s="192">
        <f>D113</f>
        <v>3607.2973594790001</v>
      </c>
      <c r="B4" s="8" t="s">
        <v>0</v>
      </c>
      <c r="C4" s="195"/>
      <c r="D4" s="196"/>
      <c r="E4" s="195"/>
      <c r="F4" s="196"/>
      <c r="G4" s="195"/>
      <c r="H4" s="196"/>
      <c r="I4" s="195"/>
      <c r="J4" s="196"/>
      <c r="K4" s="195"/>
      <c r="L4" s="196"/>
      <c r="M4" s="195"/>
      <c r="N4" s="196"/>
      <c r="O4" s="195"/>
      <c r="P4" s="196"/>
      <c r="Q4" s="195"/>
      <c r="R4" s="196"/>
      <c r="S4" s="195"/>
      <c r="T4" s="196"/>
      <c r="U4" s="195"/>
      <c r="V4" s="196"/>
      <c r="W4" s="195"/>
      <c r="X4" s="196"/>
      <c r="Y4" s="195"/>
      <c r="Z4" s="196"/>
    </row>
    <row r="5" spans="1:28" ht="21.75" customHeight="1" thickBot="1" x14ac:dyDescent="0.2">
      <c r="A5" s="9"/>
      <c r="B5" s="8" t="s">
        <v>0</v>
      </c>
      <c r="C5" s="195"/>
      <c r="D5" s="196"/>
      <c r="E5" s="195"/>
      <c r="F5" s="196"/>
      <c r="G5" s="195"/>
      <c r="H5" s="196"/>
      <c r="I5" s="195"/>
      <c r="J5" s="196"/>
      <c r="K5" s="195"/>
      <c r="L5" s="196"/>
      <c r="M5" s="195"/>
      <c r="N5" s="196"/>
      <c r="O5" s="195"/>
      <c r="P5" s="196"/>
      <c r="Q5" s="195"/>
      <c r="R5" s="196"/>
      <c r="S5" s="195"/>
      <c r="T5" s="196"/>
      <c r="U5" s="195"/>
      <c r="V5" s="196"/>
      <c r="W5" s="195"/>
      <c r="X5" s="196"/>
      <c r="Y5" s="195"/>
      <c r="Z5" s="196"/>
    </row>
    <row r="6" spans="1:28" ht="15" thickBot="1" x14ac:dyDescent="0.2">
      <c r="A6" s="10" t="s">
        <v>76</v>
      </c>
      <c r="B6" s="11" t="s">
        <v>0</v>
      </c>
      <c r="C6" s="199" t="s">
        <v>18</v>
      </c>
      <c r="D6" s="200"/>
      <c r="E6" s="199" t="s">
        <v>18</v>
      </c>
      <c r="F6" s="200"/>
      <c r="G6" s="199" t="s">
        <v>18</v>
      </c>
      <c r="H6" s="200"/>
      <c r="I6" s="201" t="s">
        <v>18</v>
      </c>
      <c r="J6" s="200"/>
      <c r="K6" s="201" t="s">
        <v>18</v>
      </c>
      <c r="L6" s="200"/>
      <c r="M6" s="199" t="s">
        <v>18</v>
      </c>
      <c r="N6" s="200"/>
      <c r="O6" s="199" t="s">
        <v>18</v>
      </c>
      <c r="P6" s="200"/>
      <c r="Q6" s="199" t="s">
        <v>18</v>
      </c>
      <c r="R6" s="200"/>
      <c r="S6" s="199" t="s">
        <v>18</v>
      </c>
      <c r="T6" s="200"/>
      <c r="U6" s="199" t="s">
        <v>18</v>
      </c>
      <c r="V6" s="200"/>
      <c r="W6" s="199" t="s">
        <v>18</v>
      </c>
      <c r="X6" s="200"/>
      <c r="Y6" s="199" t="s">
        <v>18</v>
      </c>
      <c r="Z6" s="200"/>
    </row>
    <row r="7" spans="1:28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8" ht="21" thickBot="1" x14ac:dyDescent="0.25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  <c r="AB8" s="190" t="s">
        <v>46</v>
      </c>
    </row>
    <row r="9" spans="1:28" ht="14" x14ac:dyDescent="0.15">
      <c r="A9" s="21" t="s">
        <v>47</v>
      </c>
      <c r="B9" s="22">
        <v>37</v>
      </c>
      <c r="C9" s="23">
        <v>6</v>
      </c>
      <c r="D9" s="24">
        <f>C9*$B$9</f>
        <v>222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  <c r="AB9" s="102"/>
    </row>
    <row r="10" spans="1:28" ht="22.25" customHeight="1" x14ac:dyDescent="0.15">
      <c r="A10" s="25" t="s">
        <v>36</v>
      </c>
      <c r="B10" s="189">
        <v>28.85</v>
      </c>
      <c r="C10" s="23">
        <v>6</v>
      </c>
      <c r="D10" s="24">
        <f>C10*$B$10</f>
        <v>173.10000000000002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  <c r="AB10" s="186"/>
    </row>
    <row r="11" spans="1:28" ht="14" x14ac:dyDescent="0.15">
      <c r="A11" s="25" t="s">
        <v>38</v>
      </c>
      <c r="B11" s="26">
        <v>23</v>
      </c>
      <c r="C11" s="23"/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  <c r="AB11" s="102"/>
    </row>
    <row r="12" spans="1:28" ht="14" x14ac:dyDescent="0.15">
      <c r="A12" s="27" t="s">
        <v>62</v>
      </c>
      <c r="B12" s="26">
        <v>16</v>
      </c>
      <c r="C12" s="28">
        <v>6</v>
      </c>
      <c r="D12" s="24">
        <f>C12*$B$12</f>
        <v>96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32</v>
      </c>
      <c r="AB12" s="102"/>
    </row>
    <row r="13" spans="1:28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  <c r="AB13" s="187"/>
    </row>
    <row r="14" spans="1:28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8" ht="14" x14ac:dyDescent="0.15">
      <c r="A15" s="37" t="s">
        <v>48</v>
      </c>
      <c r="B15" s="26">
        <v>35</v>
      </c>
      <c r="C15" s="23">
        <v>0</v>
      </c>
      <c r="D15" s="38">
        <f>B15*C15</f>
        <v>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</row>
    <row r="16" spans="1:28" ht="14" x14ac:dyDescent="0.15">
      <c r="A16" s="37" t="s">
        <v>57</v>
      </c>
      <c r="B16" s="26">
        <v>28</v>
      </c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</row>
    <row r="17" spans="1:28" ht="14" x14ac:dyDescent="0.15">
      <c r="A17" s="37" t="s">
        <v>58</v>
      </c>
      <c r="B17" s="26">
        <v>23</v>
      </c>
      <c r="C17" s="23">
        <v>0</v>
      </c>
      <c r="D17" s="38">
        <f t="shared" si="0"/>
        <v>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</row>
    <row r="18" spans="1:28" ht="14" x14ac:dyDescent="0.15">
      <c r="A18" s="37" t="s">
        <v>70</v>
      </c>
      <c r="B18" s="26">
        <v>28</v>
      </c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</row>
    <row r="19" spans="1:28" ht="14" x14ac:dyDescent="0.15">
      <c r="A19" s="37" t="s">
        <v>7</v>
      </c>
      <c r="B19" s="26">
        <v>28</v>
      </c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  <c r="AB19" s="102"/>
    </row>
    <row r="20" spans="1:28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8" ht="14" x14ac:dyDescent="0.15">
      <c r="A21" s="45" t="s">
        <v>8</v>
      </c>
      <c r="B21" s="26"/>
      <c r="C21" s="46">
        <f t="shared" ref="C21:D21" si="1">SUM(C9:C20)</f>
        <v>18</v>
      </c>
      <c r="D21" s="48">
        <f t="shared" si="1"/>
        <v>491.1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32</v>
      </c>
      <c r="AB21" s="99"/>
    </row>
    <row r="22" spans="1:28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  <c r="AB22" s="99"/>
    </row>
    <row r="23" spans="1:28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3.2903700000000002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0.21440000000000001</v>
      </c>
      <c r="AB23" s="99"/>
    </row>
    <row r="24" spans="1:28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  <c r="AB24" s="99"/>
    </row>
    <row r="25" spans="1:28" ht="15" thickBot="1" x14ac:dyDescent="0.2">
      <c r="A25" s="61" t="s">
        <v>9</v>
      </c>
      <c r="B25" s="62"/>
      <c r="C25" s="63">
        <f>SUM(C21:C21)</f>
        <v>18</v>
      </c>
      <c r="D25" s="64">
        <f>SUM(D21:D21, D23)</f>
        <v>494.39037000000002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32.214399999999998</v>
      </c>
      <c r="AB25" s="99"/>
    </row>
    <row r="26" spans="1:28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  <c r="AB26" s="99"/>
    </row>
    <row r="27" spans="1:28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  <c r="AB27" s="99"/>
    </row>
    <row r="28" spans="1:28" ht="14" x14ac:dyDescent="0.15">
      <c r="A28" s="72" t="s">
        <v>74</v>
      </c>
      <c r="B28" s="73">
        <v>320</v>
      </c>
      <c r="C28" s="71">
        <v>1</v>
      </c>
      <c r="D28" s="38">
        <f>C28*$B$28</f>
        <v>320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  <c r="AB28" s="168"/>
    </row>
    <row r="29" spans="1:28" ht="14" x14ac:dyDescent="0.15">
      <c r="A29" s="72" t="s">
        <v>64</v>
      </c>
      <c r="B29" s="73">
        <v>0</v>
      </c>
      <c r="C29" s="71">
        <v>4</v>
      </c>
      <c r="D29" s="38">
        <f>C29*B29</f>
        <v>0</v>
      </c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  <c r="AB29" s="168"/>
    </row>
    <row r="30" spans="1:28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  <c r="AB30" s="99"/>
    </row>
    <row r="31" spans="1:28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  <c r="AB31" s="99"/>
    </row>
    <row r="32" spans="1:28" ht="16" hidden="1" thickBot="1" x14ac:dyDescent="0.2">
      <c r="A32" s="103" t="s">
        <v>42</v>
      </c>
      <c r="B32" s="188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  <c r="AB32" s="185"/>
    </row>
    <row r="33" spans="1:28" ht="16" hidden="1" thickBot="1" x14ac:dyDescent="0.2">
      <c r="A33" s="103" t="s">
        <v>52</v>
      </c>
      <c r="B33" s="188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  <c r="AB33" s="185"/>
    </row>
    <row r="34" spans="1:28" ht="15" hidden="1" thickBot="1" x14ac:dyDescent="0.2">
      <c r="A34" s="104" t="s">
        <v>54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  <c r="AB34" s="99"/>
    </row>
    <row r="35" spans="1:28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  <c r="AB35" s="99"/>
    </row>
    <row r="36" spans="1:28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  <c r="AB36" s="99"/>
    </row>
    <row r="37" spans="1:28" ht="30.75" hidden="1" customHeight="1" thickBot="1" x14ac:dyDescent="0.2">
      <c r="A37" s="106" t="s">
        <v>50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  <c r="AB37" s="99"/>
    </row>
    <row r="38" spans="1:28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  <c r="AB38" s="99"/>
    </row>
    <row r="39" spans="1:28" ht="14" x14ac:dyDescent="0.15">
      <c r="A39" s="172"/>
      <c r="B39" s="173"/>
      <c r="C39" s="174"/>
      <c r="D39" s="175"/>
      <c r="E39" s="176"/>
      <c r="F39" s="175"/>
      <c r="G39" s="176"/>
      <c r="H39" s="175"/>
      <c r="I39" s="176"/>
      <c r="J39" s="175"/>
      <c r="K39" s="176"/>
      <c r="L39" s="175"/>
      <c r="M39" s="176"/>
      <c r="N39" s="175"/>
      <c r="O39" s="176"/>
      <c r="P39" s="175"/>
      <c r="Q39" s="176"/>
      <c r="R39" s="175"/>
      <c r="S39" s="176"/>
      <c r="T39" s="175"/>
      <c r="U39" s="176"/>
      <c r="V39" s="175"/>
      <c r="W39" s="176"/>
      <c r="X39" s="175"/>
      <c r="Y39" s="176"/>
      <c r="Z39" s="175"/>
      <c r="AB39" s="177"/>
    </row>
    <row r="40" spans="1:28" ht="15" x14ac:dyDescent="0.15">
      <c r="A40" s="89" t="s">
        <v>10</v>
      </c>
      <c r="B40" s="90">
        <v>0</v>
      </c>
      <c r="C40" s="71">
        <v>1</v>
      </c>
      <c r="D40" s="38">
        <f>C40*$B$40</f>
        <v>0</v>
      </c>
      <c r="E40" s="71">
        <v>0</v>
      </c>
      <c r="F40" s="38">
        <f>E40*$B$40</f>
        <v>0</v>
      </c>
      <c r="G40" s="71">
        <v>0</v>
      </c>
      <c r="H40" s="38">
        <f>G40*$B$40</f>
        <v>0</v>
      </c>
      <c r="I40" s="71">
        <v>0</v>
      </c>
      <c r="J40" s="38">
        <f>I40*$B$40</f>
        <v>0</v>
      </c>
      <c r="K40" s="71">
        <v>0</v>
      </c>
      <c r="L40" s="38">
        <f>K40*$B$40</f>
        <v>0</v>
      </c>
      <c r="M40" s="71">
        <v>0</v>
      </c>
      <c r="N40" s="38">
        <f>M40*$B$40</f>
        <v>0</v>
      </c>
      <c r="O40" s="71">
        <v>0</v>
      </c>
      <c r="P40" s="38">
        <f>O40*$B$40</f>
        <v>0</v>
      </c>
      <c r="Q40" s="71">
        <v>0</v>
      </c>
      <c r="R40" s="38">
        <f>Q40*$B$40</f>
        <v>0</v>
      </c>
      <c r="S40" s="71">
        <v>0</v>
      </c>
      <c r="T40" s="38">
        <f>S40*$B$40</f>
        <v>0</v>
      </c>
      <c r="U40" s="71">
        <v>0</v>
      </c>
      <c r="V40" s="38">
        <f>U40*$B$40</f>
        <v>0</v>
      </c>
      <c r="W40" s="71">
        <v>0</v>
      </c>
      <c r="X40" s="24">
        <f>W40*B40</f>
        <v>0</v>
      </c>
      <c r="Y40" s="71">
        <v>0</v>
      </c>
      <c r="Z40" s="38">
        <f>Y40*$B$40</f>
        <v>0</v>
      </c>
      <c r="AB40" s="169"/>
    </row>
    <row r="41" spans="1:28" ht="14" x14ac:dyDescent="0.15">
      <c r="A41" s="191"/>
      <c r="B41" s="90">
        <v>0</v>
      </c>
      <c r="C41" s="71">
        <v>1</v>
      </c>
      <c r="D41" s="38">
        <f>C41*B41</f>
        <v>0</v>
      </c>
      <c r="E41" s="71">
        <v>0</v>
      </c>
      <c r="F41" s="38">
        <f>E41*$B$40</f>
        <v>0</v>
      </c>
      <c r="G41" s="71">
        <v>0</v>
      </c>
      <c r="H41" s="38">
        <f>G41*$B$40</f>
        <v>0</v>
      </c>
      <c r="I41" s="71">
        <v>0</v>
      </c>
      <c r="J41" s="38">
        <f>I41*$B$40</f>
        <v>0</v>
      </c>
      <c r="K41" s="71">
        <v>0</v>
      </c>
      <c r="L41" s="38">
        <f>K41*$B$40</f>
        <v>0</v>
      </c>
      <c r="M41" s="71">
        <v>0</v>
      </c>
      <c r="N41" s="38">
        <f>M41*$B$40</f>
        <v>0</v>
      </c>
      <c r="O41" s="71">
        <v>0</v>
      </c>
      <c r="P41" s="38">
        <f>O41*$B$40</f>
        <v>0</v>
      </c>
      <c r="Q41" s="71">
        <v>0</v>
      </c>
      <c r="R41" s="38">
        <f>Q41*$B$40</f>
        <v>0</v>
      </c>
      <c r="S41" s="71">
        <v>0</v>
      </c>
      <c r="T41" s="38">
        <f>S41*$B$40</f>
        <v>0</v>
      </c>
      <c r="U41" s="71">
        <v>0</v>
      </c>
      <c r="V41" s="38">
        <f>U41*$B$40</f>
        <v>0</v>
      </c>
      <c r="W41" s="71">
        <v>0</v>
      </c>
      <c r="X41" s="24">
        <f>W41*B41</f>
        <v>0</v>
      </c>
      <c r="Y41" s="71">
        <v>0</v>
      </c>
      <c r="Z41" s="38">
        <f>Y41*$B$40</f>
        <v>0</v>
      </c>
      <c r="AB41" s="169"/>
    </row>
    <row r="42" spans="1:28" ht="15" thickBot="1" x14ac:dyDescent="0.2">
      <c r="A42" s="91"/>
      <c r="B42" s="92"/>
      <c r="C42" s="71"/>
      <c r="D42" s="38"/>
      <c r="E42" s="71"/>
      <c r="F42" s="38"/>
      <c r="G42" s="71"/>
      <c r="H42" s="38"/>
      <c r="I42" s="71"/>
      <c r="J42" s="38"/>
      <c r="K42" s="71"/>
      <c r="L42" s="38"/>
      <c r="M42" s="71"/>
      <c r="N42" s="38"/>
      <c r="O42" s="71"/>
      <c r="P42" s="38"/>
      <c r="Q42" s="71"/>
      <c r="R42" s="38"/>
      <c r="S42" s="71"/>
      <c r="T42" s="38"/>
      <c r="U42" s="71"/>
      <c r="V42" s="38"/>
      <c r="W42" s="71"/>
      <c r="X42" s="38"/>
      <c r="Y42" s="71"/>
      <c r="Z42" s="38"/>
      <c r="AB42" s="99"/>
    </row>
    <row r="43" spans="1:28" ht="13.5" hidden="1" customHeight="1" thickBot="1" x14ac:dyDescent="0.2">
      <c r="A43" s="93"/>
      <c r="B43" s="94">
        <v>0</v>
      </c>
      <c r="C43" s="76">
        <v>0</v>
      </c>
      <c r="D43" s="95">
        <f>+C43*B43</f>
        <v>0</v>
      </c>
      <c r="E43" s="76">
        <v>0</v>
      </c>
      <c r="F43" s="42">
        <f>SUM($B43*E43)</f>
        <v>0</v>
      </c>
      <c r="G43" s="96">
        <v>0</v>
      </c>
      <c r="H43" s="42">
        <f>SUM($B43*G43)</f>
        <v>0</v>
      </c>
      <c r="I43" s="96">
        <v>0</v>
      </c>
      <c r="J43" s="42">
        <f>SUM($B43*I43)</f>
        <v>0</v>
      </c>
      <c r="K43" s="96">
        <v>0</v>
      </c>
      <c r="L43" s="42">
        <f>SUM($B43*K43)</f>
        <v>0</v>
      </c>
      <c r="M43" s="96">
        <v>0</v>
      </c>
      <c r="N43" s="42">
        <f>SUM($B43*M43)</f>
        <v>0</v>
      </c>
      <c r="O43" s="96">
        <v>0</v>
      </c>
      <c r="P43" s="42">
        <f>SUM($B43*O43)</f>
        <v>0</v>
      </c>
      <c r="Q43" s="96">
        <v>0</v>
      </c>
      <c r="R43" s="42">
        <f>SUM($B43*Q43)</f>
        <v>0</v>
      </c>
      <c r="S43" s="96">
        <v>0</v>
      </c>
      <c r="T43" s="42">
        <f>SUM($B43*S43)</f>
        <v>0</v>
      </c>
      <c r="U43" s="96">
        <v>0</v>
      </c>
      <c r="V43" s="42">
        <f>SUM($B43*U43)</f>
        <v>0</v>
      </c>
      <c r="W43" s="76">
        <v>0</v>
      </c>
      <c r="X43" s="95">
        <f>+W43*R43</f>
        <v>0</v>
      </c>
      <c r="Y43" s="76">
        <v>0</v>
      </c>
      <c r="Z43" s="95">
        <f>+Y43*T43</f>
        <v>0</v>
      </c>
      <c r="AB43" s="99"/>
    </row>
    <row r="44" spans="1:28" ht="14" x14ac:dyDescent="0.15">
      <c r="A44" s="107" t="s">
        <v>39</v>
      </c>
      <c r="B44" s="108"/>
      <c r="C44" s="109"/>
      <c r="D44" s="110"/>
      <c r="E44" s="109"/>
      <c r="F44" s="110"/>
      <c r="G44" s="111"/>
      <c r="H44" s="110"/>
      <c r="I44" s="111"/>
      <c r="J44" s="110"/>
      <c r="K44" s="111"/>
      <c r="L44" s="110"/>
      <c r="M44" s="111"/>
      <c r="N44" s="110"/>
      <c r="O44" s="111"/>
      <c r="P44" s="110"/>
      <c r="Q44" s="111"/>
      <c r="R44" s="110"/>
      <c r="S44" s="111"/>
      <c r="T44" s="110"/>
      <c r="U44" s="111"/>
      <c r="V44" s="110"/>
      <c r="W44" s="109"/>
      <c r="X44" s="110"/>
      <c r="Y44" s="109"/>
      <c r="Z44" s="110"/>
      <c r="AB44" s="99"/>
    </row>
    <row r="45" spans="1:28" ht="18.75" customHeight="1" x14ac:dyDescent="0.15">
      <c r="A45" s="112" t="s">
        <v>72</v>
      </c>
      <c r="B45" s="182">
        <v>600</v>
      </c>
      <c r="C45" s="113">
        <v>1</v>
      </c>
      <c r="D45" s="114">
        <f>C45*$B$45</f>
        <v>600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Q45*$B$45</f>
        <v>0</v>
      </c>
      <c r="S45" s="115">
        <v>0</v>
      </c>
      <c r="T45" s="114">
        <f>S45*$B$45</f>
        <v>0</v>
      </c>
      <c r="U45" s="115">
        <v>0</v>
      </c>
      <c r="V45" s="114">
        <f>U45*$B$45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  <c r="AB45" s="99"/>
    </row>
    <row r="46" spans="1:28" ht="18.75" hidden="1" customHeight="1" x14ac:dyDescent="0.15">
      <c r="A46" s="112"/>
      <c r="B46" s="182"/>
      <c r="C46" s="113">
        <v>1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Q46*$B$45</f>
        <v>0</v>
      </c>
      <c r="S46" s="115">
        <v>0</v>
      </c>
      <c r="T46" s="114">
        <f>S46*$B$45</f>
        <v>0</v>
      </c>
      <c r="U46" s="115">
        <v>0</v>
      </c>
      <c r="V46" s="114">
        <f>U46*$B$45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  <c r="AB46" s="99"/>
    </row>
    <row r="47" spans="1:28" ht="18.75" hidden="1" customHeight="1" x14ac:dyDescent="0.15">
      <c r="A47" s="112"/>
      <c r="B47" s="182"/>
      <c r="C47" s="113">
        <v>0</v>
      </c>
      <c r="D47" s="114">
        <f>C47*B47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0</v>
      </c>
      <c r="X47" s="114">
        <f>W47*$B$47</f>
        <v>0</v>
      </c>
      <c r="Y47" s="113">
        <v>0</v>
      </c>
      <c r="Z47" s="114">
        <f>Y47*$B$47</f>
        <v>0</v>
      </c>
      <c r="AB47" s="99"/>
    </row>
    <row r="48" spans="1:28" ht="18.75" hidden="1" customHeight="1" x14ac:dyDescent="0.15">
      <c r="A48" s="112"/>
      <c r="B48" s="182"/>
      <c r="C48" s="113">
        <v>0</v>
      </c>
      <c r="D48" s="114">
        <f>C48*$B$48</f>
        <v>0</v>
      </c>
      <c r="E48" s="115">
        <v>0</v>
      </c>
      <c r="F48" s="114">
        <f>E48*$B$48</f>
        <v>0</v>
      </c>
      <c r="G48" s="115">
        <v>0</v>
      </c>
      <c r="H48" s="114">
        <f>G48*$B$48</f>
        <v>0</v>
      </c>
      <c r="I48" s="115">
        <v>0</v>
      </c>
      <c r="J48" s="114">
        <f>I48*$B$48</f>
        <v>0</v>
      </c>
      <c r="K48" s="115">
        <v>0</v>
      </c>
      <c r="L48" s="114">
        <f>K48*$B$48</f>
        <v>0</v>
      </c>
      <c r="M48" s="115">
        <v>0</v>
      </c>
      <c r="N48" s="114">
        <f>M48*$B$48</f>
        <v>0</v>
      </c>
      <c r="O48" s="115">
        <v>0</v>
      </c>
      <c r="P48" s="114">
        <f>O48*$B$48</f>
        <v>0</v>
      </c>
      <c r="Q48" s="115">
        <v>0</v>
      </c>
      <c r="R48" s="114">
        <f>Q48*$B$48</f>
        <v>0</v>
      </c>
      <c r="S48" s="115">
        <v>0</v>
      </c>
      <c r="T48" s="114">
        <f>S48*$B$48</f>
        <v>0</v>
      </c>
      <c r="U48" s="115">
        <v>0</v>
      </c>
      <c r="V48" s="114">
        <f>U48*$B$48</f>
        <v>0</v>
      </c>
      <c r="W48" s="113">
        <v>1</v>
      </c>
      <c r="X48" s="114">
        <f>W48*$B$48</f>
        <v>0</v>
      </c>
      <c r="Y48" s="113">
        <v>1</v>
      </c>
      <c r="Z48" s="114">
        <f>Y48*$B$48</f>
        <v>0</v>
      </c>
      <c r="AB48" s="99"/>
    </row>
    <row r="49" spans="1:31" ht="15" x14ac:dyDescent="0.15">
      <c r="A49" s="112" t="s">
        <v>73</v>
      </c>
      <c r="B49" s="182">
        <v>1575</v>
      </c>
      <c r="C49" s="113">
        <v>1</v>
      </c>
      <c r="D49" s="114">
        <f>C49*$B$49</f>
        <v>1575</v>
      </c>
      <c r="E49" s="115">
        <v>0</v>
      </c>
      <c r="F49" s="114">
        <f>E49*$B$48</f>
        <v>0</v>
      </c>
      <c r="G49" s="115">
        <v>0</v>
      </c>
      <c r="H49" s="114">
        <f>G49*$B$48</f>
        <v>0</v>
      </c>
      <c r="I49" s="115">
        <v>0</v>
      </c>
      <c r="J49" s="114">
        <f>I49*$B$48</f>
        <v>0</v>
      </c>
      <c r="K49" s="115">
        <v>0</v>
      </c>
      <c r="L49" s="114">
        <f>K49*$B$48</f>
        <v>0</v>
      </c>
      <c r="M49" s="115">
        <v>0</v>
      </c>
      <c r="N49" s="114">
        <f>M49*$B$48</f>
        <v>0</v>
      </c>
      <c r="O49" s="115">
        <v>0</v>
      </c>
      <c r="P49" s="114">
        <f>O49*$B$48</f>
        <v>0</v>
      </c>
      <c r="Q49" s="115">
        <v>0</v>
      </c>
      <c r="R49" s="114">
        <f>Q49*$B$48</f>
        <v>0</v>
      </c>
      <c r="S49" s="115">
        <v>0</v>
      </c>
      <c r="T49" s="114">
        <f>S49*$B$48</f>
        <v>0</v>
      </c>
      <c r="U49" s="115">
        <v>0</v>
      </c>
      <c r="V49" s="114">
        <f>U49*$B$48</f>
        <v>0</v>
      </c>
      <c r="W49" s="113">
        <v>0</v>
      </c>
      <c r="X49" s="114">
        <f>W49*$B$48</f>
        <v>0</v>
      </c>
      <c r="Y49" s="113">
        <v>0</v>
      </c>
      <c r="Z49" s="114">
        <f>Y49*$B$48</f>
        <v>0</v>
      </c>
      <c r="AB49" s="99"/>
      <c r="AE49" s="99"/>
    </row>
    <row r="50" spans="1:31" ht="15" hidden="1" customHeight="1" x14ac:dyDescent="0.15">
      <c r="A50" s="112"/>
      <c r="B50" s="182"/>
      <c r="C50" s="113">
        <v>0</v>
      </c>
      <c r="D50" s="114">
        <f>C50*$B$50</f>
        <v>0</v>
      </c>
      <c r="E50" s="115">
        <v>0</v>
      </c>
      <c r="F50" s="114">
        <f>E50*$B$50</f>
        <v>0</v>
      </c>
      <c r="G50" s="115">
        <v>0</v>
      </c>
      <c r="H50" s="114">
        <f>G50*$B$50</f>
        <v>0</v>
      </c>
      <c r="I50" s="115">
        <v>0</v>
      </c>
      <c r="J50" s="114">
        <f>I50*$B$50</f>
        <v>0</v>
      </c>
      <c r="K50" s="115">
        <v>0</v>
      </c>
      <c r="L50" s="114">
        <f>K50*$B$50</f>
        <v>0</v>
      </c>
      <c r="M50" s="115">
        <v>0</v>
      </c>
      <c r="N50" s="114">
        <f>M50*$B$50</f>
        <v>0</v>
      </c>
      <c r="O50" s="115">
        <v>0</v>
      </c>
      <c r="P50" s="114">
        <f>O50*$B$50</f>
        <v>0</v>
      </c>
      <c r="Q50" s="115">
        <v>0</v>
      </c>
      <c r="R50" s="114">
        <f>Q50*$B$50</f>
        <v>0</v>
      </c>
      <c r="S50" s="115">
        <v>0</v>
      </c>
      <c r="T50" s="114">
        <f>S50*$B$50</f>
        <v>0</v>
      </c>
      <c r="U50" s="115">
        <v>0</v>
      </c>
      <c r="V50" s="114">
        <f>U50*$B$50</f>
        <v>0</v>
      </c>
      <c r="W50" s="113">
        <v>0</v>
      </c>
      <c r="X50" s="114">
        <f>W50*$B$50</f>
        <v>0</v>
      </c>
      <c r="Y50" s="113">
        <v>0</v>
      </c>
      <c r="Z50" s="114">
        <f>Y50*$B$50</f>
        <v>0</v>
      </c>
      <c r="AB50" s="99"/>
    </row>
    <row r="51" spans="1:31" ht="15" hidden="1" customHeight="1" x14ac:dyDescent="0.15">
      <c r="A51" s="112"/>
      <c r="B51" s="182"/>
      <c r="C51" s="113">
        <v>0</v>
      </c>
      <c r="D51" s="114">
        <f>C51*$B$51</f>
        <v>0</v>
      </c>
      <c r="E51" s="115">
        <v>0</v>
      </c>
      <c r="F51" s="114">
        <f>E51*$B$50</f>
        <v>0</v>
      </c>
      <c r="G51" s="115">
        <v>0</v>
      </c>
      <c r="H51" s="114">
        <f>G51*$B$50</f>
        <v>0</v>
      </c>
      <c r="I51" s="115">
        <v>0</v>
      </c>
      <c r="J51" s="114">
        <f>I51*$B$50</f>
        <v>0</v>
      </c>
      <c r="K51" s="115">
        <v>0</v>
      </c>
      <c r="L51" s="114">
        <f>K51*$B$50</f>
        <v>0</v>
      </c>
      <c r="M51" s="115">
        <v>0</v>
      </c>
      <c r="N51" s="114">
        <f>M51*$B$50</f>
        <v>0</v>
      </c>
      <c r="O51" s="115">
        <v>0</v>
      </c>
      <c r="P51" s="114">
        <f>O51*$B$50</f>
        <v>0</v>
      </c>
      <c r="Q51" s="115">
        <v>0</v>
      </c>
      <c r="R51" s="114">
        <f>Q51*$B$50</f>
        <v>0</v>
      </c>
      <c r="S51" s="115">
        <v>0</v>
      </c>
      <c r="T51" s="114">
        <f>S51*$B$50</f>
        <v>0</v>
      </c>
      <c r="U51" s="115">
        <v>0</v>
      </c>
      <c r="V51" s="114">
        <f>U51*$B$50</f>
        <v>0</v>
      </c>
      <c r="W51" s="113">
        <v>0</v>
      </c>
      <c r="X51" s="114">
        <f>W51*$B$50</f>
        <v>0</v>
      </c>
      <c r="Y51" s="113">
        <v>0</v>
      </c>
      <c r="Z51" s="114">
        <f>Y51*$B$50</f>
        <v>0</v>
      </c>
      <c r="AB51" s="99"/>
    </row>
    <row r="52" spans="1:31" ht="15" hidden="1" customHeight="1" x14ac:dyDescent="0.15">
      <c r="A52" s="112"/>
      <c r="B52" s="182"/>
      <c r="C52" s="113">
        <v>0</v>
      </c>
      <c r="D52" s="114">
        <f>C52*$B$52</f>
        <v>0</v>
      </c>
      <c r="E52" s="115">
        <v>0</v>
      </c>
      <c r="F52" s="114">
        <f>E52*$B$52</f>
        <v>0</v>
      </c>
      <c r="G52" s="115">
        <v>0</v>
      </c>
      <c r="H52" s="114">
        <f>G52*$B$52</f>
        <v>0</v>
      </c>
      <c r="I52" s="115">
        <v>0</v>
      </c>
      <c r="J52" s="114">
        <f>I52*$B$52</f>
        <v>0</v>
      </c>
      <c r="K52" s="115">
        <v>0</v>
      </c>
      <c r="L52" s="114">
        <f>K52*$B$52</f>
        <v>0</v>
      </c>
      <c r="M52" s="115">
        <v>0</v>
      </c>
      <c r="N52" s="114">
        <f>M52*$B$52</f>
        <v>0</v>
      </c>
      <c r="O52" s="115">
        <v>0</v>
      </c>
      <c r="P52" s="114">
        <f>O52*$B$52</f>
        <v>0</v>
      </c>
      <c r="Q52" s="115">
        <v>0</v>
      </c>
      <c r="R52" s="114">
        <f>Q52*$B$52</f>
        <v>0</v>
      </c>
      <c r="S52" s="115">
        <v>0</v>
      </c>
      <c r="T52" s="114">
        <f>S52*$B$52</f>
        <v>0</v>
      </c>
      <c r="U52" s="115">
        <v>0</v>
      </c>
      <c r="V52" s="114">
        <f>U52*$B$52</f>
        <v>0</v>
      </c>
      <c r="W52" s="113">
        <v>0</v>
      </c>
      <c r="X52" s="114">
        <f>W52*$B$52</f>
        <v>0</v>
      </c>
      <c r="Y52" s="113">
        <v>0</v>
      </c>
      <c r="Z52" s="114">
        <f>Y52*$B$52</f>
        <v>0</v>
      </c>
      <c r="AB52" s="99"/>
    </row>
    <row r="53" spans="1:31" ht="15" hidden="1" customHeight="1" x14ac:dyDescent="0.15">
      <c r="A53" s="116"/>
      <c r="B53" s="182"/>
      <c r="C53" s="113">
        <v>0</v>
      </c>
      <c r="D53" s="114">
        <f>C53*$B$53</f>
        <v>0</v>
      </c>
      <c r="E53" s="115">
        <v>0</v>
      </c>
      <c r="F53" s="114">
        <f>E53*$B$52</f>
        <v>0</v>
      </c>
      <c r="G53" s="115">
        <v>0</v>
      </c>
      <c r="H53" s="114">
        <f>G53*$B$52</f>
        <v>0</v>
      </c>
      <c r="I53" s="115">
        <v>0</v>
      </c>
      <c r="J53" s="114">
        <f>I53*$B$52</f>
        <v>0</v>
      </c>
      <c r="K53" s="115">
        <v>0</v>
      </c>
      <c r="L53" s="114">
        <f>K53*$B$52</f>
        <v>0</v>
      </c>
      <c r="M53" s="115">
        <v>0</v>
      </c>
      <c r="N53" s="114">
        <f>M53*$B$52</f>
        <v>0</v>
      </c>
      <c r="O53" s="115">
        <v>0</v>
      </c>
      <c r="P53" s="114">
        <f>O53*$B$52</f>
        <v>0</v>
      </c>
      <c r="Q53" s="115">
        <v>0</v>
      </c>
      <c r="R53" s="114">
        <f>Q53*$B$52</f>
        <v>0</v>
      </c>
      <c r="S53" s="115">
        <v>0</v>
      </c>
      <c r="T53" s="114">
        <f>S53*$B$52</f>
        <v>0</v>
      </c>
      <c r="U53" s="115">
        <v>0</v>
      </c>
      <c r="V53" s="114">
        <f>U53*$B$52</f>
        <v>0</v>
      </c>
      <c r="W53" s="113">
        <v>0</v>
      </c>
      <c r="X53" s="114">
        <f>W53*$B$52</f>
        <v>0</v>
      </c>
      <c r="Y53" s="113">
        <v>0</v>
      </c>
      <c r="Z53" s="114">
        <f>Y53*$B$52</f>
        <v>0</v>
      </c>
      <c r="AB53" s="99"/>
    </row>
    <row r="54" spans="1:31" ht="15" hidden="1" customHeight="1" x14ac:dyDescent="0.15">
      <c r="A54" s="116"/>
      <c r="B54" s="182"/>
      <c r="C54" s="113">
        <v>0</v>
      </c>
      <c r="D54" s="114">
        <f>C54*$B$54</f>
        <v>0</v>
      </c>
      <c r="E54" s="115">
        <v>0</v>
      </c>
      <c r="F54" s="114">
        <f>E54*$B$54</f>
        <v>0</v>
      </c>
      <c r="G54" s="115">
        <v>0</v>
      </c>
      <c r="H54" s="114">
        <f>G54*$B$54</f>
        <v>0</v>
      </c>
      <c r="I54" s="115">
        <v>0</v>
      </c>
      <c r="J54" s="114">
        <f>I54*$B$54</f>
        <v>0</v>
      </c>
      <c r="K54" s="115">
        <v>0</v>
      </c>
      <c r="L54" s="114">
        <f>K54*$B$54</f>
        <v>0</v>
      </c>
      <c r="M54" s="115">
        <v>0</v>
      </c>
      <c r="N54" s="114">
        <f>M54*$B$54</f>
        <v>0</v>
      </c>
      <c r="O54" s="115">
        <v>0</v>
      </c>
      <c r="P54" s="114">
        <f>O54*$B$54</f>
        <v>0</v>
      </c>
      <c r="Q54" s="115">
        <v>0</v>
      </c>
      <c r="R54" s="114">
        <f>Q54*$B$54</f>
        <v>0</v>
      </c>
      <c r="S54" s="115">
        <v>0</v>
      </c>
      <c r="T54" s="114">
        <f>S54*$B$54</f>
        <v>0</v>
      </c>
      <c r="U54" s="115">
        <v>0</v>
      </c>
      <c r="V54" s="114">
        <f>U54*$B$54</f>
        <v>0</v>
      </c>
      <c r="W54" s="113">
        <v>0</v>
      </c>
      <c r="X54" s="114">
        <f>W54*$B$54</f>
        <v>0</v>
      </c>
      <c r="Y54" s="113">
        <v>0</v>
      </c>
      <c r="Z54" s="114">
        <f>Y54*$B$54</f>
        <v>0</v>
      </c>
      <c r="AB54" s="99"/>
    </row>
    <row r="55" spans="1:31" ht="15" hidden="1" customHeight="1" x14ac:dyDescent="0.15">
      <c r="A55" s="116"/>
      <c r="B55" s="182"/>
      <c r="C55" s="113">
        <v>0</v>
      </c>
      <c r="D55" s="114">
        <f>C55*$B$54</f>
        <v>0</v>
      </c>
      <c r="E55" s="115">
        <v>0</v>
      </c>
      <c r="F55" s="114">
        <f>E55*$B$54</f>
        <v>0</v>
      </c>
      <c r="G55" s="115">
        <v>0</v>
      </c>
      <c r="H55" s="114">
        <f>G55*$B$54</f>
        <v>0</v>
      </c>
      <c r="I55" s="115">
        <v>0</v>
      </c>
      <c r="J55" s="114">
        <f>I55*$B$54</f>
        <v>0</v>
      </c>
      <c r="K55" s="115">
        <v>0</v>
      </c>
      <c r="L55" s="114">
        <f>K55*$B$54</f>
        <v>0</v>
      </c>
      <c r="M55" s="115">
        <v>0</v>
      </c>
      <c r="N55" s="114">
        <f>M55*$B$54</f>
        <v>0</v>
      </c>
      <c r="O55" s="115">
        <v>0</v>
      </c>
      <c r="P55" s="114">
        <f>O55*$B$54</f>
        <v>0</v>
      </c>
      <c r="Q55" s="115">
        <v>0</v>
      </c>
      <c r="R55" s="114">
        <f>Q55*$B$54</f>
        <v>0</v>
      </c>
      <c r="S55" s="115">
        <v>0</v>
      </c>
      <c r="T55" s="114">
        <f>S55*$B$54</f>
        <v>0</v>
      </c>
      <c r="U55" s="115">
        <v>0</v>
      </c>
      <c r="V55" s="114">
        <f>U55*$B$54</f>
        <v>0</v>
      </c>
      <c r="W55" s="113">
        <v>0</v>
      </c>
      <c r="X55" s="114">
        <f>W55*$B$54</f>
        <v>0</v>
      </c>
      <c r="Y55" s="113">
        <v>0</v>
      </c>
      <c r="Z55" s="114">
        <f>Y55*$B$54</f>
        <v>0</v>
      </c>
      <c r="AB55" s="99"/>
    </row>
    <row r="56" spans="1:31" ht="15" hidden="1" customHeight="1" x14ac:dyDescent="0.15">
      <c r="A56" s="116"/>
      <c r="B56" s="182"/>
      <c r="C56" s="113">
        <v>0</v>
      </c>
      <c r="D56" s="114">
        <f>C56*$B$56</f>
        <v>0</v>
      </c>
      <c r="E56" s="115">
        <v>0</v>
      </c>
      <c r="F56" s="114">
        <f>E56*$B$52</f>
        <v>0</v>
      </c>
      <c r="G56" s="115">
        <v>0</v>
      </c>
      <c r="H56" s="114">
        <f>G56*$B$52</f>
        <v>0</v>
      </c>
      <c r="I56" s="115">
        <v>0</v>
      </c>
      <c r="J56" s="114">
        <f>I56*$B$52</f>
        <v>0</v>
      </c>
      <c r="K56" s="115">
        <v>0</v>
      </c>
      <c r="L56" s="114">
        <f>K56*$B$52</f>
        <v>0</v>
      </c>
      <c r="M56" s="115">
        <v>0</v>
      </c>
      <c r="N56" s="114">
        <f>M56*$B$52</f>
        <v>0</v>
      </c>
      <c r="O56" s="115">
        <v>0</v>
      </c>
      <c r="P56" s="114">
        <f>O56*$B$52</f>
        <v>0</v>
      </c>
      <c r="Q56" s="115">
        <v>0</v>
      </c>
      <c r="R56" s="114">
        <f>Q56*$B$52</f>
        <v>0</v>
      </c>
      <c r="S56" s="115">
        <v>0</v>
      </c>
      <c r="T56" s="114">
        <f>S56*$B$52</f>
        <v>0</v>
      </c>
      <c r="U56" s="115">
        <v>0</v>
      </c>
      <c r="V56" s="114">
        <f>U56*$B$52</f>
        <v>0</v>
      </c>
      <c r="W56" s="113">
        <v>0</v>
      </c>
      <c r="X56" s="114">
        <f>W56*$B$52</f>
        <v>0</v>
      </c>
      <c r="Y56" s="113">
        <v>0</v>
      </c>
      <c r="Z56" s="114">
        <f>Y56*$B$52</f>
        <v>0</v>
      </c>
      <c r="AB56" s="99"/>
    </row>
    <row r="57" spans="1:31" ht="15" hidden="1" customHeight="1" x14ac:dyDescent="0.15">
      <c r="A57" s="116"/>
      <c r="B57" s="182"/>
      <c r="C57" s="113">
        <v>0</v>
      </c>
      <c r="D57" s="114">
        <f>C57*$B$57</f>
        <v>0</v>
      </c>
      <c r="E57" s="115">
        <v>0</v>
      </c>
      <c r="F57" s="114">
        <f>E57*$B$57</f>
        <v>0</v>
      </c>
      <c r="G57" s="115">
        <v>0</v>
      </c>
      <c r="H57" s="114">
        <f>G57*$B$57</f>
        <v>0</v>
      </c>
      <c r="I57" s="115">
        <v>0</v>
      </c>
      <c r="J57" s="114">
        <f>I57*$B$57</f>
        <v>0</v>
      </c>
      <c r="K57" s="115">
        <v>0</v>
      </c>
      <c r="L57" s="114">
        <f>K57*$B$57</f>
        <v>0</v>
      </c>
      <c r="M57" s="115">
        <v>0</v>
      </c>
      <c r="N57" s="114">
        <f>M57*$B$57</f>
        <v>0</v>
      </c>
      <c r="O57" s="115">
        <v>0</v>
      </c>
      <c r="P57" s="114">
        <f>O57*$B$57</f>
        <v>0</v>
      </c>
      <c r="Q57" s="115">
        <v>0</v>
      </c>
      <c r="R57" s="114">
        <f>Q57*$B$57</f>
        <v>0</v>
      </c>
      <c r="S57" s="115">
        <v>0</v>
      </c>
      <c r="T57" s="114">
        <f>S57*$B$57</f>
        <v>0</v>
      </c>
      <c r="U57" s="115">
        <v>0</v>
      </c>
      <c r="V57" s="114">
        <f>U57*$B$57</f>
        <v>0</v>
      </c>
      <c r="W57" s="113">
        <v>0</v>
      </c>
      <c r="X57" s="114">
        <f>W57*$B$57</f>
        <v>0</v>
      </c>
      <c r="Y57" s="113">
        <v>0</v>
      </c>
      <c r="Z57" s="114">
        <f>Y57*$B$57</f>
        <v>0</v>
      </c>
      <c r="AB57" s="99"/>
    </row>
    <row r="58" spans="1:31" ht="15" hidden="1" customHeight="1" x14ac:dyDescent="0.15">
      <c r="A58" s="116"/>
      <c r="B58" s="182"/>
      <c r="C58" s="113">
        <v>0</v>
      </c>
      <c r="D58" s="114">
        <f>C58*$B$58</f>
        <v>0</v>
      </c>
      <c r="E58" s="115">
        <v>0</v>
      </c>
      <c r="F58" s="114">
        <f>E58*$B$57</f>
        <v>0</v>
      </c>
      <c r="G58" s="115">
        <v>0</v>
      </c>
      <c r="H58" s="114">
        <f>G58*$B$57</f>
        <v>0</v>
      </c>
      <c r="I58" s="115">
        <v>0</v>
      </c>
      <c r="J58" s="114">
        <f>I58*$B$57</f>
        <v>0</v>
      </c>
      <c r="K58" s="115">
        <v>0</v>
      </c>
      <c r="L58" s="114">
        <f>K58*$B$57</f>
        <v>0</v>
      </c>
      <c r="M58" s="115">
        <v>0</v>
      </c>
      <c r="N58" s="114">
        <f>M58*$B$57</f>
        <v>0</v>
      </c>
      <c r="O58" s="115">
        <v>0</v>
      </c>
      <c r="P58" s="114">
        <f>O58*$B$57</f>
        <v>0</v>
      </c>
      <c r="Q58" s="115">
        <v>0</v>
      </c>
      <c r="R58" s="114">
        <f>Q58*$B$57</f>
        <v>0</v>
      </c>
      <c r="S58" s="115">
        <v>0</v>
      </c>
      <c r="T58" s="114">
        <f>S58*$B$57</f>
        <v>0</v>
      </c>
      <c r="U58" s="115">
        <v>0</v>
      </c>
      <c r="V58" s="114">
        <f>U58*$B$57</f>
        <v>0</v>
      </c>
      <c r="W58" s="113">
        <v>0</v>
      </c>
      <c r="X58" s="114">
        <f>W58*$B$57</f>
        <v>0</v>
      </c>
      <c r="Y58" s="113">
        <v>0</v>
      </c>
      <c r="Z58" s="114">
        <f>Y58*$B$57</f>
        <v>0</v>
      </c>
      <c r="AB58" s="99"/>
    </row>
    <row r="59" spans="1:31" ht="15" hidden="1" customHeight="1" x14ac:dyDescent="0.15">
      <c r="A59" s="116"/>
      <c r="B59" s="182"/>
      <c r="C59" s="113">
        <v>0</v>
      </c>
      <c r="D59" s="114">
        <f>C59*$B$59</f>
        <v>0</v>
      </c>
      <c r="E59" s="115">
        <v>0</v>
      </c>
      <c r="F59" s="114">
        <f>E59*$B$59</f>
        <v>0</v>
      </c>
      <c r="G59" s="115">
        <v>0</v>
      </c>
      <c r="H59" s="114">
        <f>G59*$B$59</f>
        <v>0</v>
      </c>
      <c r="I59" s="115">
        <v>0</v>
      </c>
      <c r="J59" s="114">
        <f>I59*$B$59</f>
        <v>0</v>
      </c>
      <c r="K59" s="115">
        <v>0</v>
      </c>
      <c r="L59" s="114">
        <f>K59*$B$59</f>
        <v>0</v>
      </c>
      <c r="M59" s="115">
        <v>0</v>
      </c>
      <c r="N59" s="114">
        <f>M59*$B$59</f>
        <v>0</v>
      </c>
      <c r="O59" s="115">
        <v>0</v>
      </c>
      <c r="P59" s="114">
        <f>O59*$B$59</f>
        <v>0</v>
      </c>
      <c r="Q59" s="115">
        <v>0</v>
      </c>
      <c r="R59" s="114">
        <f>Q59*$B$59</f>
        <v>0</v>
      </c>
      <c r="S59" s="115">
        <v>0</v>
      </c>
      <c r="T59" s="114">
        <f>S59*$B$59</f>
        <v>0</v>
      </c>
      <c r="U59" s="115">
        <v>0</v>
      </c>
      <c r="V59" s="114">
        <f>U59*$B$59</f>
        <v>0</v>
      </c>
      <c r="W59" s="113">
        <v>0</v>
      </c>
      <c r="X59" s="114">
        <f>W59*$B$59</f>
        <v>0</v>
      </c>
      <c r="Y59" s="113">
        <v>0</v>
      </c>
      <c r="Z59" s="114">
        <f>Y59*$B$59</f>
        <v>0</v>
      </c>
      <c r="AB59" s="99"/>
    </row>
    <row r="60" spans="1:31" s="1" customFormat="1" ht="15" hidden="1" customHeight="1" x14ac:dyDescent="0.15">
      <c r="A60" s="116"/>
      <c r="B60" s="182"/>
      <c r="C60" s="113">
        <v>0</v>
      </c>
      <c r="D60" s="117">
        <f>C60*$B$60</f>
        <v>0</v>
      </c>
      <c r="E60" s="115">
        <v>0</v>
      </c>
      <c r="F60" s="117">
        <f>E60*$B$60</f>
        <v>0</v>
      </c>
      <c r="G60" s="115">
        <v>0</v>
      </c>
      <c r="H60" s="117">
        <f>G60*$B$60</f>
        <v>0</v>
      </c>
      <c r="I60" s="115">
        <v>0</v>
      </c>
      <c r="J60" s="117">
        <f>I60*$B$60</f>
        <v>0</v>
      </c>
      <c r="K60" s="115">
        <v>0</v>
      </c>
      <c r="L60" s="117">
        <f>K60*$B$60</f>
        <v>0</v>
      </c>
      <c r="M60" s="115">
        <v>0</v>
      </c>
      <c r="N60" s="117">
        <f>M60*$B$60</f>
        <v>0</v>
      </c>
      <c r="O60" s="115">
        <v>0</v>
      </c>
      <c r="P60" s="117">
        <f>O60*$B$60</f>
        <v>0</v>
      </c>
      <c r="Q60" s="115">
        <v>0</v>
      </c>
      <c r="R60" s="117">
        <f>Q60*$B$60</f>
        <v>0</v>
      </c>
      <c r="S60" s="115">
        <v>0</v>
      </c>
      <c r="T60" s="117">
        <f>S60*$B$60</f>
        <v>0</v>
      </c>
      <c r="U60" s="115">
        <v>0</v>
      </c>
      <c r="V60" s="117">
        <f>U60*$B$60</f>
        <v>0</v>
      </c>
      <c r="W60" s="113">
        <v>0</v>
      </c>
      <c r="X60" s="117">
        <f>W60*$B$60</f>
        <v>0</v>
      </c>
      <c r="Y60" s="113">
        <v>0</v>
      </c>
      <c r="Z60" s="117">
        <f>Y60*$B$60</f>
        <v>0</v>
      </c>
      <c r="AB60" s="99"/>
      <c r="AC60" s="123"/>
    </row>
    <row r="61" spans="1:31" s="1" customFormat="1" ht="15" hidden="1" customHeight="1" x14ac:dyDescent="0.15">
      <c r="A61" s="118"/>
      <c r="B61" s="182"/>
      <c r="C61" s="113">
        <v>0</v>
      </c>
      <c r="D61" s="114">
        <f>C61*$B$61</f>
        <v>0</v>
      </c>
      <c r="E61" s="113">
        <v>0</v>
      </c>
      <c r="F61" s="114">
        <f>E61*$B$61</f>
        <v>0</v>
      </c>
      <c r="G61" s="113">
        <v>0</v>
      </c>
      <c r="H61" s="114">
        <f>G61*$B$61</f>
        <v>0</v>
      </c>
      <c r="I61" s="113">
        <v>0</v>
      </c>
      <c r="J61" s="114">
        <f>I61*$B$61</f>
        <v>0</v>
      </c>
      <c r="K61" s="113">
        <v>0</v>
      </c>
      <c r="L61" s="114">
        <f>K61*$B$61</f>
        <v>0</v>
      </c>
      <c r="M61" s="113">
        <v>0</v>
      </c>
      <c r="N61" s="114">
        <f>M61*$B$61</f>
        <v>0</v>
      </c>
      <c r="O61" s="113">
        <v>0</v>
      </c>
      <c r="P61" s="114">
        <f>O61*$B$61</f>
        <v>0</v>
      </c>
      <c r="Q61" s="113">
        <v>0</v>
      </c>
      <c r="R61" s="114">
        <f>Q61*$B$61</f>
        <v>0</v>
      </c>
      <c r="S61" s="113">
        <v>0</v>
      </c>
      <c r="T61" s="114">
        <f>S61*$B$61</f>
        <v>0</v>
      </c>
      <c r="U61" s="113">
        <v>0</v>
      </c>
      <c r="V61" s="114">
        <f>U61*$B$61</f>
        <v>0</v>
      </c>
      <c r="W61" s="113">
        <v>0</v>
      </c>
      <c r="X61" s="114">
        <f>W61*$B$61</f>
        <v>0</v>
      </c>
      <c r="Y61" s="113">
        <v>0</v>
      </c>
      <c r="Z61" s="114">
        <f>Y61*$B$61</f>
        <v>0</v>
      </c>
      <c r="AB61" s="99"/>
      <c r="AC61" s="123"/>
    </row>
    <row r="62" spans="1:31" s="1" customFormat="1" ht="15" hidden="1" customHeight="1" x14ac:dyDescent="0.15">
      <c r="A62" s="119"/>
      <c r="B62" s="182"/>
      <c r="C62" s="113">
        <v>0</v>
      </c>
      <c r="D62" s="117">
        <f>C62*$B$62</f>
        <v>0</v>
      </c>
      <c r="E62" s="113">
        <v>0</v>
      </c>
      <c r="F62" s="117">
        <f>E62*$B$62</f>
        <v>0</v>
      </c>
      <c r="G62" s="113">
        <v>0</v>
      </c>
      <c r="H62" s="117">
        <f>G62*$B$62</f>
        <v>0</v>
      </c>
      <c r="I62" s="113">
        <v>0</v>
      </c>
      <c r="J62" s="117">
        <f>I62*$B$62</f>
        <v>0</v>
      </c>
      <c r="K62" s="113">
        <v>0</v>
      </c>
      <c r="L62" s="117">
        <f>K62*$B$62</f>
        <v>0</v>
      </c>
      <c r="M62" s="113">
        <v>0</v>
      </c>
      <c r="N62" s="117">
        <f>M62*$B$62</f>
        <v>0</v>
      </c>
      <c r="O62" s="113">
        <v>0</v>
      </c>
      <c r="P62" s="117">
        <f>O62*$B$62</f>
        <v>0</v>
      </c>
      <c r="Q62" s="113">
        <v>0</v>
      </c>
      <c r="R62" s="117">
        <f>Q62*$B$62</f>
        <v>0</v>
      </c>
      <c r="S62" s="113">
        <v>0</v>
      </c>
      <c r="T62" s="117">
        <f>S62*$B$62</f>
        <v>0</v>
      </c>
      <c r="U62" s="113">
        <v>0</v>
      </c>
      <c r="V62" s="117">
        <f>U62*$B$62</f>
        <v>0</v>
      </c>
      <c r="W62" s="113">
        <v>0</v>
      </c>
      <c r="X62" s="117">
        <f>W62*$B$62</f>
        <v>0</v>
      </c>
      <c r="Y62" s="113">
        <v>0</v>
      </c>
      <c r="Z62" s="117">
        <f>Y62*$B$62</f>
        <v>0</v>
      </c>
      <c r="AB62" s="99"/>
      <c r="AC62" s="123"/>
    </row>
    <row r="63" spans="1:31" s="1" customFormat="1" ht="15" hidden="1" customHeight="1" x14ac:dyDescent="0.15">
      <c r="A63" s="119"/>
      <c r="B63" s="182"/>
      <c r="C63" s="113">
        <v>0</v>
      </c>
      <c r="D63" s="114">
        <f>C63*$B$63</f>
        <v>0</v>
      </c>
      <c r="E63" s="113">
        <v>0</v>
      </c>
      <c r="F63" s="114">
        <f t="shared" ref="F63:F68" si="6">E63*$B$63</f>
        <v>0</v>
      </c>
      <c r="G63" s="113">
        <v>0</v>
      </c>
      <c r="H63" s="114">
        <f t="shared" ref="H63:H68" si="7">G63*$B$63</f>
        <v>0</v>
      </c>
      <c r="I63" s="113">
        <v>0</v>
      </c>
      <c r="J63" s="114">
        <f t="shared" ref="J63:J68" si="8">I63*$B$63</f>
        <v>0</v>
      </c>
      <c r="K63" s="113">
        <v>0</v>
      </c>
      <c r="L63" s="114">
        <f t="shared" ref="L63:L68" si="9">K63*$B$63</f>
        <v>0</v>
      </c>
      <c r="M63" s="113">
        <v>0</v>
      </c>
      <c r="N63" s="114">
        <f t="shared" ref="N63:N68" si="10">M63*$B$63</f>
        <v>0</v>
      </c>
      <c r="O63" s="113">
        <v>0</v>
      </c>
      <c r="P63" s="114">
        <f t="shared" ref="P63:P68" si="11">O63*$B$63</f>
        <v>0</v>
      </c>
      <c r="Q63" s="113">
        <v>0</v>
      </c>
      <c r="R63" s="114">
        <f t="shared" ref="R63:R68" si="12">Q63*$B$63</f>
        <v>0</v>
      </c>
      <c r="S63" s="113">
        <v>0</v>
      </c>
      <c r="T63" s="114">
        <f t="shared" ref="T63:T68" si="13">S63*$B$63</f>
        <v>0</v>
      </c>
      <c r="U63" s="113">
        <v>0</v>
      </c>
      <c r="V63" s="114">
        <f t="shared" ref="V63:V68" si="14">U63*$B$63</f>
        <v>0</v>
      </c>
      <c r="W63" s="113">
        <v>0</v>
      </c>
      <c r="X63" s="114">
        <f>W63*$B$63</f>
        <v>0</v>
      </c>
      <c r="Y63" s="113">
        <v>0</v>
      </c>
      <c r="Z63" s="114">
        <f>Y63*$B$63</f>
        <v>0</v>
      </c>
      <c r="AB63" s="99"/>
      <c r="AC63" s="123"/>
    </row>
    <row r="64" spans="1:31" s="1" customFormat="1" ht="15" hidden="1" customHeight="1" x14ac:dyDescent="0.15">
      <c r="A64" s="119"/>
      <c r="B64" s="182"/>
      <c r="C64" s="113">
        <v>0</v>
      </c>
      <c r="D64" s="114">
        <f>C64*$B$64</f>
        <v>0</v>
      </c>
      <c r="E64" s="113">
        <v>0</v>
      </c>
      <c r="F64" s="114">
        <f t="shared" si="6"/>
        <v>0</v>
      </c>
      <c r="G64" s="113">
        <v>0</v>
      </c>
      <c r="H64" s="114">
        <f t="shared" si="7"/>
        <v>0</v>
      </c>
      <c r="I64" s="113">
        <v>0</v>
      </c>
      <c r="J64" s="114">
        <f t="shared" si="8"/>
        <v>0</v>
      </c>
      <c r="K64" s="113">
        <v>0</v>
      </c>
      <c r="L64" s="114">
        <f t="shared" si="9"/>
        <v>0</v>
      </c>
      <c r="M64" s="113">
        <v>0</v>
      </c>
      <c r="N64" s="114">
        <f t="shared" si="10"/>
        <v>0</v>
      </c>
      <c r="O64" s="113">
        <v>0</v>
      </c>
      <c r="P64" s="114">
        <f t="shared" si="11"/>
        <v>0</v>
      </c>
      <c r="Q64" s="113">
        <v>0</v>
      </c>
      <c r="R64" s="114">
        <f t="shared" si="12"/>
        <v>0</v>
      </c>
      <c r="S64" s="113">
        <v>0</v>
      </c>
      <c r="T64" s="114">
        <f t="shared" si="13"/>
        <v>0</v>
      </c>
      <c r="U64" s="113">
        <v>0</v>
      </c>
      <c r="V64" s="114">
        <f t="shared" si="14"/>
        <v>0</v>
      </c>
      <c r="W64" s="113">
        <v>0</v>
      </c>
      <c r="X64" s="114">
        <f>W64*$B$63</f>
        <v>0</v>
      </c>
      <c r="Y64" s="113">
        <v>0</v>
      </c>
      <c r="Z64" s="114">
        <f>Y64*$B$63</f>
        <v>0</v>
      </c>
      <c r="AB64" s="99"/>
      <c r="AC64" s="123"/>
    </row>
    <row r="65" spans="1:31" s="1" customFormat="1" ht="15" hidden="1" customHeight="1" x14ac:dyDescent="0.15">
      <c r="A65" s="119"/>
      <c r="B65" s="182"/>
      <c r="C65" s="113">
        <v>0</v>
      </c>
      <c r="D65" s="114">
        <f>C65*$B$65</f>
        <v>0</v>
      </c>
      <c r="E65" s="113">
        <v>0</v>
      </c>
      <c r="F65" s="114">
        <f t="shared" si="6"/>
        <v>0</v>
      </c>
      <c r="G65" s="113">
        <v>0</v>
      </c>
      <c r="H65" s="114">
        <f t="shared" si="7"/>
        <v>0</v>
      </c>
      <c r="I65" s="113">
        <v>0</v>
      </c>
      <c r="J65" s="114">
        <f t="shared" si="8"/>
        <v>0</v>
      </c>
      <c r="K65" s="113">
        <v>0</v>
      </c>
      <c r="L65" s="114">
        <f t="shared" si="9"/>
        <v>0</v>
      </c>
      <c r="M65" s="113">
        <v>0</v>
      </c>
      <c r="N65" s="114">
        <f t="shared" si="10"/>
        <v>0</v>
      </c>
      <c r="O65" s="113">
        <v>0</v>
      </c>
      <c r="P65" s="114">
        <f t="shared" si="11"/>
        <v>0</v>
      </c>
      <c r="Q65" s="113">
        <v>0</v>
      </c>
      <c r="R65" s="114">
        <f t="shared" si="12"/>
        <v>0</v>
      </c>
      <c r="S65" s="113">
        <v>0</v>
      </c>
      <c r="T65" s="114">
        <f t="shared" si="13"/>
        <v>0</v>
      </c>
      <c r="U65" s="113">
        <v>0</v>
      </c>
      <c r="V65" s="114">
        <f t="shared" si="14"/>
        <v>0</v>
      </c>
      <c r="W65" s="113">
        <v>0</v>
      </c>
      <c r="X65" s="114">
        <f>W65*$B$63</f>
        <v>0</v>
      </c>
      <c r="Y65" s="113">
        <v>0</v>
      </c>
      <c r="Z65" s="114">
        <f>Y65*$B$63</f>
        <v>0</v>
      </c>
      <c r="AB65" s="99"/>
      <c r="AC65" s="123"/>
    </row>
    <row r="66" spans="1:31" s="1" customFormat="1" ht="33" customHeight="1" x14ac:dyDescent="0.15">
      <c r="A66" s="112"/>
      <c r="B66" s="182"/>
      <c r="C66" s="113">
        <v>0</v>
      </c>
      <c r="D66" s="114">
        <f>C66*$B$68</f>
        <v>0</v>
      </c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W66*$B$63</f>
        <v>0</v>
      </c>
      <c r="Y66" s="113">
        <v>0</v>
      </c>
      <c r="Z66" s="114">
        <f>Y66*$B$63</f>
        <v>0</v>
      </c>
      <c r="AB66" s="99"/>
      <c r="AC66" s="123"/>
    </row>
    <row r="67" spans="1:31" s="1" customFormat="1" ht="17.25" customHeight="1" x14ac:dyDescent="0.15">
      <c r="A67" s="112"/>
      <c r="B67" s="182"/>
      <c r="C67" s="113">
        <v>0</v>
      </c>
      <c r="D67" s="114">
        <f t="shared" ref="D67" si="15">C67*$B$49</f>
        <v>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>
        <v>0</v>
      </c>
      <c r="X67" s="114">
        <f>W67*B67</f>
        <v>0</v>
      </c>
      <c r="Y67" s="113">
        <v>0</v>
      </c>
      <c r="Z67" s="114">
        <f>Y67*B67</f>
        <v>0</v>
      </c>
      <c r="AB67" s="99"/>
      <c r="AC67" s="123"/>
    </row>
    <row r="68" spans="1:31" s="1" customFormat="1" ht="17.25" hidden="1" customHeight="1" x14ac:dyDescent="0.15">
      <c r="A68" s="112"/>
      <c r="B68" s="182"/>
      <c r="C68" s="113">
        <v>0</v>
      </c>
      <c r="D68" s="114">
        <f t="shared" ref="D68" si="16">C68*$B$50</f>
        <v>0</v>
      </c>
      <c r="E68" s="113">
        <v>0</v>
      </c>
      <c r="F68" s="114">
        <f t="shared" si="6"/>
        <v>0</v>
      </c>
      <c r="G68" s="113">
        <v>0</v>
      </c>
      <c r="H68" s="114">
        <f t="shared" si="7"/>
        <v>0</v>
      </c>
      <c r="I68" s="113">
        <v>0</v>
      </c>
      <c r="J68" s="114">
        <f t="shared" si="8"/>
        <v>0</v>
      </c>
      <c r="K68" s="113">
        <v>0</v>
      </c>
      <c r="L68" s="114">
        <f t="shared" si="9"/>
        <v>0</v>
      </c>
      <c r="M68" s="113">
        <v>0</v>
      </c>
      <c r="N68" s="114">
        <f t="shared" si="10"/>
        <v>0</v>
      </c>
      <c r="O68" s="113">
        <v>0</v>
      </c>
      <c r="P68" s="114">
        <f t="shared" si="11"/>
        <v>0</v>
      </c>
      <c r="Q68" s="113">
        <v>0</v>
      </c>
      <c r="R68" s="114">
        <f t="shared" si="12"/>
        <v>0</v>
      </c>
      <c r="S68" s="113">
        <v>0</v>
      </c>
      <c r="T68" s="114">
        <f t="shared" si="13"/>
        <v>0</v>
      </c>
      <c r="U68" s="113">
        <v>0</v>
      </c>
      <c r="V68" s="114">
        <f t="shared" si="14"/>
        <v>0</v>
      </c>
      <c r="W68" s="113"/>
      <c r="X68" s="114">
        <f>W68*B68</f>
        <v>0</v>
      </c>
      <c r="Y68" s="113">
        <v>0</v>
      </c>
      <c r="Z68" s="114">
        <f>Y68*B68</f>
        <v>0</v>
      </c>
      <c r="AB68" s="99"/>
      <c r="AC68" s="123"/>
    </row>
    <row r="69" spans="1:31" s="1" customFormat="1" ht="13.5" hidden="1" customHeight="1" thickBot="1" x14ac:dyDescent="0.2">
      <c r="A69" s="178"/>
      <c r="B69" s="179"/>
      <c r="C69" s="113">
        <v>0</v>
      </c>
      <c r="D69" s="114">
        <f t="shared" ref="D69" si="17">C69*$B$51</f>
        <v>0</v>
      </c>
      <c r="E69" s="71">
        <v>0</v>
      </c>
      <c r="F69" s="24">
        <f>E69*$B$69</f>
        <v>0</v>
      </c>
      <c r="G69" s="71">
        <v>0</v>
      </c>
      <c r="H69" s="24">
        <f>G69*$B$69</f>
        <v>0</v>
      </c>
      <c r="I69" s="71">
        <v>0</v>
      </c>
      <c r="J69" s="24">
        <f>I69*$B$69</f>
        <v>0</v>
      </c>
      <c r="K69" s="71">
        <v>0</v>
      </c>
      <c r="L69" s="24">
        <f>K69*$B$69</f>
        <v>0</v>
      </c>
      <c r="M69" s="71">
        <v>0</v>
      </c>
      <c r="N69" s="24">
        <f>M69*$B$69</f>
        <v>0</v>
      </c>
      <c r="O69" s="71">
        <v>0</v>
      </c>
      <c r="P69" s="24">
        <f>O69*$B$69</f>
        <v>0</v>
      </c>
      <c r="Q69" s="71">
        <v>0</v>
      </c>
      <c r="R69" s="24">
        <f>Q69*$B$69</f>
        <v>0</v>
      </c>
      <c r="S69" s="71">
        <v>0</v>
      </c>
      <c r="T69" s="24">
        <f>S69*$B$69</f>
        <v>0</v>
      </c>
      <c r="U69" s="71">
        <v>0</v>
      </c>
      <c r="V69" s="24">
        <f>U69*$B$69</f>
        <v>0</v>
      </c>
      <c r="W69" s="71">
        <v>0</v>
      </c>
      <c r="X69" s="24">
        <f>W69*$B$69</f>
        <v>0</v>
      </c>
      <c r="Y69" s="71">
        <v>0</v>
      </c>
      <c r="Z69" s="24">
        <f>Y69*$B$69</f>
        <v>0</v>
      </c>
      <c r="AB69" s="99"/>
      <c r="AC69" s="123"/>
    </row>
    <row r="70" spans="1:31" s="1" customFormat="1" ht="13.5" hidden="1" customHeight="1" thickBot="1" x14ac:dyDescent="0.2">
      <c r="A70" s="178"/>
      <c r="B70" s="179"/>
      <c r="C70" s="113">
        <v>0</v>
      </c>
      <c r="D70" s="114">
        <f t="shared" ref="D70" si="18">C70*$B$52</f>
        <v>0</v>
      </c>
      <c r="E70" s="71">
        <v>0</v>
      </c>
      <c r="F70" s="97">
        <f>E70*$B$70</f>
        <v>0</v>
      </c>
      <c r="G70" s="71">
        <v>0</v>
      </c>
      <c r="H70" s="97">
        <f>G70*$B$70</f>
        <v>0</v>
      </c>
      <c r="I70" s="71">
        <v>0</v>
      </c>
      <c r="J70" s="97">
        <f>I70*$B$70</f>
        <v>0</v>
      </c>
      <c r="K70" s="71">
        <v>0</v>
      </c>
      <c r="L70" s="97">
        <f>K70*$B$70</f>
        <v>0</v>
      </c>
      <c r="M70" s="71">
        <v>0</v>
      </c>
      <c r="N70" s="97">
        <f>M70*$B$70</f>
        <v>0</v>
      </c>
      <c r="O70" s="71">
        <v>0</v>
      </c>
      <c r="P70" s="97">
        <f>O70*$B$70</f>
        <v>0</v>
      </c>
      <c r="Q70" s="71">
        <v>0</v>
      </c>
      <c r="R70" s="97">
        <f>Q70*$B$70</f>
        <v>0</v>
      </c>
      <c r="S70" s="71">
        <v>0</v>
      </c>
      <c r="T70" s="97">
        <f>S70*$B$70</f>
        <v>0</v>
      </c>
      <c r="U70" s="71">
        <v>0</v>
      </c>
      <c r="V70" s="97">
        <f>U70*$B$70</f>
        <v>0</v>
      </c>
      <c r="W70" s="71">
        <v>0</v>
      </c>
      <c r="X70" s="97">
        <f>W70*$B$70</f>
        <v>0</v>
      </c>
      <c r="Y70" s="71">
        <v>0</v>
      </c>
      <c r="Z70" s="97">
        <f>Y70*$B$70</f>
        <v>0</v>
      </c>
      <c r="AB70" s="99"/>
      <c r="AC70" s="123"/>
    </row>
    <row r="71" spans="1:31" s="1" customFormat="1" ht="13.5" hidden="1" customHeight="1" thickBot="1" x14ac:dyDescent="0.2">
      <c r="A71" s="180"/>
      <c r="B71" s="181"/>
      <c r="C71" s="113">
        <v>0</v>
      </c>
      <c r="D71" s="114">
        <f t="shared" ref="D71" si="19">C71*$B$53</f>
        <v>0</v>
      </c>
      <c r="E71" s="71">
        <v>0</v>
      </c>
      <c r="F71" s="24">
        <f>E71*$B$71</f>
        <v>0</v>
      </c>
      <c r="G71" s="71">
        <v>0</v>
      </c>
      <c r="H71" s="24">
        <f>G71*$B$71</f>
        <v>0</v>
      </c>
      <c r="I71" s="71">
        <v>0</v>
      </c>
      <c r="J71" s="24">
        <f>I71*$B$71</f>
        <v>0</v>
      </c>
      <c r="K71" s="71">
        <v>0</v>
      </c>
      <c r="L71" s="24">
        <f>K71*$B$71</f>
        <v>0</v>
      </c>
      <c r="M71" s="71">
        <v>0</v>
      </c>
      <c r="N71" s="24">
        <f>M71*$B$71</f>
        <v>0</v>
      </c>
      <c r="O71" s="71">
        <v>0</v>
      </c>
      <c r="P71" s="24">
        <f>O71*$B$71</f>
        <v>0</v>
      </c>
      <c r="Q71" s="71">
        <v>0</v>
      </c>
      <c r="R71" s="24">
        <f>Q71*$B$71</f>
        <v>0</v>
      </c>
      <c r="S71" s="71">
        <v>0</v>
      </c>
      <c r="T71" s="24">
        <f>S71*$B$71</f>
        <v>0</v>
      </c>
      <c r="U71" s="71">
        <v>0</v>
      </c>
      <c r="V71" s="24">
        <f>U71*$B$71</f>
        <v>0</v>
      </c>
      <c r="W71" s="71">
        <v>0</v>
      </c>
      <c r="X71" s="24">
        <f>W71*$B$71</f>
        <v>0</v>
      </c>
      <c r="Y71" s="71">
        <v>0</v>
      </c>
      <c r="Z71" s="24">
        <f>Y71*$B$71</f>
        <v>0</v>
      </c>
      <c r="AB71" s="99"/>
      <c r="AC71" s="123"/>
    </row>
    <row r="72" spans="1:31" s="1" customFormat="1" ht="13.5" hidden="1" customHeight="1" thickBot="1" x14ac:dyDescent="0.2">
      <c r="A72" s="128"/>
      <c r="B72" s="129"/>
      <c r="C72" s="113">
        <v>0</v>
      </c>
      <c r="D72" s="114">
        <f t="shared" ref="D72:D73" si="20">C72*$B$54</f>
        <v>0</v>
      </c>
      <c r="E72" s="131">
        <v>0</v>
      </c>
      <c r="F72" s="130">
        <f>E72*$B$72</f>
        <v>0</v>
      </c>
      <c r="G72" s="131">
        <v>0</v>
      </c>
      <c r="H72" s="130">
        <f>G72*$B$72</f>
        <v>0</v>
      </c>
      <c r="I72" s="131">
        <v>0</v>
      </c>
      <c r="J72" s="130">
        <f>I72*$B$72</f>
        <v>0</v>
      </c>
      <c r="K72" s="131">
        <v>0</v>
      </c>
      <c r="L72" s="130">
        <f>K72*$B$72</f>
        <v>0</v>
      </c>
      <c r="M72" s="131">
        <v>0</v>
      </c>
      <c r="N72" s="130">
        <f>M72*$B$72</f>
        <v>0</v>
      </c>
      <c r="O72" s="131">
        <v>0</v>
      </c>
      <c r="P72" s="130">
        <f>O72*$B$72</f>
        <v>0</v>
      </c>
      <c r="Q72" s="131">
        <v>0</v>
      </c>
      <c r="R72" s="130">
        <f>Q72*$B$72</f>
        <v>0</v>
      </c>
      <c r="S72" s="131">
        <v>0</v>
      </c>
      <c r="T72" s="130">
        <f>S72*$B$72</f>
        <v>0</v>
      </c>
      <c r="U72" s="131">
        <v>0</v>
      </c>
      <c r="V72" s="130">
        <f>U72*$B$72</f>
        <v>0</v>
      </c>
      <c r="W72" s="76">
        <v>0</v>
      </c>
      <c r="X72" s="130">
        <f>W72*$B$72</f>
        <v>0</v>
      </c>
      <c r="Y72" s="76">
        <v>0</v>
      </c>
      <c r="Z72" s="130">
        <f>Y72*$B$72</f>
        <v>0</v>
      </c>
      <c r="AB72" s="99"/>
      <c r="AC72" s="123"/>
    </row>
    <row r="73" spans="1:31" ht="18.75" hidden="1" customHeight="1" x14ac:dyDescent="0.15">
      <c r="A73" s="112"/>
      <c r="B73" s="182"/>
      <c r="C73" s="113">
        <v>0</v>
      </c>
      <c r="D73" s="114">
        <f t="shared" si="20"/>
        <v>0</v>
      </c>
      <c r="E73" s="115">
        <v>0</v>
      </c>
      <c r="F73" s="114">
        <f>E73*$B$45</f>
        <v>0</v>
      </c>
      <c r="G73" s="115">
        <v>0</v>
      </c>
      <c r="H73" s="114">
        <f>G73*$B$45</f>
        <v>0</v>
      </c>
      <c r="I73" s="115">
        <v>0</v>
      </c>
      <c r="J73" s="114">
        <f>I73*$B$45</f>
        <v>0</v>
      </c>
      <c r="K73" s="115">
        <v>0</v>
      </c>
      <c r="L73" s="114">
        <f>K73*$B$45</f>
        <v>0</v>
      </c>
      <c r="M73" s="115">
        <v>0</v>
      </c>
      <c r="N73" s="114">
        <f>M73*$B$45</f>
        <v>0</v>
      </c>
      <c r="O73" s="115">
        <v>0</v>
      </c>
      <c r="P73" s="114">
        <f>O73*$B$45</f>
        <v>0</v>
      </c>
      <c r="Q73" s="115">
        <v>0</v>
      </c>
      <c r="R73" s="114">
        <f>Q73*$B$45</f>
        <v>0</v>
      </c>
      <c r="S73" s="115">
        <v>0</v>
      </c>
      <c r="T73" s="114">
        <f>S73*$B$45</f>
        <v>0</v>
      </c>
      <c r="U73" s="115">
        <v>0</v>
      </c>
      <c r="V73" s="114">
        <f>U73*$B$45</f>
        <v>0</v>
      </c>
      <c r="W73" s="113">
        <v>0</v>
      </c>
      <c r="X73" s="114">
        <f>W73*$B$45</f>
        <v>0</v>
      </c>
      <c r="Y73" s="113">
        <v>0</v>
      </c>
      <c r="Z73" s="114">
        <f>Y73*$B$45</f>
        <v>0</v>
      </c>
      <c r="AB73" s="99"/>
    </row>
    <row r="74" spans="1:31" ht="18.75" hidden="1" customHeight="1" x14ac:dyDescent="0.15">
      <c r="A74" s="112"/>
      <c r="B74" s="182"/>
      <c r="C74" s="113">
        <v>0</v>
      </c>
      <c r="D74" s="114">
        <f t="shared" ref="D74" si="21">C74*$B$56</f>
        <v>0</v>
      </c>
      <c r="E74" s="115">
        <v>0</v>
      </c>
      <c r="F74" s="114">
        <f>E74*$B$46</f>
        <v>0</v>
      </c>
      <c r="G74" s="115">
        <v>0</v>
      </c>
      <c r="H74" s="114">
        <f>G74*$B$46</f>
        <v>0</v>
      </c>
      <c r="I74" s="115">
        <v>0</v>
      </c>
      <c r="J74" s="114">
        <f>I74*$B$46</f>
        <v>0</v>
      </c>
      <c r="K74" s="115">
        <v>0</v>
      </c>
      <c r="L74" s="114">
        <f>K74*$B$46</f>
        <v>0</v>
      </c>
      <c r="M74" s="115">
        <v>0</v>
      </c>
      <c r="N74" s="114">
        <f>M74*$B$46</f>
        <v>0</v>
      </c>
      <c r="O74" s="115">
        <v>0</v>
      </c>
      <c r="P74" s="114">
        <f>O74*$B$46</f>
        <v>0</v>
      </c>
      <c r="Q74" s="115">
        <v>0</v>
      </c>
      <c r="R74" s="114">
        <f>Q74*$B$45</f>
        <v>0</v>
      </c>
      <c r="S74" s="115">
        <v>0</v>
      </c>
      <c r="T74" s="114">
        <f>S74*$B$45</f>
        <v>0</v>
      </c>
      <c r="U74" s="115">
        <v>0</v>
      </c>
      <c r="V74" s="114">
        <f>U74*$B$45</f>
        <v>0</v>
      </c>
      <c r="W74" s="113">
        <v>0</v>
      </c>
      <c r="X74" s="114">
        <f>W74*$B$46</f>
        <v>0</v>
      </c>
      <c r="Y74" s="113">
        <v>0</v>
      </c>
      <c r="Z74" s="114">
        <f>Y74*$B$46</f>
        <v>0</v>
      </c>
      <c r="AB74" s="99"/>
    </row>
    <row r="75" spans="1:31" ht="18.75" hidden="1" customHeight="1" x14ac:dyDescent="0.15">
      <c r="A75" s="112"/>
      <c r="B75" s="182"/>
      <c r="C75" s="113">
        <v>0</v>
      </c>
      <c r="D75" s="114">
        <f t="shared" ref="D75" si="22">C75*$B$57</f>
        <v>0</v>
      </c>
      <c r="E75" s="115">
        <v>0</v>
      </c>
      <c r="F75" s="114">
        <f>E75*$B$47</f>
        <v>0</v>
      </c>
      <c r="G75" s="115">
        <v>0</v>
      </c>
      <c r="H75" s="114">
        <f>G75*$B$47</f>
        <v>0</v>
      </c>
      <c r="I75" s="115">
        <v>0</v>
      </c>
      <c r="J75" s="114">
        <f>I75*$B$47</f>
        <v>0</v>
      </c>
      <c r="K75" s="115">
        <v>0</v>
      </c>
      <c r="L75" s="114">
        <f>K75*$B$47</f>
        <v>0</v>
      </c>
      <c r="M75" s="115">
        <v>0</v>
      </c>
      <c r="N75" s="114">
        <f>M75*$B$47</f>
        <v>0</v>
      </c>
      <c r="O75" s="115">
        <v>0</v>
      </c>
      <c r="P75" s="114">
        <f>O75*$B$47</f>
        <v>0</v>
      </c>
      <c r="Q75" s="115">
        <v>0</v>
      </c>
      <c r="R75" s="114">
        <f>Q75*$B$47</f>
        <v>0</v>
      </c>
      <c r="S75" s="115">
        <v>0</v>
      </c>
      <c r="T75" s="114">
        <f>S75*$B$47</f>
        <v>0</v>
      </c>
      <c r="U75" s="115">
        <v>0</v>
      </c>
      <c r="V75" s="114">
        <f>U75*$B$47</f>
        <v>0</v>
      </c>
      <c r="W75" s="113">
        <v>0</v>
      </c>
      <c r="X75" s="114">
        <f>W75*$B$47</f>
        <v>0</v>
      </c>
      <c r="Y75" s="113">
        <v>0</v>
      </c>
      <c r="Z75" s="114">
        <f>Y75*$B$47</f>
        <v>0</v>
      </c>
      <c r="AB75" s="99"/>
    </row>
    <row r="76" spans="1:31" ht="18.75" hidden="1" customHeight="1" x14ac:dyDescent="0.15">
      <c r="A76" s="112"/>
      <c r="B76" s="182"/>
      <c r="C76" s="113">
        <v>0</v>
      </c>
      <c r="D76" s="114">
        <f t="shared" ref="D76" si="23">C76*$B$58</f>
        <v>0</v>
      </c>
      <c r="E76" s="115">
        <v>0</v>
      </c>
      <c r="F76" s="114">
        <f>E76*$B$48</f>
        <v>0</v>
      </c>
      <c r="G76" s="115">
        <v>0</v>
      </c>
      <c r="H76" s="114">
        <f>G76*$B$48</f>
        <v>0</v>
      </c>
      <c r="I76" s="115">
        <v>0</v>
      </c>
      <c r="J76" s="114">
        <f>I76*$B$48</f>
        <v>0</v>
      </c>
      <c r="K76" s="115">
        <v>0</v>
      </c>
      <c r="L76" s="114">
        <f>K76*$B$48</f>
        <v>0</v>
      </c>
      <c r="M76" s="115">
        <v>0</v>
      </c>
      <c r="N76" s="114">
        <f>M76*$B$48</f>
        <v>0</v>
      </c>
      <c r="O76" s="115">
        <v>0</v>
      </c>
      <c r="P76" s="114">
        <f>O76*$B$48</f>
        <v>0</v>
      </c>
      <c r="Q76" s="115">
        <v>0</v>
      </c>
      <c r="R76" s="114">
        <f>Q76*$B$48</f>
        <v>0</v>
      </c>
      <c r="S76" s="115">
        <v>0</v>
      </c>
      <c r="T76" s="114">
        <f>S76*$B$48</f>
        <v>0</v>
      </c>
      <c r="U76" s="115">
        <v>0</v>
      </c>
      <c r="V76" s="114">
        <f>U76*$B$48</f>
        <v>0</v>
      </c>
      <c r="W76" s="113">
        <v>1</v>
      </c>
      <c r="X76" s="114">
        <f>W76*$B$48</f>
        <v>0</v>
      </c>
      <c r="Y76" s="113">
        <v>1</v>
      </c>
      <c r="Z76" s="114">
        <f>Y76*$B$48</f>
        <v>0</v>
      </c>
      <c r="AB76" s="99"/>
    </row>
    <row r="77" spans="1:31" ht="14" hidden="1" x14ac:dyDescent="0.15">
      <c r="A77" s="112"/>
      <c r="B77" s="182"/>
      <c r="C77" s="113">
        <v>0</v>
      </c>
      <c r="D77" s="114">
        <f t="shared" ref="D77" si="24">C77*$B$59</f>
        <v>0</v>
      </c>
      <c r="E77" s="115">
        <v>0</v>
      </c>
      <c r="F77" s="114">
        <f>E77*$B$48</f>
        <v>0</v>
      </c>
      <c r="G77" s="115">
        <v>0</v>
      </c>
      <c r="H77" s="114">
        <f>G77*$B$48</f>
        <v>0</v>
      </c>
      <c r="I77" s="115">
        <v>0</v>
      </c>
      <c r="J77" s="114">
        <f>I77*$B$48</f>
        <v>0</v>
      </c>
      <c r="K77" s="115">
        <v>0</v>
      </c>
      <c r="L77" s="114">
        <f>K77*$B$48</f>
        <v>0</v>
      </c>
      <c r="M77" s="115">
        <v>0</v>
      </c>
      <c r="N77" s="114">
        <f>M77*$B$48</f>
        <v>0</v>
      </c>
      <c r="O77" s="115">
        <v>0</v>
      </c>
      <c r="P77" s="114">
        <f>O77*$B$48</f>
        <v>0</v>
      </c>
      <c r="Q77" s="115">
        <v>0</v>
      </c>
      <c r="R77" s="114">
        <f>Q77*$B$48</f>
        <v>0</v>
      </c>
      <c r="S77" s="115">
        <v>0</v>
      </c>
      <c r="T77" s="114">
        <f>S77*$B$48</f>
        <v>0</v>
      </c>
      <c r="U77" s="115">
        <v>0</v>
      </c>
      <c r="V77" s="114">
        <f>U77*$B$48</f>
        <v>0</v>
      </c>
      <c r="W77" s="113">
        <v>0</v>
      </c>
      <c r="X77" s="114">
        <f>W77*$B$48</f>
        <v>0</v>
      </c>
      <c r="Y77" s="113">
        <v>0</v>
      </c>
      <c r="Z77" s="114">
        <f>Y77*$B$48</f>
        <v>0</v>
      </c>
      <c r="AB77" s="99"/>
      <c r="AE77" s="99"/>
    </row>
    <row r="78" spans="1:31" ht="15" hidden="1" customHeight="1" x14ac:dyDescent="0.15">
      <c r="A78" s="112"/>
      <c r="B78" s="182"/>
      <c r="C78" s="113">
        <v>0</v>
      </c>
      <c r="D78" s="117">
        <f t="shared" ref="D78" si="25">C78*$B$60</f>
        <v>0</v>
      </c>
      <c r="E78" s="115">
        <v>0</v>
      </c>
      <c r="F78" s="114">
        <f>E78*$B$50</f>
        <v>0</v>
      </c>
      <c r="G78" s="115">
        <v>0</v>
      </c>
      <c r="H78" s="114">
        <f>G78*$B$50</f>
        <v>0</v>
      </c>
      <c r="I78" s="115">
        <v>0</v>
      </c>
      <c r="J78" s="114">
        <f>I78*$B$50</f>
        <v>0</v>
      </c>
      <c r="K78" s="115">
        <v>0</v>
      </c>
      <c r="L78" s="114">
        <f>K78*$B$50</f>
        <v>0</v>
      </c>
      <c r="M78" s="115">
        <v>0</v>
      </c>
      <c r="N78" s="114">
        <f>M78*$B$50</f>
        <v>0</v>
      </c>
      <c r="O78" s="115">
        <v>0</v>
      </c>
      <c r="P78" s="114">
        <f>O78*$B$50</f>
        <v>0</v>
      </c>
      <c r="Q78" s="115">
        <v>0</v>
      </c>
      <c r="R78" s="114">
        <f>Q78*$B$50</f>
        <v>0</v>
      </c>
      <c r="S78" s="115">
        <v>0</v>
      </c>
      <c r="T78" s="114">
        <f>S78*$B$50</f>
        <v>0</v>
      </c>
      <c r="U78" s="115">
        <v>0</v>
      </c>
      <c r="V78" s="114">
        <f>U78*$B$50</f>
        <v>0</v>
      </c>
      <c r="W78" s="113">
        <v>0</v>
      </c>
      <c r="X78" s="114">
        <f>W78*$B$50</f>
        <v>0</v>
      </c>
      <c r="Y78" s="113">
        <v>0</v>
      </c>
      <c r="Z78" s="114">
        <f>Y78*$B$50</f>
        <v>0</v>
      </c>
      <c r="AB78" s="99"/>
    </row>
    <row r="79" spans="1:31" ht="15" hidden="1" customHeight="1" x14ac:dyDescent="0.15">
      <c r="A79" s="112"/>
      <c r="B79" s="182"/>
      <c r="C79" s="113">
        <v>0</v>
      </c>
      <c r="D79" s="114">
        <f t="shared" ref="D79" si="26">C79*$B$61</f>
        <v>0</v>
      </c>
      <c r="E79" s="115">
        <v>0</v>
      </c>
      <c r="F79" s="114">
        <f>E79*$B$50</f>
        <v>0</v>
      </c>
      <c r="G79" s="115">
        <v>0</v>
      </c>
      <c r="H79" s="114">
        <f>G79*$B$50</f>
        <v>0</v>
      </c>
      <c r="I79" s="115">
        <v>0</v>
      </c>
      <c r="J79" s="114">
        <f>I79*$B$50</f>
        <v>0</v>
      </c>
      <c r="K79" s="115">
        <v>0</v>
      </c>
      <c r="L79" s="114">
        <f>K79*$B$50</f>
        <v>0</v>
      </c>
      <c r="M79" s="115">
        <v>0</v>
      </c>
      <c r="N79" s="114">
        <f>M79*$B$50</f>
        <v>0</v>
      </c>
      <c r="O79" s="115">
        <v>0</v>
      </c>
      <c r="P79" s="114">
        <f>O79*$B$50</f>
        <v>0</v>
      </c>
      <c r="Q79" s="115">
        <v>0</v>
      </c>
      <c r="R79" s="114">
        <f>Q79*$B$50</f>
        <v>0</v>
      </c>
      <c r="S79" s="115">
        <v>0</v>
      </c>
      <c r="T79" s="114">
        <f>S79*$B$50</f>
        <v>0</v>
      </c>
      <c r="U79" s="115">
        <v>0</v>
      </c>
      <c r="V79" s="114">
        <f>U79*$B$50</f>
        <v>0</v>
      </c>
      <c r="W79" s="113">
        <v>0</v>
      </c>
      <c r="X79" s="114">
        <f>W79*$B$50</f>
        <v>0</v>
      </c>
      <c r="Y79" s="113">
        <v>0</v>
      </c>
      <c r="Z79" s="114">
        <f>Y79*$B$50</f>
        <v>0</v>
      </c>
      <c r="AB79" s="99"/>
    </row>
    <row r="80" spans="1:31" ht="15" hidden="1" customHeight="1" x14ac:dyDescent="0.15">
      <c r="A80" s="112"/>
      <c r="B80" s="182"/>
      <c r="C80" s="113">
        <v>0</v>
      </c>
      <c r="D80" s="117">
        <f t="shared" ref="D80" si="27">C80*$B$62</f>
        <v>0</v>
      </c>
      <c r="E80" s="115">
        <v>0</v>
      </c>
      <c r="F80" s="114">
        <f>E80*$B$52</f>
        <v>0</v>
      </c>
      <c r="G80" s="115">
        <v>0</v>
      </c>
      <c r="H80" s="114">
        <f>G80*$B$52</f>
        <v>0</v>
      </c>
      <c r="I80" s="115">
        <v>0</v>
      </c>
      <c r="J80" s="114">
        <f>I80*$B$52</f>
        <v>0</v>
      </c>
      <c r="K80" s="115">
        <v>0</v>
      </c>
      <c r="L80" s="114">
        <f>K80*$B$52</f>
        <v>0</v>
      </c>
      <c r="M80" s="115">
        <v>0</v>
      </c>
      <c r="N80" s="114">
        <f>M80*$B$52</f>
        <v>0</v>
      </c>
      <c r="O80" s="115">
        <v>0</v>
      </c>
      <c r="P80" s="114">
        <f>O80*$B$52</f>
        <v>0</v>
      </c>
      <c r="Q80" s="115">
        <v>0</v>
      </c>
      <c r="R80" s="114">
        <f>Q80*$B$52</f>
        <v>0</v>
      </c>
      <c r="S80" s="115">
        <v>0</v>
      </c>
      <c r="T80" s="114">
        <f>S80*$B$52</f>
        <v>0</v>
      </c>
      <c r="U80" s="115">
        <v>0</v>
      </c>
      <c r="V80" s="114">
        <f>U80*$B$52</f>
        <v>0</v>
      </c>
      <c r="W80" s="113">
        <v>0</v>
      </c>
      <c r="X80" s="114">
        <f>W80*$B$52</f>
        <v>0</v>
      </c>
      <c r="Y80" s="113">
        <v>0</v>
      </c>
      <c r="Z80" s="114">
        <f>Y80*$B$52</f>
        <v>0</v>
      </c>
      <c r="AB80" s="99"/>
    </row>
    <row r="81" spans="1:29" ht="15" hidden="1" customHeight="1" x14ac:dyDescent="0.15">
      <c r="A81" s="116"/>
      <c r="B81" s="182"/>
      <c r="C81" s="113">
        <v>0</v>
      </c>
      <c r="D81" s="114">
        <f t="shared" ref="D81" si="28">C81*$B$63</f>
        <v>0</v>
      </c>
      <c r="E81" s="115">
        <v>0</v>
      </c>
      <c r="F81" s="114">
        <f>E81*$B$52</f>
        <v>0</v>
      </c>
      <c r="G81" s="115">
        <v>0</v>
      </c>
      <c r="H81" s="114">
        <f>G81*$B$52</f>
        <v>0</v>
      </c>
      <c r="I81" s="115">
        <v>0</v>
      </c>
      <c r="J81" s="114">
        <f>I81*$B$52</f>
        <v>0</v>
      </c>
      <c r="K81" s="115">
        <v>0</v>
      </c>
      <c r="L81" s="114">
        <f>K81*$B$52</f>
        <v>0</v>
      </c>
      <c r="M81" s="115">
        <v>0</v>
      </c>
      <c r="N81" s="114">
        <f>M81*$B$52</f>
        <v>0</v>
      </c>
      <c r="O81" s="115">
        <v>0</v>
      </c>
      <c r="P81" s="114">
        <f>O81*$B$52</f>
        <v>0</v>
      </c>
      <c r="Q81" s="115">
        <v>0</v>
      </c>
      <c r="R81" s="114">
        <f>Q81*$B$52</f>
        <v>0</v>
      </c>
      <c r="S81" s="115">
        <v>0</v>
      </c>
      <c r="T81" s="114">
        <f>S81*$B$52</f>
        <v>0</v>
      </c>
      <c r="U81" s="115">
        <v>0</v>
      </c>
      <c r="V81" s="114">
        <f>U81*$B$52</f>
        <v>0</v>
      </c>
      <c r="W81" s="113">
        <v>0</v>
      </c>
      <c r="X81" s="114">
        <f>W81*$B$52</f>
        <v>0</v>
      </c>
      <c r="Y81" s="113">
        <v>0</v>
      </c>
      <c r="Z81" s="114">
        <f>Y81*$B$52</f>
        <v>0</v>
      </c>
      <c r="AB81" s="99"/>
    </row>
    <row r="82" spans="1:29" ht="15" hidden="1" customHeight="1" x14ac:dyDescent="0.15">
      <c r="A82" s="116"/>
      <c r="B82" s="182"/>
      <c r="C82" s="113">
        <v>0</v>
      </c>
      <c r="D82" s="114">
        <f t="shared" ref="D82" si="29">C82*$B$64</f>
        <v>0</v>
      </c>
      <c r="E82" s="115">
        <v>0</v>
      </c>
      <c r="F82" s="114">
        <f>E82*$B$54</f>
        <v>0</v>
      </c>
      <c r="G82" s="115">
        <v>0</v>
      </c>
      <c r="H82" s="114">
        <f>G82*$B$54</f>
        <v>0</v>
      </c>
      <c r="I82" s="115">
        <v>0</v>
      </c>
      <c r="J82" s="114">
        <f>I82*$B$54</f>
        <v>0</v>
      </c>
      <c r="K82" s="115">
        <v>0</v>
      </c>
      <c r="L82" s="114">
        <f>K82*$B$54</f>
        <v>0</v>
      </c>
      <c r="M82" s="115">
        <v>0</v>
      </c>
      <c r="N82" s="114">
        <f>M82*$B$54</f>
        <v>0</v>
      </c>
      <c r="O82" s="115">
        <v>0</v>
      </c>
      <c r="P82" s="114">
        <f>O82*$B$54</f>
        <v>0</v>
      </c>
      <c r="Q82" s="115">
        <v>0</v>
      </c>
      <c r="R82" s="114">
        <f>Q82*$B$54</f>
        <v>0</v>
      </c>
      <c r="S82" s="115">
        <v>0</v>
      </c>
      <c r="T82" s="114">
        <f>S82*$B$54</f>
        <v>0</v>
      </c>
      <c r="U82" s="115">
        <v>0</v>
      </c>
      <c r="V82" s="114">
        <f>U82*$B$54</f>
        <v>0</v>
      </c>
      <c r="W82" s="113">
        <v>0</v>
      </c>
      <c r="X82" s="114">
        <f>W82*$B$54</f>
        <v>0</v>
      </c>
      <c r="Y82" s="113">
        <v>0</v>
      </c>
      <c r="Z82" s="114">
        <f>Y82*$B$54</f>
        <v>0</v>
      </c>
      <c r="AB82" s="99"/>
    </row>
    <row r="83" spans="1:29" ht="15" hidden="1" customHeight="1" x14ac:dyDescent="0.15">
      <c r="A83" s="116"/>
      <c r="B83" s="182"/>
      <c r="C83" s="113">
        <v>0</v>
      </c>
      <c r="D83" s="114">
        <f t="shared" ref="D83" si="30">C83*$B$65</f>
        <v>0</v>
      </c>
      <c r="E83" s="115">
        <v>0</v>
      </c>
      <c r="F83" s="114">
        <f>E83*$B$54</f>
        <v>0</v>
      </c>
      <c r="G83" s="115">
        <v>0</v>
      </c>
      <c r="H83" s="114">
        <f>G83*$B$54</f>
        <v>0</v>
      </c>
      <c r="I83" s="115">
        <v>0</v>
      </c>
      <c r="J83" s="114">
        <f>I83*$B$54</f>
        <v>0</v>
      </c>
      <c r="K83" s="115">
        <v>0</v>
      </c>
      <c r="L83" s="114">
        <f>K83*$B$54</f>
        <v>0</v>
      </c>
      <c r="M83" s="115">
        <v>0</v>
      </c>
      <c r="N83" s="114">
        <f>M83*$B$54</f>
        <v>0</v>
      </c>
      <c r="O83" s="115">
        <v>0</v>
      </c>
      <c r="P83" s="114">
        <f>O83*$B$54</f>
        <v>0</v>
      </c>
      <c r="Q83" s="115">
        <v>0</v>
      </c>
      <c r="R83" s="114">
        <f>Q83*$B$54</f>
        <v>0</v>
      </c>
      <c r="S83" s="115">
        <v>0</v>
      </c>
      <c r="T83" s="114">
        <f>S83*$B$54</f>
        <v>0</v>
      </c>
      <c r="U83" s="115">
        <v>0</v>
      </c>
      <c r="V83" s="114">
        <f>U83*$B$54</f>
        <v>0</v>
      </c>
      <c r="W83" s="113">
        <v>0</v>
      </c>
      <c r="X83" s="114">
        <f>W83*$B$54</f>
        <v>0</v>
      </c>
      <c r="Y83" s="113">
        <v>0</v>
      </c>
      <c r="Z83" s="114">
        <f>Y83*$B$54</f>
        <v>0</v>
      </c>
      <c r="AB83" s="99"/>
    </row>
    <row r="84" spans="1:29" ht="15" hidden="1" customHeight="1" x14ac:dyDescent="0.15">
      <c r="A84" s="116"/>
      <c r="B84" s="182"/>
      <c r="C84" s="113">
        <v>0</v>
      </c>
      <c r="D84" s="114">
        <f t="shared" ref="D84" si="31">C84*$B$68</f>
        <v>0</v>
      </c>
      <c r="E84" s="115">
        <v>0</v>
      </c>
      <c r="F84" s="114">
        <f>E84*$B$52</f>
        <v>0</v>
      </c>
      <c r="G84" s="115">
        <v>0</v>
      </c>
      <c r="H84" s="114">
        <f>G84*$B$52</f>
        <v>0</v>
      </c>
      <c r="I84" s="115">
        <v>0</v>
      </c>
      <c r="J84" s="114">
        <f>I84*$B$52</f>
        <v>0</v>
      </c>
      <c r="K84" s="115">
        <v>0</v>
      </c>
      <c r="L84" s="114">
        <f>K84*$B$52</f>
        <v>0</v>
      </c>
      <c r="M84" s="115">
        <v>0</v>
      </c>
      <c r="N84" s="114">
        <f>M84*$B$52</f>
        <v>0</v>
      </c>
      <c r="O84" s="115">
        <v>0</v>
      </c>
      <c r="P84" s="114">
        <f>O84*$B$52</f>
        <v>0</v>
      </c>
      <c r="Q84" s="115">
        <v>0</v>
      </c>
      <c r="R84" s="114">
        <f>Q84*$B$52</f>
        <v>0</v>
      </c>
      <c r="S84" s="115">
        <v>0</v>
      </c>
      <c r="T84" s="114">
        <f>S84*$B$52</f>
        <v>0</v>
      </c>
      <c r="U84" s="115">
        <v>0</v>
      </c>
      <c r="V84" s="114">
        <f>U84*$B$52</f>
        <v>0</v>
      </c>
      <c r="W84" s="113">
        <v>0</v>
      </c>
      <c r="X84" s="114">
        <f>W84*$B$52</f>
        <v>0</v>
      </c>
      <c r="Y84" s="113">
        <v>0</v>
      </c>
      <c r="Z84" s="114">
        <f>Y84*$B$52</f>
        <v>0</v>
      </c>
      <c r="AB84" s="99"/>
    </row>
    <row r="85" spans="1:29" ht="15" hidden="1" customHeight="1" x14ac:dyDescent="0.15">
      <c r="A85" s="116"/>
      <c r="B85" s="182"/>
      <c r="C85" s="113">
        <v>0</v>
      </c>
      <c r="D85" s="114">
        <f t="shared" ref="D85" si="32">C85*$B$49</f>
        <v>0</v>
      </c>
      <c r="E85" s="115">
        <v>0</v>
      </c>
      <c r="F85" s="114">
        <f>E85*$B$57</f>
        <v>0</v>
      </c>
      <c r="G85" s="115">
        <v>0</v>
      </c>
      <c r="H85" s="114">
        <f>G85*$B$57</f>
        <v>0</v>
      </c>
      <c r="I85" s="115">
        <v>0</v>
      </c>
      <c r="J85" s="114">
        <f>I85*$B$57</f>
        <v>0</v>
      </c>
      <c r="K85" s="115">
        <v>0</v>
      </c>
      <c r="L85" s="114">
        <f>K85*$B$57</f>
        <v>0</v>
      </c>
      <c r="M85" s="115">
        <v>0</v>
      </c>
      <c r="N85" s="114">
        <f>M85*$B$57</f>
        <v>0</v>
      </c>
      <c r="O85" s="115">
        <v>0</v>
      </c>
      <c r="P85" s="114">
        <f>O85*$B$57</f>
        <v>0</v>
      </c>
      <c r="Q85" s="115">
        <v>0</v>
      </c>
      <c r="R85" s="114">
        <f>Q85*$B$57</f>
        <v>0</v>
      </c>
      <c r="S85" s="115">
        <v>0</v>
      </c>
      <c r="T85" s="114">
        <f>S85*$B$57</f>
        <v>0</v>
      </c>
      <c r="U85" s="115">
        <v>0</v>
      </c>
      <c r="V85" s="114">
        <f>U85*$B$57</f>
        <v>0</v>
      </c>
      <c r="W85" s="113">
        <v>0</v>
      </c>
      <c r="X85" s="114">
        <f>W85*$B$57</f>
        <v>0</v>
      </c>
      <c r="Y85" s="113">
        <v>0</v>
      </c>
      <c r="Z85" s="114">
        <f>Y85*$B$57</f>
        <v>0</v>
      </c>
      <c r="AB85" s="99"/>
    </row>
    <row r="86" spans="1:29" ht="15" hidden="1" customHeight="1" x14ac:dyDescent="0.15">
      <c r="A86" s="116"/>
      <c r="B86" s="182"/>
      <c r="C86" s="113">
        <v>0</v>
      </c>
      <c r="D86" s="114">
        <f t="shared" ref="D86" si="33">C86*$B$50</f>
        <v>0</v>
      </c>
      <c r="E86" s="115">
        <v>0</v>
      </c>
      <c r="F86" s="114">
        <f>E86*$B$57</f>
        <v>0</v>
      </c>
      <c r="G86" s="115">
        <v>0</v>
      </c>
      <c r="H86" s="114">
        <f>G86*$B$57</f>
        <v>0</v>
      </c>
      <c r="I86" s="115">
        <v>0</v>
      </c>
      <c r="J86" s="114">
        <f>I86*$B$57</f>
        <v>0</v>
      </c>
      <c r="K86" s="115">
        <v>0</v>
      </c>
      <c r="L86" s="114">
        <f>K86*$B$57</f>
        <v>0</v>
      </c>
      <c r="M86" s="115">
        <v>0</v>
      </c>
      <c r="N86" s="114">
        <f>M86*$B$57</f>
        <v>0</v>
      </c>
      <c r="O86" s="115">
        <v>0</v>
      </c>
      <c r="P86" s="114">
        <f>O86*$B$57</f>
        <v>0</v>
      </c>
      <c r="Q86" s="115">
        <v>0</v>
      </c>
      <c r="R86" s="114">
        <f>Q86*$B$57</f>
        <v>0</v>
      </c>
      <c r="S86" s="115">
        <v>0</v>
      </c>
      <c r="T86" s="114">
        <f>S86*$B$57</f>
        <v>0</v>
      </c>
      <c r="U86" s="115">
        <v>0</v>
      </c>
      <c r="V86" s="114">
        <f>U86*$B$57</f>
        <v>0</v>
      </c>
      <c r="W86" s="113">
        <v>0</v>
      </c>
      <c r="X86" s="114">
        <f>W86*$B$57</f>
        <v>0</v>
      </c>
      <c r="Y86" s="113">
        <v>0</v>
      </c>
      <c r="Z86" s="114">
        <f>Y86*$B$57</f>
        <v>0</v>
      </c>
      <c r="AB86" s="99"/>
    </row>
    <row r="87" spans="1:29" ht="15" hidden="1" customHeight="1" x14ac:dyDescent="0.15">
      <c r="A87" s="116"/>
      <c r="B87" s="182"/>
      <c r="C87" s="113">
        <v>0</v>
      </c>
      <c r="D87" s="114">
        <f t="shared" ref="D87" si="34">C87*$B$51</f>
        <v>0</v>
      </c>
      <c r="E87" s="115">
        <v>0</v>
      </c>
      <c r="F87" s="114">
        <f>E87*$B$59</f>
        <v>0</v>
      </c>
      <c r="G87" s="115">
        <v>0</v>
      </c>
      <c r="H87" s="114">
        <f>G87*$B$59</f>
        <v>0</v>
      </c>
      <c r="I87" s="115">
        <v>0</v>
      </c>
      <c r="J87" s="114">
        <f>I87*$B$59</f>
        <v>0</v>
      </c>
      <c r="K87" s="115">
        <v>0</v>
      </c>
      <c r="L87" s="114">
        <f>K87*$B$59</f>
        <v>0</v>
      </c>
      <c r="M87" s="115">
        <v>0</v>
      </c>
      <c r="N87" s="114">
        <f>M87*$B$59</f>
        <v>0</v>
      </c>
      <c r="O87" s="115">
        <v>0</v>
      </c>
      <c r="P87" s="114">
        <f>O87*$B$59</f>
        <v>0</v>
      </c>
      <c r="Q87" s="115">
        <v>0</v>
      </c>
      <c r="R87" s="114">
        <f>Q87*$B$59</f>
        <v>0</v>
      </c>
      <c r="S87" s="115">
        <v>0</v>
      </c>
      <c r="T87" s="114">
        <f>S87*$B$59</f>
        <v>0</v>
      </c>
      <c r="U87" s="115">
        <v>0</v>
      </c>
      <c r="V87" s="114">
        <f>U87*$B$59</f>
        <v>0</v>
      </c>
      <c r="W87" s="113">
        <v>0</v>
      </c>
      <c r="X87" s="114">
        <f>W87*$B$59</f>
        <v>0</v>
      </c>
      <c r="Y87" s="113">
        <v>0</v>
      </c>
      <c r="Z87" s="114">
        <f>Y87*$B$59</f>
        <v>0</v>
      </c>
      <c r="AB87" s="99"/>
    </row>
    <row r="88" spans="1:29" s="1" customFormat="1" ht="15" hidden="1" customHeight="1" x14ac:dyDescent="0.15">
      <c r="A88" s="116"/>
      <c r="B88" s="182"/>
      <c r="C88" s="113">
        <v>0</v>
      </c>
      <c r="D88" s="114">
        <f t="shared" ref="D88" si="35">C88*$B$52</f>
        <v>0</v>
      </c>
      <c r="E88" s="115">
        <v>0</v>
      </c>
      <c r="F88" s="117">
        <f>E88*$B$60</f>
        <v>0</v>
      </c>
      <c r="G88" s="115">
        <v>0</v>
      </c>
      <c r="H88" s="117">
        <f>G88*$B$60</f>
        <v>0</v>
      </c>
      <c r="I88" s="115">
        <v>0</v>
      </c>
      <c r="J88" s="117">
        <f>I88*$B$60</f>
        <v>0</v>
      </c>
      <c r="K88" s="115">
        <v>0</v>
      </c>
      <c r="L88" s="117">
        <f>K88*$B$60</f>
        <v>0</v>
      </c>
      <c r="M88" s="115">
        <v>0</v>
      </c>
      <c r="N88" s="117">
        <f>M88*$B$60</f>
        <v>0</v>
      </c>
      <c r="O88" s="115">
        <v>0</v>
      </c>
      <c r="P88" s="117">
        <f>O88*$B$60</f>
        <v>0</v>
      </c>
      <c r="Q88" s="115">
        <v>0</v>
      </c>
      <c r="R88" s="117">
        <f>Q88*$B$60</f>
        <v>0</v>
      </c>
      <c r="S88" s="115">
        <v>0</v>
      </c>
      <c r="T88" s="117">
        <f>S88*$B$60</f>
        <v>0</v>
      </c>
      <c r="U88" s="115">
        <v>0</v>
      </c>
      <c r="V88" s="117">
        <f>U88*$B$60</f>
        <v>0</v>
      </c>
      <c r="W88" s="113">
        <v>0</v>
      </c>
      <c r="X88" s="117">
        <f>W88*$B$60</f>
        <v>0</v>
      </c>
      <c r="Y88" s="113">
        <v>0</v>
      </c>
      <c r="Z88" s="117">
        <f>Y88*$B$60</f>
        <v>0</v>
      </c>
      <c r="AB88" s="99"/>
      <c r="AC88" s="123"/>
    </row>
    <row r="89" spans="1:29" s="1" customFormat="1" ht="15" hidden="1" customHeight="1" x14ac:dyDescent="0.15">
      <c r="A89" s="118"/>
      <c r="B89" s="182"/>
      <c r="C89" s="113">
        <v>0</v>
      </c>
      <c r="D89" s="114">
        <f t="shared" ref="D89" si="36">C89*$B$53</f>
        <v>0</v>
      </c>
      <c r="E89" s="113">
        <v>0</v>
      </c>
      <c r="F89" s="114">
        <f>E89*$B$61</f>
        <v>0</v>
      </c>
      <c r="G89" s="113">
        <v>0</v>
      </c>
      <c r="H89" s="114">
        <f>G89*$B$61</f>
        <v>0</v>
      </c>
      <c r="I89" s="113">
        <v>0</v>
      </c>
      <c r="J89" s="114">
        <f>I89*$B$61</f>
        <v>0</v>
      </c>
      <c r="K89" s="113">
        <v>0</v>
      </c>
      <c r="L89" s="114">
        <f>K89*$B$61</f>
        <v>0</v>
      </c>
      <c r="M89" s="113">
        <v>0</v>
      </c>
      <c r="N89" s="114">
        <f>M89*$B$61</f>
        <v>0</v>
      </c>
      <c r="O89" s="113">
        <v>0</v>
      </c>
      <c r="P89" s="114">
        <f>O89*$B$61</f>
        <v>0</v>
      </c>
      <c r="Q89" s="113">
        <v>0</v>
      </c>
      <c r="R89" s="114">
        <f>Q89*$B$61</f>
        <v>0</v>
      </c>
      <c r="S89" s="113">
        <v>0</v>
      </c>
      <c r="T89" s="114">
        <f>S89*$B$61</f>
        <v>0</v>
      </c>
      <c r="U89" s="113">
        <v>0</v>
      </c>
      <c r="V89" s="114">
        <f>U89*$B$61</f>
        <v>0</v>
      </c>
      <c r="W89" s="113">
        <v>0</v>
      </c>
      <c r="X89" s="114">
        <f>W89*$B$61</f>
        <v>0</v>
      </c>
      <c r="Y89" s="113">
        <v>0</v>
      </c>
      <c r="Z89" s="114">
        <f>Y89*$B$61</f>
        <v>0</v>
      </c>
      <c r="AB89" s="99"/>
      <c r="AC89" s="123"/>
    </row>
    <row r="90" spans="1:29" s="1" customFormat="1" ht="15" hidden="1" customHeight="1" x14ac:dyDescent="0.15">
      <c r="A90" s="119"/>
      <c r="B90" s="182"/>
      <c r="C90" s="113">
        <v>0</v>
      </c>
      <c r="D90" s="114">
        <f t="shared" ref="D90:D91" si="37">C90*$B$54</f>
        <v>0</v>
      </c>
      <c r="E90" s="113">
        <v>0</v>
      </c>
      <c r="F90" s="117">
        <f>E90*$B$62</f>
        <v>0</v>
      </c>
      <c r="G90" s="113">
        <v>0</v>
      </c>
      <c r="H90" s="117">
        <f>G90*$B$62</f>
        <v>0</v>
      </c>
      <c r="I90" s="113">
        <v>0</v>
      </c>
      <c r="J90" s="117">
        <f>I90*$B$62</f>
        <v>0</v>
      </c>
      <c r="K90" s="113">
        <v>0</v>
      </c>
      <c r="L90" s="117">
        <f>K90*$B$62</f>
        <v>0</v>
      </c>
      <c r="M90" s="113">
        <v>0</v>
      </c>
      <c r="N90" s="117">
        <f>M90*$B$62</f>
        <v>0</v>
      </c>
      <c r="O90" s="113">
        <v>0</v>
      </c>
      <c r="P90" s="117">
        <f>O90*$B$62</f>
        <v>0</v>
      </c>
      <c r="Q90" s="113">
        <v>0</v>
      </c>
      <c r="R90" s="117">
        <f>Q90*$B$62</f>
        <v>0</v>
      </c>
      <c r="S90" s="113">
        <v>0</v>
      </c>
      <c r="T90" s="117">
        <f>S90*$B$62</f>
        <v>0</v>
      </c>
      <c r="U90" s="113">
        <v>0</v>
      </c>
      <c r="V90" s="117">
        <f>U90*$B$62</f>
        <v>0</v>
      </c>
      <c r="W90" s="113">
        <v>0</v>
      </c>
      <c r="X90" s="117">
        <f>W90*$B$62</f>
        <v>0</v>
      </c>
      <c r="Y90" s="113">
        <v>0</v>
      </c>
      <c r="Z90" s="117">
        <f>Y90*$B$62</f>
        <v>0</v>
      </c>
      <c r="AB90" s="99"/>
      <c r="AC90" s="123"/>
    </row>
    <row r="91" spans="1:29" s="1" customFormat="1" ht="15" hidden="1" customHeight="1" x14ac:dyDescent="0.15">
      <c r="A91" s="119"/>
      <c r="B91" s="182"/>
      <c r="C91" s="113">
        <v>0</v>
      </c>
      <c r="D91" s="114">
        <f t="shared" si="37"/>
        <v>0</v>
      </c>
      <c r="E91" s="113">
        <v>0</v>
      </c>
      <c r="F91" s="114">
        <f t="shared" ref="F91:F94" si="38">E91*$B$63</f>
        <v>0</v>
      </c>
      <c r="G91" s="113">
        <v>0</v>
      </c>
      <c r="H91" s="114">
        <f t="shared" ref="H91:H94" si="39">G91*$B$63</f>
        <v>0</v>
      </c>
      <c r="I91" s="113">
        <v>0</v>
      </c>
      <c r="J91" s="114">
        <f t="shared" ref="J91:J94" si="40">I91*$B$63</f>
        <v>0</v>
      </c>
      <c r="K91" s="113">
        <v>0</v>
      </c>
      <c r="L91" s="114">
        <f t="shared" ref="L91:L94" si="41">K91*$B$63</f>
        <v>0</v>
      </c>
      <c r="M91" s="113">
        <v>0</v>
      </c>
      <c r="N91" s="114">
        <f t="shared" ref="N91:N94" si="42">M91*$B$63</f>
        <v>0</v>
      </c>
      <c r="O91" s="113">
        <v>0</v>
      </c>
      <c r="P91" s="114">
        <f t="shared" ref="P91:P94" si="43">O91*$B$63</f>
        <v>0</v>
      </c>
      <c r="Q91" s="113">
        <v>0</v>
      </c>
      <c r="R91" s="114">
        <f t="shared" ref="R91:R94" si="44">Q91*$B$63</f>
        <v>0</v>
      </c>
      <c r="S91" s="113">
        <v>0</v>
      </c>
      <c r="T91" s="114">
        <f t="shared" ref="T91:T94" si="45">S91*$B$63</f>
        <v>0</v>
      </c>
      <c r="U91" s="113">
        <v>0</v>
      </c>
      <c r="V91" s="114">
        <f t="shared" ref="V91:V94" si="46">U91*$B$63</f>
        <v>0</v>
      </c>
      <c r="W91" s="113">
        <v>0</v>
      </c>
      <c r="X91" s="114">
        <f>W91*$B$63</f>
        <v>0</v>
      </c>
      <c r="Y91" s="113">
        <v>0</v>
      </c>
      <c r="Z91" s="114">
        <f>Y91*$B$63</f>
        <v>0</v>
      </c>
      <c r="AB91" s="99"/>
      <c r="AC91" s="123"/>
    </row>
    <row r="92" spans="1:29" s="1" customFormat="1" ht="15" hidden="1" customHeight="1" x14ac:dyDescent="0.15">
      <c r="A92" s="119"/>
      <c r="B92" s="182"/>
      <c r="C92" s="113">
        <v>0</v>
      </c>
      <c r="D92" s="114">
        <f t="shared" ref="D92" si="47">C92*$B$56</f>
        <v>0</v>
      </c>
      <c r="E92" s="113">
        <v>0</v>
      </c>
      <c r="F92" s="114">
        <f t="shared" si="38"/>
        <v>0</v>
      </c>
      <c r="G92" s="113">
        <v>0</v>
      </c>
      <c r="H92" s="114">
        <f t="shared" si="39"/>
        <v>0</v>
      </c>
      <c r="I92" s="113">
        <v>0</v>
      </c>
      <c r="J92" s="114">
        <f t="shared" si="40"/>
        <v>0</v>
      </c>
      <c r="K92" s="113">
        <v>0</v>
      </c>
      <c r="L92" s="114">
        <f t="shared" si="41"/>
        <v>0</v>
      </c>
      <c r="M92" s="113">
        <v>0</v>
      </c>
      <c r="N92" s="114">
        <f t="shared" si="42"/>
        <v>0</v>
      </c>
      <c r="O92" s="113">
        <v>0</v>
      </c>
      <c r="P92" s="114">
        <f t="shared" si="43"/>
        <v>0</v>
      </c>
      <c r="Q92" s="113">
        <v>0</v>
      </c>
      <c r="R92" s="114">
        <f t="shared" si="44"/>
        <v>0</v>
      </c>
      <c r="S92" s="113">
        <v>0</v>
      </c>
      <c r="T92" s="114">
        <f t="shared" si="45"/>
        <v>0</v>
      </c>
      <c r="U92" s="113">
        <v>0</v>
      </c>
      <c r="V92" s="114">
        <f t="shared" si="46"/>
        <v>0</v>
      </c>
      <c r="W92" s="113">
        <v>0</v>
      </c>
      <c r="X92" s="114">
        <f>W92*$B$63</f>
        <v>0</v>
      </c>
      <c r="Y92" s="113">
        <v>0</v>
      </c>
      <c r="Z92" s="114">
        <f>Y92*$B$63</f>
        <v>0</v>
      </c>
      <c r="AB92" s="99"/>
      <c r="AC92" s="123"/>
    </row>
    <row r="93" spans="1:29" s="1" customFormat="1" ht="15" hidden="1" customHeight="1" x14ac:dyDescent="0.15">
      <c r="A93" s="119"/>
      <c r="B93" s="182"/>
      <c r="C93" s="113">
        <v>0</v>
      </c>
      <c r="D93" s="114">
        <f t="shared" ref="D93" si="48">C93*$B$57</f>
        <v>0</v>
      </c>
      <c r="E93" s="113">
        <v>0</v>
      </c>
      <c r="F93" s="114">
        <f t="shared" si="38"/>
        <v>0</v>
      </c>
      <c r="G93" s="113">
        <v>0</v>
      </c>
      <c r="H93" s="114">
        <f t="shared" si="39"/>
        <v>0</v>
      </c>
      <c r="I93" s="113">
        <v>0</v>
      </c>
      <c r="J93" s="114">
        <f t="shared" si="40"/>
        <v>0</v>
      </c>
      <c r="K93" s="113">
        <v>0</v>
      </c>
      <c r="L93" s="114">
        <f t="shared" si="41"/>
        <v>0</v>
      </c>
      <c r="M93" s="113">
        <v>0</v>
      </c>
      <c r="N93" s="114">
        <f t="shared" si="42"/>
        <v>0</v>
      </c>
      <c r="O93" s="113">
        <v>0</v>
      </c>
      <c r="P93" s="114">
        <f t="shared" si="43"/>
        <v>0</v>
      </c>
      <c r="Q93" s="113">
        <v>0</v>
      </c>
      <c r="R93" s="114">
        <f t="shared" si="44"/>
        <v>0</v>
      </c>
      <c r="S93" s="113">
        <v>0</v>
      </c>
      <c r="T93" s="114">
        <f t="shared" si="45"/>
        <v>0</v>
      </c>
      <c r="U93" s="113">
        <v>0</v>
      </c>
      <c r="V93" s="114">
        <f t="shared" si="46"/>
        <v>0</v>
      </c>
      <c r="W93" s="113">
        <v>0</v>
      </c>
      <c r="X93" s="114">
        <f>W93*$B$63</f>
        <v>0</v>
      </c>
      <c r="Y93" s="113">
        <v>0</v>
      </c>
      <c r="Z93" s="114">
        <f>Y93*$B$63</f>
        <v>0</v>
      </c>
      <c r="AB93" s="99"/>
      <c r="AC93" s="123"/>
    </row>
    <row r="94" spans="1:29" s="1" customFormat="1" ht="15" hidden="1" customHeight="1" x14ac:dyDescent="0.15">
      <c r="A94" s="112"/>
      <c r="B94" s="182"/>
      <c r="C94" s="113">
        <v>0</v>
      </c>
      <c r="D94" s="114">
        <f t="shared" ref="D94" si="49">C94*$B$58</f>
        <v>0</v>
      </c>
      <c r="E94" s="113">
        <v>0</v>
      </c>
      <c r="F94" s="114">
        <f t="shared" si="38"/>
        <v>0</v>
      </c>
      <c r="G94" s="113">
        <v>0</v>
      </c>
      <c r="H94" s="114">
        <f t="shared" si="39"/>
        <v>0</v>
      </c>
      <c r="I94" s="113">
        <v>0</v>
      </c>
      <c r="J94" s="114">
        <f t="shared" si="40"/>
        <v>0</v>
      </c>
      <c r="K94" s="113">
        <v>0</v>
      </c>
      <c r="L94" s="114">
        <f t="shared" si="41"/>
        <v>0</v>
      </c>
      <c r="M94" s="113">
        <v>0</v>
      </c>
      <c r="N94" s="114">
        <f t="shared" si="42"/>
        <v>0</v>
      </c>
      <c r="O94" s="113">
        <v>0</v>
      </c>
      <c r="P94" s="114">
        <f t="shared" si="43"/>
        <v>0</v>
      </c>
      <c r="Q94" s="113">
        <v>0</v>
      </c>
      <c r="R94" s="114">
        <f t="shared" si="44"/>
        <v>0</v>
      </c>
      <c r="S94" s="113">
        <v>0</v>
      </c>
      <c r="T94" s="114">
        <f t="shared" si="45"/>
        <v>0</v>
      </c>
      <c r="U94" s="113">
        <v>0</v>
      </c>
      <c r="V94" s="114">
        <f t="shared" si="46"/>
        <v>0</v>
      </c>
      <c r="W94" s="113">
        <v>0</v>
      </c>
      <c r="X94" s="114">
        <f>W94*$B$63</f>
        <v>0</v>
      </c>
      <c r="Y94" s="113">
        <v>0</v>
      </c>
      <c r="Z94" s="114">
        <f>Y94*$B$63</f>
        <v>0</v>
      </c>
      <c r="AB94" s="99"/>
      <c r="AC94" s="123"/>
    </row>
    <row r="95" spans="1:29" s="1" customFormat="1" ht="30" hidden="1" customHeight="1" x14ac:dyDescent="0.15">
      <c r="A95" s="112" t="s">
        <v>45</v>
      </c>
      <c r="B95" s="182"/>
      <c r="C95" s="113">
        <v>0</v>
      </c>
      <c r="D95" s="114">
        <f>C95*$B$68</f>
        <v>0</v>
      </c>
      <c r="E95" s="113">
        <v>0</v>
      </c>
      <c r="F95" s="114">
        <f>E95*$B$63</f>
        <v>0</v>
      </c>
      <c r="G95" s="113">
        <v>0</v>
      </c>
      <c r="H95" s="114">
        <f>G95*$B$63</f>
        <v>0</v>
      </c>
      <c r="I95" s="113">
        <v>0</v>
      </c>
      <c r="J95" s="114">
        <f>I95*$B$63</f>
        <v>0</v>
      </c>
      <c r="K95" s="113">
        <v>0</v>
      </c>
      <c r="L95" s="114">
        <f>K95*$B$63</f>
        <v>0</v>
      </c>
      <c r="M95" s="113">
        <v>0</v>
      </c>
      <c r="N95" s="114">
        <f>M95*$B$63</f>
        <v>0</v>
      </c>
      <c r="O95" s="113">
        <v>0</v>
      </c>
      <c r="P95" s="114">
        <f>O95*$B$63</f>
        <v>0</v>
      </c>
      <c r="Q95" s="113">
        <v>0</v>
      </c>
      <c r="R95" s="114">
        <f>Q95*$B$63</f>
        <v>0</v>
      </c>
      <c r="S95" s="113">
        <v>0</v>
      </c>
      <c r="T95" s="114">
        <f>S95*$B$63</f>
        <v>0</v>
      </c>
      <c r="U95" s="113">
        <v>0</v>
      </c>
      <c r="V95" s="114">
        <f>U95*$B$63</f>
        <v>0</v>
      </c>
      <c r="W95" s="113">
        <v>0</v>
      </c>
      <c r="X95" s="114">
        <f>W95*B95</f>
        <v>0</v>
      </c>
      <c r="Y95" s="113"/>
      <c r="Z95" s="114">
        <f>Y95*B95</f>
        <v>0</v>
      </c>
      <c r="AB95" s="99"/>
      <c r="AC95" s="123"/>
    </row>
    <row r="96" spans="1:29" s="1" customFormat="1" ht="17.25" customHeight="1" thickBot="1" x14ac:dyDescent="0.2">
      <c r="A96" s="112"/>
      <c r="B96" s="182"/>
      <c r="C96" s="113">
        <v>0</v>
      </c>
      <c r="D96" s="114">
        <f>C96*$B$68</f>
        <v>0</v>
      </c>
      <c r="E96" s="113">
        <v>0</v>
      </c>
      <c r="F96" s="114">
        <f>E96*$B$63</f>
        <v>0</v>
      </c>
      <c r="G96" s="113">
        <v>0</v>
      </c>
      <c r="H96" s="114">
        <f>G96*$B$63</f>
        <v>0</v>
      </c>
      <c r="I96" s="113">
        <v>0</v>
      </c>
      <c r="J96" s="114">
        <f>I96*$B$63</f>
        <v>0</v>
      </c>
      <c r="K96" s="113">
        <v>0</v>
      </c>
      <c r="L96" s="114">
        <f>K96*$B$63</f>
        <v>0</v>
      </c>
      <c r="M96" s="113">
        <v>0</v>
      </c>
      <c r="N96" s="114">
        <f>M96*$B$63</f>
        <v>0</v>
      </c>
      <c r="O96" s="113">
        <v>0</v>
      </c>
      <c r="P96" s="114">
        <f>O96*$B$63</f>
        <v>0</v>
      </c>
      <c r="Q96" s="113">
        <v>0</v>
      </c>
      <c r="R96" s="114">
        <f>Q96*$B$63</f>
        <v>0</v>
      </c>
      <c r="S96" s="113">
        <v>0</v>
      </c>
      <c r="T96" s="114">
        <f>S96*$B$63</f>
        <v>0</v>
      </c>
      <c r="U96" s="113">
        <v>0</v>
      </c>
      <c r="V96" s="114">
        <f>U96*$B$63</f>
        <v>0</v>
      </c>
      <c r="W96" s="113"/>
      <c r="X96" s="114">
        <f>W96*B96</f>
        <v>0</v>
      </c>
      <c r="Y96" s="113">
        <v>0</v>
      </c>
      <c r="Z96" s="114">
        <f>Y96*B96</f>
        <v>0</v>
      </c>
      <c r="AB96" s="99"/>
      <c r="AC96" s="123"/>
    </row>
    <row r="97" spans="1:28" ht="14" x14ac:dyDescent="0.15">
      <c r="A97" s="134" t="s">
        <v>13</v>
      </c>
      <c r="B97" s="135"/>
      <c r="C97" s="120"/>
      <c r="D97" s="121">
        <f>SUM(D28:D96)</f>
        <v>2495</v>
      </c>
      <c r="E97" s="120"/>
      <c r="F97" s="121" t="e">
        <f>SUM(F26:F72)</f>
        <v>#REF!</v>
      </c>
      <c r="G97" s="120"/>
      <c r="H97" s="121" t="e">
        <f>SUM(H26:H72)</f>
        <v>#REF!</v>
      </c>
      <c r="I97" s="120"/>
      <c r="J97" s="121" t="e">
        <f>SUM(J26:J72)</f>
        <v>#REF!</v>
      </c>
      <c r="K97" s="120"/>
      <c r="L97" s="121" t="e">
        <f>SUM(L26:L72)</f>
        <v>#REF!</v>
      </c>
      <c r="M97" s="120"/>
      <c r="N97" s="121" t="e">
        <f>SUM(N26:N72)</f>
        <v>#REF!</v>
      </c>
      <c r="O97" s="120"/>
      <c r="P97" s="121" t="e">
        <f>SUM(P26:P72)</f>
        <v>#REF!</v>
      </c>
      <c r="Q97" s="120"/>
      <c r="R97" s="121" t="e">
        <f>SUM(R26:R72)</f>
        <v>#REF!</v>
      </c>
      <c r="S97" s="120"/>
      <c r="T97" s="121" t="e">
        <f>SUM(T26:T72)</f>
        <v>#REF!</v>
      </c>
      <c r="U97" s="120"/>
      <c r="V97" s="121" t="e">
        <f>SUM(V26:V72)</f>
        <v>#REF!</v>
      </c>
      <c r="W97" s="120"/>
      <c r="X97" s="121">
        <f>SUM(X28:X96)</f>
        <v>0</v>
      </c>
      <c r="Y97" s="120"/>
      <c r="Z97" s="121">
        <f>SUM(Z28:Z96)</f>
        <v>0</v>
      </c>
      <c r="AB97" s="183"/>
    </row>
    <row r="98" spans="1:28" ht="14" x14ac:dyDescent="0.15">
      <c r="A98" s="136" t="s">
        <v>14</v>
      </c>
      <c r="B98" s="132"/>
      <c r="C98" s="113"/>
      <c r="D98" s="114">
        <f>D97+D25</f>
        <v>2989.3903700000001</v>
      </c>
      <c r="E98" s="113"/>
      <c r="F98" s="114" t="e">
        <f>SUM(F97,F25)</f>
        <v>#REF!</v>
      </c>
      <c r="G98" s="113"/>
      <c r="H98" s="114" t="e">
        <f>SUM(H97,H25)</f>
        <v>#REF!</v>
      </c>
      <c r="I98" s="113"/>
      <c r="J98" s="114" t="e">
        <f>SUM(J97,J25)</f>
        <v>#REF!</v>
      </c>
      <c r="K98" s="113"/>
      <c r="L98" s="114" t="e">
        <f>SUM(L97,L25)</f>
        <v>#REF!</v>
      </c>
      <c r="M98" s="113"/>
      <c r="N98" s="114" t="e">
        <f>SUM(N97,N25)</f>
        <v>#REF!</v>
      </c>
      <c r="O98" s="113"/>
      <c r="P98" s="114" t="e">
        <f>SUM(P97,P25)</f>
        <v>#REF!</v>
      </c>
      <c r="Q98" s="113"/>
      <c r="R98" s="114" t="e">
        <f>SUM(R97,R25)</f>
        <v>#REF!</v>
      </c>
      <c r="S98" s="113"/>
      <c r="T98" s="114" t="e">
        <f>SUM(T97,T25)</f>
        <v>#REF!</v>
      </c>
      <c r="U98" s="113"/>
      <c r="V98" s="114" t="e">
        <f>SUM(V97,V25)</f>
        <v>#REF!</v>
      </c>
      <c r="W98" s="114" t="s">
        <v>0</v>
      </c>
      <c r="X98" s="114">
        <f>X97+X25</f>
        <v>0</v>
      </c>
      <c r="Y98" s="114" t="s">
        <v>0</v>
      </c>
      <c r="Z98" s="114">
        <f>Z97+Z25</f>
        <v>32.214399999999998</v>
      </c>
      <c r="AB98" s="183"/>
    </row>
    <row r="99" spans="1:28" ht="15" thickBot="1" x14ac:dyDescent="0.2">
      <c r="A99" s="137" t="s">
        <v>15</v>
      </c>
      <c r="B99" s="138">
        <v>9.7000000000000003E-2</v>
      </c>
      <c r="C99" s="126"/>
      <c r="D99" s="127">
        <f>D98*$B$99</f>
        <v>289.97086589000003</v>
      </c>
      <c r="E99" s="126"/>
      <c r="F99" s="127" t="e">
        <f>F98*$B$99</f>
        <v>#REF!</v>
      </c>
      <c r="G99" s="126"/>
      <c r="H99" s="127" t="e">
        <f>H98*$B$99</f>
        <v>#REF!</v>
      </c>
      <c r="I99" s="126"/>
      <c r="J99" s="127" t="e">
        <f>J98*$B$99</f>
        <v>#REF!</v>
      </c>
      <c r="K99" s="126"/>
      <c r="L99" s="127" t="e">
        <f>L98*$B$99</f>
        <v>#REF!</v>
      </c>
      <c r="M99" s="126"/>
      <c r="N99" s="127" t="e">
        <f>N98*$B$99</f>
        <v>#REF!</v>
      </c>
      <c r="O99" s="126"/>
      <c r="P99" s="127" t="e">
        <f>P98*$B$99</f>
        <v>#REF!</v>
      </c>
      <c r="Q99" s="126"/>
      <c r="R99" s="127" t="e">
        <f>R98*$B$99</f>
        <v>#REF!</v>
      </c>
      <c r="S99" s="126"/>
      <c r="T99" s="127" t="e">
        <f>T98*$B$99</f>
        <v>#REF!</v>
      </c>
      <c r="U99" s="126"/>
      <c r="V99" s="127" t="e">
        <f>V98*$B$99</f>
        <v>#REF!</v>
      </c>
      <c r="W99" s="126"/>
      <c r="X99" s="127">
        <f>X98*$B$99</f>
        <v>0</v>
      </c>
      <c r="Y99" s="126"/>
      <c r="Z99" s="127">
        <f>Z98*$B$99</f>
        <v>3.1247967999999999</v>
      </c>
      <c r="AB99" s="183"/>
    </row>
    <row r="100" spans="1:28" ht="14" x14ac:dyDescent="0.15">
      <c r="A100" s="134" t="s">
        <v>16</v>
      </c>
      <c r="B100" s="151"/>
      <c r="C100" s="120"/>
      <c r="D100" s="121">
        <f>D98+D99</f>
        <v>3279.36123589</v>
      </c>
      <c r="E100" s="120"/>
      <c r="F100" s="121" t="e">
        <f>F98+F99</f>
        <v>#REF!</v>
      </c>
      <c r="G100" s="120"/>
      <c r="H100" s="121" t="e">
        <f>H98+H99</f>
        <v>#REF!</v>
      </c>
      <c r="I100" s="120"/>
      <c r="J100" s="121" t="e">
        <f>J98+J99</f>
        <v>#REF!</v>
      </c>
      <c r="K100" s="120"/>
      <c r="L100" s="121" t="e">
        <f>L98+L99</f>
        <v>#REF!</v>
      </c>
      <c r="M100" s="120"/>
      <c r="N100" s="121" t="e">
        <f>N98+N99</f>
        <v>#REF!</v>
      </c>
      <c r="O100" s="120"/>
      <c r="P100" s="121" t="e">
        <f>P98+P99</f>
        <v>#REF!</v>
      </c>
      <c r="Q100" s="120"/>
      <c r="R100" s="121" t="e">
        <f>R98+R99</f>
        <v>#REF!</v>
      </c>
      <c r="S100" s="120"/>
      <c r="T100" s="121" t="e">
        <f>T98+T99</f>
        <v>#REF!</v>
      </c>
      <c r="U100" s="120"/>
      <c r="V100" s="121" t="e">
        <f>V98+V99</f>
        <v>#REF!</v>
      </c>
      <c r="W100" s="120"/>
      <c r="X100" s="121">
        <f>X98+X99</f>
        <v>0</v>
      </c>
      <c r="Y100" s="120"/>
      <c r="Z100" s="121">
        <f>Z98+Z99</f>
        <v>35.339196799999996</v>
      </c>
      <c r="AA100" s="2"/>
      <c r="AB100" s="183"/>
    </row>
    <row r="101" spans="1:28" ht="15.75" hidden="1" customHeight="1" thickBot="1" x14ac:dyDescent="0.2">
      <c r="A101" s="152"/>
      <c r="B101" s="139"/>
      <c r="C101" s="140"/>
      <c r="D101" s="141"/>
      <c r="E101" s="140"/>
      <c r="F101" s="141"/>
      <c r="G101" s="140"/>
      <c r="H101" s="141"/>
      <c r="I101" s="140"/>
      <c r="J101" s="141"/>
      <c r="K101" s="140"/>
      <c r="L101" s="141"/>
      <c r="M101" s="140"/>
      <c r="N101" s="141"/>
      <c r="O101" s="140"/>
      <c r="P101" s="141"/>
      <c r="Q101" s="140"/>
      <c r="R101" s="141"/>
      <c r="S101" s="140"/>
      <c r="T101" s="141"/>
      <c r="U101" s="140"/>
      <c r="V101" s="141"/>
      <c r="W101" s="140"/>
      <c r="X101" s="141"/>
      <c r="Y101" s="140"/>
      <c r="Z101" s="141"/>
      <c r="AB101" s="183"/>
    </row>
    <row r="102" spans="1:28" ht="15" hidden="1" customHeight="1" x14ac:dyDescent="0.15">
      <c r="A102" s="136" t="s">
        <v>34</v>
      </c>
      <c r="B102" s="133">
        <v>0</v>
      </c>
      <c r="C102" s="113"/>
      <c r="D102" s="114">
        <f>D100*$B$102</f>
        <v>0</v>
      </c>
      <c r="E102" s="113"/>
      <c r="F102" s="114" t="e">
        <f>F100*$B$102</f>
        <v>#REF!</v>
      </c>
      <c r="G102" s="113"/>
      <c r="H102" s="114" t="e">
        <f>H100*$B$102</f>
        <v>#REF!</v>
      </c>
      <c r="I102" s="113"/>
      <c r="J102" s="114" t="e">
        <f>J100*$B$102</f>
        <v>#REF!</v>
      </c>
      <c r="K102" s="113"/>
      <c r="L102" s="114" t="e">
        <f>L100*$B$102</f>
        <v>#REF!</v>
      </c>
      <c r="M102" s="113"/>
      <c r="N102" s="114" t="e">
        <f>N100*$B$102</f>
        <v>#REF!</v>
      </c>
      <c r="O102" s="113"/>
      <c r="P102" s="114" t="e">
        <f>P100*$B$102</f>
        <v>#REF!</v>
      </c>
      <c r="Q102" s="113"/>
      <c r="R102" s="114" t="e">
        <f>R100*$B$102</f>
        <v>#REF!</v>
      </c>
      <c r="S102" s="113"/>
      <c r="T102" s="114" t="e">
        <f>T100*$B$102</f>
        <v>#REF!</v>
      </c>
      <c r="U102" s="113"/>
      <c r="V102" s="114" t="e">
        <f>V100*$B$102</f>
        <v>#REF!</v>
      </c>
      <c r="W102" s="113"/>
      <c r="X102" s="114">
        <f>X100*$B$102</f>
        <v>0</v>
      </c>
      <c r="Y102" s="113"/>
      <c r="Z102" s="114">
        <f>Z100*$B$102</f>
        <v>0</v>
      </c>
      <c r="AB102" s="183"/>
    </row>
    <row r="103" spans="1:28" ht="15" hidden="1" customHeight="1" x14ac:dyDescent="0.15">
      <c r="A103" s="136"/>
      <c r="B103" s="132"/>
      <c r="C103" s="113"/>
      <c r="D103" s="114"/>
      <c r="E103" s="113"/>
      <c r="F103" s="114"/>
      <c r="G103" s="113"/>
      <c r="H103" s="114"/>
      <c r="I103" s="113"/>
      <c r="J103" s="114"/>
      <c r="K103" s="113"/>
      <c r="L103" s="114"/>
      <c r="M103" s="113"/>
      <c r="N103" s="114"/>
      <c r="O103" s="113"/>
      <c r="P103" s="114"/>
      <c r="Q103" s="113"/>
      <c r="R103" s="114"/>
      <c r="S103" s="113"/>
      <c r="T103" s="114"/>
      <c r="U103" s="113"/>
      <c r="V103" s="114"/>
      <c r="W103" s="113"/>
      <c r="X103" s="114"/>
      <c r="Y103" s="113"/>
      <c r="Z103" s="114"/>
      <c r="AB103" s="183"/>
    </row>
    <row r="104" spans="1:28" ht="15.75" hidden="1" customHeight="1" thickBot="1" x14ac:dyDescent="0.2">
      <c r="A104" s="136" t="s">
        <v>17</v>
      </c>
      <c r="B104" s="132" t="s">
        <v>0</v>
      </c>
      <c r="C104" s="113"/>
      <c r="D104" s="142">
        <f>SUM(D100:D102)</f>
        <v>3279.36123589</v>
      </c>
      <c r="E104" s="143"/>
      <c r="F104" s="142" t="e">
        <f>SUM(F100:F102)</f>
        <v>#REF!</v>
      </c>
      <c r="G104" s="143"/>
      <c r="H104" s="142" t="e">
        <f>SUM(H100:H102)</f>
        <v>#REF!</v>
      </c>
      <c r="I104" s="143"/>
      <c r="J104" s="142" t="e">
        <f>SUM(J100:J102)</f>
        <v>#REF!</v>
      </c>
      <c r="K104" s="143"/>
      <c r="L104" s="142" t="e">
        <f>SUM(L100:L102)</f>
        <v>#REF!</v>
      </c>
      <c r="M104" s="143"/>
      <c r="N104" s="142" t="e">
        <f>SUM(N100:N102)</f>
        <v>#REF!</v>
      </c>
      <c r="O104" s="143"/>
      <c r="P104" s="142" t="e">
        <f>SUM(P100:P102)</f>
        <v>#REF!</v>
      </c>
      <c r="Q104" s="143"/>
      <c r="R104" s="142" t="e">
        <f>SUM(R100:R102)</f>
        <v>#REF!</v>
      </c>
      <c r="S104" s="143"/>
      <c r="T104" s="142" t="e">
        <f>SUM(T100:T102)</f>
        <v>#REF!</v>
      </c>
      <c r="U104" s="143"/>
      <c r="V104" s="142" t="e">
        <f>SUM(V100:V102)</f>
        <v>#REF!</v>
      </c>
      <c r="W104" s="143"/>
      <c r="X104" s="142">
        <f>SUM(X100:X102)</f>
        <v>0</v>
      </c>
      <c r="Y104" s="143"/>
      <c r="Z104" s="142">
        <f>SUM(Z100:Z102)</f>
        <v>35.339196799999996</v>
      </c>
      <c r="AB104" s="183"/>
    </row>
    <row r="105" spans="1:28" ht="15.75" hidden="1" customHeight="1" thickBot="1" x14ac:dyDescent="0.2">
      <c r="A105" s="153"/>
      <c r="B105" s="144"/>
      <c r="C105" s="144"/>
      <c r="D105" s="145"/>
      <c r="E105" s="144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4"/>
      <c r="X105" s="145"/>
      <c r="Y105" s="144"/>
      <c r="Z105" s="145"/>
      <c r="AB105" s="183"/>
    </row>
    <row r="106" spans="1:28" ht="15" hidden="1" customHeight="1" x14ac:dyDescent="0.15">
      <c r="A106" s="153" t="s">
        <v>35</v>
      </c>
      <c r="B106" s="147">
        <v>0</v>
      </c>
      <c r="C106" s="144"/>
      <c r="D106" s="145">
        <f>D104*$B$106</f>
        <v>0</v>
      </c>
      <c r="E106" s="144"/>
      <c r="F106" s="145" t="e">
        <f>F104*$B$106</f>
        <v>#REF!</v>
      </c>
      <c r="G106" s="146"/>
      <c r="H106" s="145" t="e">
        <f>H104*$B$106</f>
        <v>#REF!</v>
      </c>
      <c r="I106" s="146"/>
      <c r="J106" s="145" t="e">
        <f>J104*$B$106</f>
        <v>#REF!</v>
      </c>
      <c r="K106" s="146"/>
      <c r="L106" s="145" t="e">
        <f>L104*$B$106</f>
        <v>#REF!</v>
      </c>
      <c r="M106" s="146"/>
      <c r="N106" s="145" t="e">
        <f>N104*$B$106</f>
        <v>#REF!</v>
      </c>
      <c r="O106" s="146"/>
      <c r="P106" s="145" t="e">
        <f>P104*$B$106</f>
        <v>#REF!</v>
      </c>
      <c r="Q106" s="146"/>
      <c r="R106" s="145" t="e">
        <f>R104*$B$106</f>
        <v>#REF!</v>
      </c>
      <c r="S106" s="146"/>
      <c r="T106" s="145" t="e">
        <f>T104*$B$106</f>
        <v>#REF!</v>
      </c>
      <c r="U106" s="146"/>
      <c r="V106" s="145" t="e">
        <f>V104*$B$106</f>
        <v>#REF!</v>
      </c>
      <c r="W106" s="144"/>
      <c r="X106" s="145">
        <f>X104*$B$106</f>
        <v>0</v>
      </c>
      <c r="Y106" s="144"/>
      <c r="Z106" s="145">
        <f>Z104*$B$106</f>
        <v>0</v>
      </c>
      <c r="AB106" s="183"/>
    </row>
    <row r="107" spans="1:28" ht="15" hidden="1" customHeight="1" x14ac:dyDescent="0.15">
      <c r="A107" s="153"/>
      <c r="B107" s="144"/>
      <c r="C107" s="144"/>
      <c r="D107" s="145"/>
      <c r="E107" s="144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4"/>
      <c r="X107" s="145"/>
      <c r="Y107" s="144"/>
      <c r="Z107" s="145"/>
      <c r="AB107" s="183"/>
    </row>
    <row r="108" spans="1:28" ht="15" hidden="1" customHeight="1" x14ac:dyDescent="0.15">
      <c r="A108" s="154" t="s">
        <v>20</v>
      </c>
      <c r="B108" s="147">
        <v>0</v>
      </c>
      <c r="C108" s="144"/>
      <c r="D108" s="145">
        <f>D104*$B$108</f>
        <v>0</v>
      </c>
      <c r="E108" s="149"/>
      <c r="F108" s="145" t="e">
        <f>F104*$B$108</f>
        <v>#REF!</v>
      </c>
      <c r="G108" s="149"/>
      <c r="H108" s="145" t="e">
        <f>H104*$B$108</f>
        <v>#REF!</v>
      </c>
      <c r="I108" s="149"/>
      <c r="J108" s="145" t="e">
        <f>J104*$B$108</f>
        <v>#REF!</v>
      </c>
      <c r="K108" s="149"/>
      <c r="L108" s="145" t="e">
        <f>L104*$B$108</f>
        <v>#REF!</v>
      </c>
      <c r="M108" s="149"/>
      <c r="N108" s="145" t="e">
        <f>N104*$B$108</f>
        <v>#REF!</v>
      </c>
      <c r="O108" s="149"/>
      <c r="P108" s="145" t="e">
        <f>P104*$B$108</f>
        <v>#REF!</v>
      </c>
      <c r="Q108" s="149"/>
      <c r="R108" s="145" t="e">
        <f>R104*$B$108</f>
        <v>#REF!</v>
      </c>
      <c r="S108" s="149"/>
      <c r="T108" s="145" t="e">
        <f>T104*$B$108</f>
        <v>#REF!</v>
      </c>
      <c r="U108" s="145"/>
      <c r="V108" s="145" t="e">
        <f t="shared" ref="V108" si="50">V104*$B$108</f>
        <v>#REF!</v>
      </c>
      <c r="W108" s="149"/>
      <c r="X108" s="145">
        <f>X104*$B$108</f>
        <v>0</v>
      </c>
      <c r="Y108" s="149"/>
      <c r="Z108" s="145">
        <f>Z104*$B$108</f>
        <v>0</v>
      </c>
      <c r="AB108" s="183"/>
    </row>
    <row r="109" spans="1:28" ht="15" hidden="1" customHeight="1" x14ac:dyDescent="0.15">
      <c r="A109" s="154"/>
      <c r="B109" s="148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B109" s="183"/>
    </row>
    <row r="110" spans="1:28" ht="14" x14ac:dyDescent="0.15">
      <c r="A110" s="155" t="s">
        <v>31</v>
      </c>
      <c r="B110" s="150">
        <v>0.1</v>
      </c>
      <c r="C110" s="144"/>
      <c r="D110" s="170">
        <f>D100*B110</f>
        <v>327.93612358900003</v>
      </c>
      <c r="E110" s="171"/>
      <c r="F110" s="170" t="e">
        <f>SUM(F108,F106,F104,)</f>
        <v>#REF!</v>
      </c>
      <c r="G110" s="171"/>
      <c r="H110" s="170" t="e">
        <f>SUM(H108,H106,H104,)</f>
        <v>#REF!</v>
      </c>
      <c r="I110" s="171"/>
      <c r="J110" s="170" t="e">
        <f>SUM(J108,J106,J104,)</f>
        <v>#REF!</v>
      </c>
      <c r="K110" s="171"/>
      <c r="L110" s="170" t="e">
        <f>SUM(L108,L106,L104,)</f>
        <v>#REF!</v>
      </c>
      <c r="M110" s="171"/>
      <c r="N110" s="170" t="e">
        <f>SUM(N108,N106,N104,)</f>
        <v>#REF!</v>
      </c>
      <c r="O110" s="171"/>
      <c r="P110" s="170" t="e">
        <f>SUM(P108,P106,P104,)</f>
        <v>#REF!</v>
      </c>
      <c r="Q110" s="171"/>
      <c r="R110" s="170" t="e">
        <f>SUM(R108,R106,R104,)</f>
        <v>#REF!</v>
      </c>
      <c r="S110" s="171"/>
      <c r="T110" s="170" t="e">
        <f>SUM(T108,T106,T104,)</f>
        <v>#REF!</v>
      </c>
      <c r="U110" s="170"/>
      <c r="V110" s="170" t="e">
        <f>SUM(V108,V106,V104,)</f>
        <v>#REF!</v>
      </c>
      <c r="W110" s="171"/>
      <c r="X110" s="170">
        <f>X100*B110</f>
        <v>0</v>
      </c>
      <c r="Y110" s="171"/>
      <c r="Z110" s="170">
        <f>Z100*B110</f>
        <v>3.5339196799999999</v>
      </c>
      <c r="AB110" s="183"/>
    </row>
    <row r="111" spans="1:28" ht="15" thickBot="1" x14ac:dyDescent="0.2">
      <c r="A111" s="156" t="s">
        <v>32</v>
      </c>
      <c r="B111" s="157"/>
      <c r="C111" s="157"/>
      <c r="D111" s="158">
        <f>D110+D100</f>
        <v>3607.2973594790001</v>
      </c>
      <c r="E111" s="157"/>
      <c r="F111" s="157"/>
      <c r="G111" s="157"/>
      <c r="H111" s="157"/>
      <c r="I111" s="157"/>
      <c r="J111" s="157"/>
      <c r="K111" s="157"/>
      <c r="L111" s="157"/>
      <c r="M111" s="158"/>
      <c r="N111" s="157"/>
      <c r="O111" s="157"/>
      <c r="P111" s="157"/>
      <c r="Q111" s="157"/>
      <c r="R111" s="157"/>
      <c r="S111" s="157"/>
      <c r="T111" s="157"/>
      <c r="U111" s="157"/>
      <c r="V111" s="157"/>
      <c r="W111" s="159"/>
      <c r="X111" s="158">
        <f>X110+X100</f>
        <v>0</v>
      </c>
      <c r="Y111" s="159"/>
      <c r="Z111" s="158">
        <f>Z110+Z100</f>
        <v>38.873116479999993</v>
      </c>
      <c r="AB111" s="183"/>
    </row>
    <row r="112" spans="1:28" ht="14" x14ac:dyDescent="0.15">
      <c r="A112" s="160" t="s">
        <v>30</v>
      </c>
      <c r="B112" s="161"/>
      <c r="C112" s="162"/>
      <c r="D112" s="163">
        <f>1*D115</f>
        <v>0</v>
      </c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3"/>
      <c r="S112" s="163"/>
      <c r="T112" s="163"/>
      <c r="U112" s="163"/>
      <c r="V112" s="163"/>
      <c r="W112" s="162"/>
      <c r="X112" s="163">
        <f>X111*X115</f>
        <v>0</v>
      </c>
      <c r="Y112" s="162"/>
      <c r="Z112" s="163">
        <f>Z111*Z115</f>
        <v>0.38873116479999992</v>
      </c>
      <c r="AB112" s="183"/>
    </row>
    <row r="113" spans="1:29" ht="15" thickBot="1" x14ac:dyDescent="0.2">
      <c r="A113" s="164" t="s">
        <v>33</v>
      </c>
      <c r="B113" s="165"/>
      <c r="C113" s="166"/>
      <c r="D113" s="167">
        <f>D112+D111</f>
        <v>3607.2973594790001</v>
      </c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7"/>
      <c r="S113" s="167"/>
      <c r="T113" s="167"/>
      <c r="U113" s="167"/>
      <c r="V113" s="167"/>
      <c r="W113" s="166"/>
      <c r="X113" s="167">
        <f>X112+X111</f>
        <v>0</v>
      </c>
      <c r="Y113" s="167"/>
      <c r="Z113" s="167">
        <f t="shared" ref="Z113" si="51">Z112+Z111</f>
        <v>39.261847644799992</v>
      </c>
      <c r="AB113" s="183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99"/>
    </row>
    <row r="115" spans="1:29" ht="14" x14ac:dyDescent="0.15">
      <c r="A115" s="98"/>
      <c r="B115" s="3"/>
      <c r="C115" s="98"/>
      <c r="D115" s="100"/>
      <c r="E115" s="98"/>
      <c r="F115" s="98"/>
      <c r="G115" s="98"/>
      <c r="H115" s="98"/>
      <c r="I115" s="98"/>
      <c r="J115" s="9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98"/>
      <c r="X115" s="100"/>
      <c r="Y115" s="98"/>
      <c r="Z115" s="100">
        <v>0.01</v>
      </c>
      <c r="AB115" s="183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99"/>
      <c r="AC116" s="125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02"/>
    </row>
    <row r="118" spans="1:29" ht="14" x14ac:dyDescent="0.15">
      <c r="A118" s="3"/>
      <c r="B118" s="184"/>
      <c r="C118" s="3"/>
      <c r="D118" s="1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99"/>
    </row>
    <row r="119" spans="1:29" ht="14" x14ac:dyDescent="0.15">
      <c r="A119" s="3"/>
      <c r="B119" s="184"/>
      <c r="C119" s="3"/>
      <c r="D119" s="1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24"/>
    </row>
    <row r="120" spans="1:29" ht="14" x14ac:dyDescent="0.15">
      <c r="A120" s="3"/>
      <c r="B120" s="184"/>
      <c r="C120" s="3"/>
      <c r="D120" s="1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24"/>
    </row>
    <row r="121" spans="1:29" ht="14" x14ac:dyDescent="0.15">
      <c r="A121" s="3"/>
      <c r="B121" s="184"/>
      <c r="C121" s="3"/>
      <c r="D121" s="1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184"/>
      <c r="C122" s="3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184"/>
      <c r="C123" s="3"/>
      <c r="D123" s="1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184"/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184"/>
      <c r="C125" s="3"/>
      <c r="D125" s="1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22"/>
      <c r="D126" s="122"/>
    </row>
    <row r="127" spans="1:29" x14ac:dyDescent="0.15">
      <c r="B127" s="122"/>
      <c r="D127" s="122"/>
    </row>
    <row r="128" spans="1:29" x14ac:dyDescent="0.15">
      <c r="D128" s="122"/>
    </row>
    <row r="129" spans="4:26" x14ac:dyDescent="0.15">
      <c r="D129" s="122"/>
    </row>
    <row r="130" spans="4:26" x14ac:dyDescent="0.15">
      <c r="D130" s="122"/>
    </row>
    <row r="131" spans="4:26" x14ac:dyDescent="0.15">
      <c r="D131" s="122"/>
      <c r="Z131" s="99"/>
    </row>
    <row r="132" spans="4:26" x14ac:dyDescent="0.15">
      <c r="D132" s="122"/>
    </row>
    <row r="133" spans="4:26" x14ac:dyDescent="0.15">
      <c r="D133" s="122"/>
    </row>
    <row r="134" spans="4:26" x14ac:dyDescent="0.15">
      <c r="D134" s="122"/>
    </row>
    <row r="135" spans="4:26" x14ac:dyDescent="0.15">
      <c r="D135" s="122"/>
    </row>
    <row r="136" spans="4:26" x14ac:dyDescent="0.15">
      <c r="D136" s="122"/>
    </row>
    <row r="137" spans="4:26" x14ac:dyDescent="0.15">
      <c r="D137" s="122"/>
    </row>
    <row r="138" spans="4:26" x14ac:dyDescent="0.15">
      <c r="D138" s="122"/>
    </row>
    <row r="139" spans="4:26" x14ac:dyDescent="0.15">
      <c r="D139" s="122"/>
    </row>
    <row r="140" spans="4:26" x14ac:dyDescent="0.15">
      <c r="D140" s="122"/>
    </row>
    <row r="141" spans="4:26" x14ac:dyDescent="0.15">
      <c r="D141" s="122"/>
    </row>
    <row r="142" spans="4:26" x14ac:dyDescent="0.15">
      <c r="D142" s="122"/>
    </row>
    <row r="143" spans="4:26" x14ac:dyDescent="0.15">
      <c r="D143" s="122"/>
    </row>
    <row r="144" spans="4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  <row r="149" spans="4:4" x14ac:dyDescent="0.15">
      <c r="D149" s="122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92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0A47-58F0-C44B-B205-A67B779CF33B}">
  <sheetPr>
    <pageSetUpPr fitToPage="1"/>
  </sheetPr>
  <dimension ref="A1:AE149"/>
  <sheetViews>
    <sheetView topLeftCell="A16" zoomScaleNormal="100" workbookViewId="0">
      <selection activeCell="D114" sqref="D114:D116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22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197" t="s">
        <v>77</v>
      </c>
      <c r="B2" s="7"/>
      <c r="C2" s="193" t="s">
        <v>75</v>
      </c>
      <c r="D2" s="194"/>
      <c r="E2" s="193" t="s">
        <v>22</v>
      </c>
      <c r="F2" s="194"/>
      <c r="G2" s="193" t="s">
        <v>23</v>
      </c>
      <c r="H2" s="194"/>
      <c r="I2" s="193" t="s">
        <v>24</v>
      </c>
      <c r="J2" s="194"/>
      <c r="K2" s="193" t="s">
        <v>25</v>
      </c>
      <c r="L2" s="194"/>
      <c r="M2" s="193" t="s">
        <v>26</v>
      </c>
      <c r="N2" s="194"/>
      <c r="O2" s="193" t="s">
        <v>27</v>
      </c>
      <c r="P2" s="194"/>
      <c r="Q2" s="193" t="s">
        <v>28</v>
      </c>
      <c r="R2" s="194"/>
      <c r="S2" s="193" t="s">
        <v>29</v>
      </c>
      <c r="T2" s="194"/>
      <c r="U2" s="193" t="s">
        <v>21</v>
      </c>
      <c r="V2" s="194"/>
      <c r="W2" s="193" t="s">
        <v>40</v>
      </c>
      <c r="X2" s="194"/>
      <c r="Y2" s="193" t="s">
        <v>41</v>
      </c>
      <c r="Z2" s="194"/>
    </row>
    <row r="3" spans="1:28" ht="45.75" customHeight="1" thickBot="1" x14ac:dyDescent="0.2">
      <c r="A3" s="198"/>
      <c r="B3" s="8" t="s">
        <v>0</v>
      </c>
      <c r="C3" s="195"/>
      <c r="D3" s="196"/>
      <c r="E3" s="195"/>
      <c r="F3" s="196"/>
      <c r="G3" s="195"/>
      <c r="H3" s="196"/>
      <c r="I3" s="195"/>
      <c r="J3" s="196"/>
      <c r="K3" s="195"/>
      <c r="L3" s="196"/>
      <c r="M3" s="195"/>
      <c r="N3" s="196"/>
      <c r="O3" s="195"/>
      <c r="P3" s="196"/>
      <c r="Q3" s="195"/>
      <c r="R3" s="196"/>
      <c r="S3" s="195"/>
      <c r="T3" s="196"/>
      <c r="U3" s="195"/>
      <c r="V3" s="196"/>
      <c r="W3" s="195"/>
      <c r="X3" s="196"/>
      <c r="Y3" s="195"/>
      <c r="Z3" s="196"/>
    </row>
    <row r="4" spans="1:28" ht="19" thickBot="1" x14ac:dyDescent="0.2">
      <c r="A4" s="192">
        <f>D113</f>
        <v>374.44020463300001</v>
      </c>
      <c r="B4" s="8" t="s">
        <v>0</v>
      </c>
      <c r="C4" s="195"/>
      <c r="D4" s="196"/>
      <c r="E4" s="195"/>
      <c r="F4" s="196"/>
      <c r="G4" s="195"/>
      <c r="H4" s="196"/>
      <c r="I4" s="195"/>
      <c r="J4" s="196"/>
      <c r="K4" s="195"/>
      <c r="L4" s="196"/>
      <c r="M4" s="195"/>
      <c r="N4" s="196"/>
      <c r="O4" s="195"/>
      <c r="P4" s="196"/>
      <c r="Q4" s="195"/>
      <c r="R4" s="196"/>
      <c r="S4" s="195"/>
      <c r="T4" s="196"/>
      <c r="U4" s="195"/>
      <c r="V4" s="196"/>
      <c r="W4" s="195"/>
      <c r="X4" s="196"/>
      <c r="Y4" s="195"/>
      <c r="Z4" s="196"/>
    </row>
    <row r="5" spans="1:28" ht="21.75" customHeight="1" thickBot="1" x14ac:dyDescent="0.2">
      <c r="A5" s="9"/>
      <c r="B5" s="8" t="s">
        <v>0</v>
      </c>
      <c r="C5" s="195"/>
      <c r="D5" s="196"/>
      <c r="E5" s="195"/>
      <c r="F5" s="196"/>
      <c r="G5" s="195"/>
      <c r="H5" s="196"/>
      <c r="I5" s="195"/>
      <c r="J5" s="196"/>
      <c r="K5" s="195"/>
      <c r="L5" s="196"/>
      <c r="M5" s="195"/>
      <c r="N5" s="196"/>
      <c r="O5" s="195"/>
      <c r="P5" s="196"/>
      <c r="Q5" s="195"/>
      <c r="R5" s="196"/>
      <c r="S5" s="195"/>
      <c r="T5" s="196"/>
      <c r="U5" s="195"/>
      <c r="V5" s="196"/>
      <c r="W5" s="195"/>
      <c r="X5" s="196"/>
      <c r="Y5" s="195"/>
      <c r="Z5" s="196"/>
    </row>
    <row r="6" spans="1:28" ht="15" thickBot="1" x14ac:dyDescent="0.2">
      <c r="A6" s="10" t="s">
        <v>76</v>
      </c>
      <c r="B6" s="11" t="s">
        <v>0</v>
      </c>
      <c r="C6" s="199" t="s">
        <v>18</v>
      </c>
      <c r="D6" s="200"/>
      <c r="E6" s="199" t="s">
        <v>18</v>
      </c>
      <c r="F6" s="200"/>
      <c r="G6" s="199" t="s">
        <v>18</v>
      </c>
      <c r="H6" s="200"/>
      <c r="I6" s="201" t="s">
        <v>18</v>
      </c>
      <c r="J6" s="200"/>
      <c r="K6" s="201" t="s">
        <v>18</v>
      </c>
      <c r="L6" s="200"/>
      <c r="M6" s="199" t="s">
        <v>18</v>
      </c>
      <c r="N6" s="200"/>
      <c r="O6" s="199" t="s">
        <v>18</v>
      </c>
      <c r="P6" s="200"/>
      <c r="Q6" s="199" t="s">
        <v>18</v>
      </c>
      <c r="R6" s="200"/>
      <c r="S6" s="199" t="s">
        <v>18</v>
      </c>
      <c r="T6" s="200"/>
      <c r="U6" s="199" t="s">
        <v>18</v>
      </c>
      <c r="V6" s="200"/>
      <c r="W6" s="199" t="s">
        <v>18</v>
      </c>
      <c r="X6" s="200"/>
      <c r="Y6" s="199" t="s">
        <v>18</v>
      </c>
      <c r="Z6" s="200"/>
    </row>
    <row r="7" spans="1:28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8" ht="21" thickBot="1" x14ac:dyDescent="0.25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  <c r="AB8" s="190" t="s">
        <v>46</v>
      </c>
    </row>
    <row r="9" spans="1:28" ht="14" x14ac:dyDescent="0.15">
      <c r="A9" s="21" t="s">
        <v>47</v>
      </c>
      <c r="B9" s="22">
        <v>37</v>
      </c>
      <c r="C9" s="23"/>
      <c r="D9" s="24">
        <f>C9*$B$9</f>
        <v>0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  <c r="AB9" s="102"/>
    </row>
    <row r="10" spans="1:28" ht="22.25" customHeight="1" x14ac:dyDescent="0.15">
      <c r="A10" s="25" t="s">
        <v>36</v>
      </c>
      <c r="B10" s="189">
        <v>28.85</v>
      </c>
      <c r="C10" s="23">
        <v>2</v>
      </c>
      <c r="D10" s="24">
        <f>C10*$B$10</f>
        <v>57.7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  <c r="AB10" s="186"/>
    </row>
    <row r="11" spans="1:28" ht="14" x14ac:dyDescent="0.15">
      <c r="A11" s="25" t="s">
        <v>38</v>
      </c>
      <c r="B11" s="26">
        <v>23</v>
      </c>
      <c r="C11" s="23"/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  <c r="AB11" s="102"/>
    </row>
    <row r="12" spans="1:28" ht="14" x14ac:dyDescent="0.15">
      <c r="A12" s="27" t="s">
        <v>62</v>
      </c>
      <c r="B12" s="26">
        <v>16</v>
      </c>
      <c r="C12" s="28">
        <v>2</v>
      </c>
      <c r="D12" s="24">
        <f>C12*$B$12</f>
        <v>32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32</v>
      </c>
      <c r="AB12" s="102"/>
    </row>
    <row r="13" spans="1:28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  <c r="AB13" s="187"/>
    </row>
    <row r="14" spans="1:28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8" ht="14" x14ac:dyDescent="0.15">
      <c r="A15" s="37" t="s">
        <v>48</v>
      </c>
      <c r="B15" s="26">
        <v>35</v>
      </c>
      <c r="C15" s="23">
        <v>0</v>
      </c>
      <c r="D15" s="38">
        <f>B15*C15</f>
        <v>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</row>
    <row r="16" spans="1:28" ht="14" x14ac:dyDescent="0.15">
      <c r="A16" s="37" t="s">
        <v>57</v>
      </c>
      <c r="B16" s="26">
        <v>28</v>
      </c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</row>
    <row r="17" spans="1:28" ht="14" x14ac:dyDescent="0.15">
      <c r="A17" s="37" t="s">
        <v>58</v>
      </c>
      <c r="B17" s="26">
        <v>23</v>
      </c>
      <c r="C17" s="23">
        <v>0</v>
      </c>
      <c r="D17" s="38">
        <f t="shared" si="0"/>
        <v>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</row>
    <row r="18" spans="1:28" ht="14" x14ac:dyDescent="0.15">
      <c r="A18" s="37" t="s">
        <v>70</v>
      </c>
      <c r="B18" s="26">
        <v>28</v>
      </c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</row>
    <row r="19" spans="1:28" ht="14" x14ac:dyDescent="0.15">
      <c r="A19" s="37" t="s">
        <v>7</v>
      </c>
      <c r="B19" s="26">
        <v>28</v>
      </c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  <c r="AB19" s="102"/>
    </row>
    <row r="20" spans="1:28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8" ht="14" x14ac:dyDescent="0.15">
      <c r="A21" s="45" t="s">
        <v>8</v>
      </c>
      <c r="B21" s="26"/>
      <c r="C21" s="46">
        <f t="shared" ref="C21:D21" si="1">SUM(C9:C20)</f>
        <v>4</v>
      </c>
      <c r="D21" s="48">
        <f t="shared" si="1"/>
        <v>89.7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32</v>
      </c>
      <c r="AB21" s="99"/>
    </row>
    <row r="22" spans="1:28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  <c r="AB22" s="99"/>
    </row>
    <row r="23" spans="1:28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0.60099000000000002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0.21440000000000001</v>
      </c>
      <c r="AB23" s="99"/>
    </row>
    <row r="24" spans="1:28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  <c r="AB24" s="99"/>
    </row>
    <row r="25" spans="1:28" ht="15" thickBot="1" x14ac:dyDescent="0.2">
      <c r="A25" s="61" t="s">
        <v>9</v>
      </c>
      <c r="B25" s="62"/>
      <c r="C25" s="63">
        <f>SUM(C21:C21)</f>
        <v>4</v>
      </c>
      <c r="D25" s="64">
        <f>SUM(D21:D21, D23)</f>
        <v>90.300989999999999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32.214399999999998</v>
      </c>
      <c r="AB25" s="99"/>
    </row>
    <row r="26" spans="1:28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  <c r="AB26" s="99"/>
    </row>
    <row r="27" spans="1:28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  <c r="AB27" s="99"/>
    </row>
    <row r="28" spans="1:28" ht="14" x14ac:dyDescent="0.15">
      <c r="A28" s="72" t="s">
        <v>74</v>
      </c>
      <c r="B28" s="73">
        <v>0</v>
      </c>
      <c r="C28" s="71">
        <v>1</v>
      </c>
      <c r="D28" s="38">
        <f>C28*$B$28</f>
        <v>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  <c r="AB28" s="168"/>
    </row>
    <row r="29" spans="1:28" ht="14" x14ac:dyDescent="0.15">
      <c r="A29" s="72" t="s">
        <v>64</v>
      </c>
      <c r="B29" s="73">
        <v>0</v>
      </c>
      <c r="C29" s="71">
        <v>4</v>
      </c>
      <c r="D29" s="38">
        <f>C29*B29</f>
        <v>0</v>
      </c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  <c r="AB29" s="168"/>
    </row>
    <row r="30" spans="1:28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  <c r="AB30" s="99"/>
    </row>
    <row r="31" spans="1:28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  <c r="AB31" s="99"/>
    </row>
    <row r="32" spans="1:28" ht="16" hidden="1" thickBot="1" x14ac:dyDescent="0.2">
      <c r="A32" s="103" t="s">
        <v>42</v>
      </c>
      <c r="B32" s="188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  <c r="AB32" s="185"/>
    </row>
    <row r="33" spans="1:28" ht="16" hidden="1" thickBot="1" x14ac:dyDescent="0.2">
      <c r="A33" s="103" t="s">
        <v>52</v>
      </c>
      <c r="B33" s="188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  <c r="AB33" s="185"/>
    </row>
    <row r="34" spans="1:28" ht="15" hidden="1" thickBot="1" x14ac:dyDescent="0.2">
      <c r="A34" s="104" t="s">
        <v>54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  <c r="AB34" s="99"/>
    </row>
    <row r="35" spans="1:28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  <c r="AB35" s="99"/>
    </row>
    <row r="36" spans="1:28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  <c r="AB36" s="99"/>
    </row>
    <row r="37" spans="1:28" ht="30.75" hidden="1" customHeight="1" thickBot="1" x14ac:dyDescent="0.2">
      <c r="A37" s="106" t="s">
        <v>50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  <c r="AB37" s="99"/>
    </row>
    <row r="38" spans="1:28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  <c r="AB38" s="99"/>
    </row>
    <row r="39" spans="1:28" ht="14" x14ac:dyDescent="0.15">
      <c r="A39" s="172"/>
      <c r="B39" s="173"/>
      <c r="C39" s="174"/>
      <c r="D39" s="175"/>
      <c r="E39" s="176"/>
      <c r="F39" s="175"/>
      <c r="G39" s="176"/>
      <c r="H39" s="175"/>
      <c r="I39" s="176"/>
      <c r="J39" s="175"/>
      <c r="K39" s="176"/>
      <c r="L39" s="175"/>
      <c r="M39" s="176"/>
      <c r="N39" s="175"/>
      <c r="O39" s="176"/>
      <c r="P39" s="175"/>
      <c r="Q39" s="176"/>
      <c r="R39" s="175"/>
      <c r="S39" s="176"/>
      <c r="T39" s="175"/>
      <c r="U39" s="176"/>
      <c r="V39" s="175"/>
      <c r="W39" s="176"/>
      <c r="X39" s="175"/>
      <c r="Y39" s="176"/>
      <c r="Z39" s="175"/>
      <c r="AB39" s="177"/>
    </row>
    <row r="40" spans="1:28" ht="15" x14ac:dyDescent="0.15">
      <c r="A40" s="89" t="s">
        <v>10</v>
      </c>
      <c r="B40" s="90">
        <v>0</v>
      </c>
      <c r="C40" s="71">
        <v>1</v>
      </c>
      <c r="D40" s="38">
        <f>C40*$B$40</f>
        <v>0</v>
      </c>
      <c r="E40" s="71">
        <v>0</v>
      </c>
      <c r="F40" s="38">
        <f>E40*$B$40</f>
        <v>0</v>
      </c>
      <c r="G40" s="71">
        <v>0</v>
      </c>
      <c r="H40" s="38">
        <f>G40*$B$40</f>
        <v>0</v>
      </c>
      <c r="I40" s="71">
        <v>0</v>
      </c>
      <c r="J40" s="38">
        <f>I40*$B$40</f>
        <v>0</v>
      </c>
      <c r="K40" s="71">
        <v>0</v>
      </c>
      <c r="L40" s="38">
        <f>K40*$B$40</f>
        <v>0</v>
      </c>
      <c r="M40" s="71">
        <v>0</v>
      </c>
      <c r="N40" s="38">
        <f>M40*$B$40</f>
        <v>0</v>
      </c>
      <c r="O40" s="71">
        <v>0</v>
      </c>
      <c r="P40" s="38">
        <f>O40*$B$40</f>
        <v>0</v>
      </c>
      <c r="Q40" s="71">
        <v>0</v>
      </c>
      <c r="R40" s="38">
        <f>Q40*$B$40</f>
        <v>0</v>
      </c>
      <c r="S40" s="71">
        <v>0</v>
      </c>
      <c r="T40" s="38">
        <f>S40*$B$40</f>
        <v>0</v>
      </c>
      <c r="U40" s="71">
        <v>0</v>
      </c>
      <c r="V40" s="38">
        <f>U40*$B$40</f>
        <v>0</v>
      </c>
      <c r="W40" s="71">
        <v>0</v>
      </c>
      <c r="X40" s="24">
        <f>W40*B40</f>
        <v>0</v>
      </c>
      <c r="Y40" s="71">
        <v>0</v>
      </c>
      <c r="Z40" s="38">
        <f>Y40*$B$40</f>
        <v>0</v>
      </c>
      <c r="AB40" s="169"/>
    </row>
    <row r="41" spans="1:28" ht="14" x14ac:dyDescent="0.15">
      <c r="A41" s="191"/>
      <c r="B41" s="90">
        <v>0</v>
      </c>
      <c r="C41" s="71">
        <v>1</v>
      </c>
      <c r="D41" s="38">
        <f>C41*B41</f>
        <v>0</v>
      </c>
      <c r="E41" s="71">
        <v>0</v>
      </c>
      <c r="F41" s="38">
        <f>E41*$B$40</f>
        <v>0</v>
      </c>
      <c r="G41" s="71">
        <v>0</v>
      </c>
      <c r="H41" s="38">
        <f>G41*$B$40</f>
        <v>0</v>
      </c>
      <c r="I41" s="71">
        <v>0</v>
      </c>
      <c r="J41" s="38">
        <f>I41*$B$40</f>
        <v>0</v>
      </c>
      <c r="K41" s="71">
        <v>0</v>
      </c>
      <c r="L41" s="38">
        <f>K41*$B$40</f>
        <v>0</v>
      </c>
      <c r="M41" s="71">
        <v>0</v>
      </c>
      <c r="N41" s="38">
        <f>M41*$B$40</f>
        <v>0</v>
      </c>
      <c r="O41" s="71">
        <v>0</v>
      </c>
      <c r="P41" s="38">
        <f>O41*$B$40</f>
        <v>0</v>
      </c>
      <c r="Q41" s="71">
        <v>0</v>
      </c>
      <c r="R41" s="38">
        <f>Q41*$B$40</f>
        <v>0</v>
      </c>
      <c r="S41" s="71">
        <v>0</v>
      </c>
      <c r="T41" s="38">
        <f>S41*$B$40</f>
        <v>0</v>
      </c>
      <c r="U41" s="71">
        <v>0</v>
      </c>
      <c r="V41" s="38">
        <f>U41*$B$40</f>
        <v>0</v>
      </c>
      <c r="W41" s="71">
        <v>0</v>
      </c>
      <c r="X41" s="24">
        <f>W41*B41</f>
        <v>0</v>
      </c>
      <c r="Y41" s="71">
        <v>0</v>
      </c>
      <c r="Z41" s="38">
        <f>Y41*$B$40</f>
        <v>0</v>
      </c>
      <c r="AB41" s="169"/>
    </row>
    <row r="42" spans="1:28" ht="15" thickBot="1" x14ac:dyDescent="0.2">
      <c r="A42" s="91"/>
      <c r="B42" s="92"/>
      <c r="C42" s="71"/>
      <c r="D42" s="38"/>
      <c r="E42" s="71"/>
      <c r="F42" s="38"/>
      <c r="G42" s="71"/>
      <c r="H42" s="38"/>
      <c r="I42" s="71"/>
      <c r="J42" s="38"/>
      <c r="K42" s="71"/>
      <c r="L42" s="38"/>
      <c r="M42" s="71"/>
      <c r="N42" s="38"/>
      <c r="O42" s="71"/>
      <c r="P42" s="38"/>
      <c r="Q42" s="71"/>
      <c r="R42" s="38"/>
      <c r="S42" s="71"/>
      <c r="T42" s="38"/>
      <c r="U42" s="71"/>
      <c r="V42" s="38"/>
      <c r="W42" s="71"/>
      <c r="X42" s="38"/>
      <c r="Y42" s="71"/>
      <c r="Z42" s="38"/>
      <c r="AB42" s="99"/>
    </row>
    <row r="43" spans="1:28" ht="13.5" hidden="1" customHeight="1" thickBot="1" x14ac:dyDescent="0.2">
      <c r="A43" s="93"/>
      <c r="B43" s="94">
        <v>0</v>
      </c>
      <c r="C43" s="76">
        <v>0</v>
      </c>
      <c r="D43" s="95">
        <f>+C43*B43</f>
        <v>0</v>
      </c>
      <c r="E43" s="76">
        <v>0</v>
      </c>
      <c r="F43" s="42">
        <f>SUM($B43*E43)</f>
        <v>0</v>
      </c>
      <c r="G43" s="96">
        <v>0</v>
      </c>
      <c r="H43" s="42">
        <f>SUM($B43*G43)</f>
        <v>0</v>
      </c>
      <c r="I43" s="96">
        <v>0</v>
      </c>
      <c r="J43" s="42">
        <f>SUM($B43*I43)</f>
        <v>0</v>
      </c>
      <c r="K43" s="96">
        <v>0</v>
      </c>
      <c r="L43" s="42">
        <f>SUM($B43*K43)</f>
        <v>0</v>
      </c>
      <c r="M43" s="96">
        <v>0</v>
      </c>
      <c r="N43" s="42">
        <f>SUM($B43*M43)</f>
        <v>0</v>
      </c>
      <c r="O43" s="96">
        <v>0</v>
      </c>
      <c r="P43" s="42">
        <f>SUM($B43*O43)</f>
        <v>0</v>
      </c>
      <c r="Q43" s="96">
        <v>0</v>
      </c>
      <c r="R43" s="42">
        <f>SUM($B43*Q43)</f>
        <v>0</v>
      </c>
      <c r="S43" s="96">
        <v>0</v>
      </c>
      <c r="T43" s="42">
        <f>SUM($B43*S43)</f>
        <v>0</v>
      </c>
      <c r="U43" s="96">
        <v>0</v>
      </c>
      <c r="V43" s="42">
        <f>SUM($B43*U43)</f>
        <v>0</v>
      </c>
      <c r="W43" s="76">
        <v>0</v>
      </c>
      <c r="X43" s="95">
        <f>+W43*R43</f>
        <v>0</v>
      </c>
      <c r="Y43" s="76">
        <v>0</v>
      </c>
      <c r="Z43" s="95">
        <f>+Y43*T43</f>
        <v>0</v>
      </c>
      <c r="AB43" s="99"/>
    </row>
    <row r="44" spans="1:28" ht="14" x14ac:dyDescent="0.15">
      <c r="A44" s="107" t="s">
        <v>39</v>
      </c>
      <c r="B44" s="108"/>
      <c r="C44" s="109"/>
      <c r="D44" s="110"/>
      <c r="E44" s="109"/>
      <c r="F44" s="110"/>
      <c r="G44" s="111"/>
      <c r="H44" s="110"/>
      <c r="I44" s="111"/>
      <c r="J44" s="110"/>
      <c r="K44" s="111"/>
      <c r="L44" s="110"/>
      <c r="M44" s="111"/>
      <c r="N44" s="110"/>
      <c r="O44" s="111"/>
      <c r="P44" s="110"/>
      <c r="Q44" s="111"/>
      <c r="R44" s="110"/>
      <c r="S44" s="111"/>
      <c r="T44" s="110"/>
      <c r="U44" s="111"/>
      <c r="V44" s="110"/>
      <c r="W44" s="109"/>
      <c r="X44" s="110"/>
      <c r="Y44" s="109"/>
      <c r="Z44" s="110"/>
      <c r="AB44" s="99"/>
    </row>
    <row r="45" spans="1:28" ht="18.75" customHeight="1" x14ac:dyDescent="0.15">
      <c r="A45" s="112" t="s">
        <v>12</v>
      </c>
      <c r="B45" s="182">
        <v>20</v>
      </c>
      <c r="C45" s="113">
        <v>1</v>
      </c>
      <c r="D45" s="114">
        <f>C45*$B$45</f>
        <v>20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Q45*$B$45</f>
        <v>0</v>
      </c>
      <c r="S45" s="115">
        <v>0</v>
      </c>
      <c r="T45" s="114">
        <f>S45*$B$45</f>
        <v>0</v>
      </c>
      <c r="U45" s="115">
        <v>0</v>
      </c>
      <c r="V45" s="114">
        <f>U45*$B$45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  <c r="AB45" s="99"/>
    </row>
    <row r="46" spans="1:28" ht="18.75" hidden="1" customHeight="1" x14ac:dyDescent="0.15">
      <c r="A46" s="112"/>
      <c r="B46" s="182"/>
      <c r="C46" s="113">
        <v>1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Q46*$B$45</f>
        <v>0</v>
      </c>
      <c r="S46" s="115">
        <v>0</v>
      </c>
      <c r="T46" s="114">
        <f>S46*$B$45</f>
        <v>0</v>
      </c>
      <c r="U46" s="115">
        <v>0</v>
      </c>
      <c r="V46" s="114">
        <f>U46*$B$45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  <c r="AB46" s="99"/>
    </row>
    <row r="47" spans="1:28" ht="18.75" hidden="1" customHeight="1" x14ac:dyDescent="0.15">
      <c r="A47" s="112"/>
      <c r="B47" s="182"/>
      <c r="C47" s="113">
        <v>0</v>
      </c>
      <c r="D47" s="114">
        <f>C47*B47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0</v>
      </c>
      <c r="X47" s="114">
        <f>W47*$B$47</f>
        <v>0</v>
      </c>
      <c r="Y47" s="113">
        <v>0</v>
      </c>
      <c r="Z47" s="114">
        <f>Y47*$B$47</f>
        <v>0</v>
      </c>
      <c r="AB47" s="99"/>
    </row>
    <row r="48" spans="1:28" ht="18.75" hidden="1" customHeight="1" x14ac:dyDescent="0.15">
      <c r="A48" s="112"/>
      <c r="B48" s="182"/>
      <c r="C48" s="113">
        <v>0</v>
      </c>
      <c r="D48" s="114">
        <f>C48*$B$48</f>
        <v>0</v>
      </c>
      <c r="E48" s="115">
        <v>0</v>
      </c>
      <c r="F48" s="114">
        <f>E48*$B$48</f>
        <v>0</v>
      </c>
      <c r="G48" s="115">
        <v>0</v>
      </c>
      <c r="H48" s="114">
        <f>G48*$B$48</f>
        <v>0</v>
      </c>
      <c r="I48" s="115">
        <v>0</v>
      </c>
      <c r="J48" s="114">
        <f>I48*$B$48</f>
        <v>0</v>
      </c>
      <c r="K48" s="115">
        <v>0</v>
      </c>
      <c r="L48" s="114">
        <f>K48*$B$48</f>
        <v>0</v>
      </c>
      <c r="M48" s="115">
        <v>0</v>
      </c>
      <c r="N48" s="114">
        <f>M48*$B$48</f>
        <v>0</v>
      </c>
      <c r="O48" s="115">
        <v>0</v>
      </c>
      <c r="P48" s="114">
        <f>O48*$B$48</f>
        <v>0</v>
      </c>
      <c r="Q48" s="115">
        <v>0</v>
      </c>
      <c r="R48" s="114">
        <f>Q48*$B$48</f>
        <v>0</v>
      </c>
      <c r="S48" s="115">
        <v>0</v>
      </c>
      <c r="T48" s="114">
        <f>S48*$B$48</f>
        <v>0</v>
      </c>
      <c r="U48" s="115">
        <v>0</v>
      </c>
      <c r="V48" s="114">
        <f>U48*$B$48</f>
        <v>0</v>
      </c>
      <c r="W48" s="113">
        <v>1</v>
      </c>
      <c r="X48" s="114">
        <f>W48*$B$48</f>
        <v>0</v>
      </c>
      <c r="Y48" s="113">
        <v>1</v>
      </c>
      <c r="Z48" s="114">
        <f>Y48*$B$48</f>
        <v>0</v>
      </c>
      <c r="AB48" s="99"/>
    </row>
    <row r="49" spans="1:31" ht="15" x14ac:dyDescent="0.15">
      <c r="A49" s="112" t="s">
        <v>73</v>
      </c>
      <c r="B49" s="182">
        <v>200</v>
      </c>
      <c r="C49" s="113">
        <v>1</v>
      </c>
      <c r="D49" s="114">
        <f>C49*$B$49</f>
        <v>200</v>
      </c>
      <c r="E49" s="115">
        <v>0</v>
      </c>
      <c r="F49" s="114">
        <f>E49*$B$48</f>
        <v>0</v>
      </c>
      <c r="G49" s="115">
        <v>0</v>
      </c>
      <c r="H49" s="114">
        <f>G49*$B$48</f>
        <v>0</v>
      </c>
      <c r="I49" s="115">
        <v>0</v>
      </c>
      <c r="J49" s="114">
        <f>I49*$B$48</f>
        <v>0</v>
      </c>
      <c r="K49" s="115">
        <v>0</v>
      </c>
      <c r="L49" s="114">
        <f>K49*$B$48</f>
        <v>0</v>
      </c>
      <c r="M49" s="115">
        <v>0</v>
      </c>
      <c r="N49" s="114">
        <f>M49*$B$48</f>
        <v>0</v>
      </c>
      <c r="O49" s="115">
        <v>0</v>
      </c>
      <c r="P49" s="114">
        <f>O49*$B$48</f>
        <v>0</v>
      </c>
      <c r="Q49" s="115">
        <v>0</v>
      </c>
      <c r="R49" s="114">
        <f>Q49*$B$48</f>
        <v>0</v>
      </c>
      <c r="S49" s="115">
        <v>0</v>
      </c>
      <c r="T49" s="114">
        <f>S49*$B$48</f>
        <v>0</v>
      </c>
      <c r="U49" s="115">
        <v>0</v>
      </c>
      <c r="V49" s="114">
        <f>U49*$B$48</f>
        <v>0</v>
      </c>
      <c r="W49" s="113">
        <v>0</v>
      </c>
      <c r="X49" s="114">
        <f>W49*$B$48</f>
        <v>0</v>
      </c>
      <c r="Y49" s="113">
        <v>0</v>
      </c>
      <c r="Z49" s="114">
        <f>Y49*$B$48</f>
        <v>0</v>
      </c>
      <c r="AB49" s="99"/>
      <c r="AE49" s="99"/>
    </row>
    <row r="50" spans="1:31" ht="15" hidden="1" customHeight="1" x14ac:dyDescent="0.15">
      <c r="A50" s="112"/>
      <c r="B50" s="182"/>
      <c r="C50" s="113">
        <v>0</v>
      </c>
      <c r="D50" s="114">
        <f>C50*$B$50</f>
        <v>0</v>
      </c>
      <c r="E50" s="115">
        <v>0</v>
      </c>
      <c r="F50" s="114">
        <f>E50*$B$50</f>
        <v>0</v>
      </c>
      <c r="G50" s="115">
        <v>0</v>
      </c>
      <c r="H50" s="114">
        <f>G50*$B$50</f>
        <v>0</v>
      </c>
      <c r="I50" s="115">
        <v>0</v>
      </c>
      <c r="J50" s="114">
        <f>I50*$B$50</f>
        <v>0</v>
      </c>
      <c r="K50" s="115">
        <v>0</v>
      </c>
      <c r="L50" s="114">
        <f>K50*$B$50</f>
        <v>0</v>
      </c>
      <c r="M50" s="115">
        <v>0</v>
      </c>
      <c r="N50" s="114">
        <f>M50*$B$50</f>
        <v>0</v>
      </c>
      <c r="O50" s="115">
        <v>0</v>
      </c>
      <c r="P50" s="114">
        <f>O50*$B$50</f>
        <v>0</v>
      </c>
      <c r="Q50" s="115">
        <v>0</v>
      </c>
      <c r="R50" s="114">
        <f>Q50*$B$50</f>
        <v>0</v>
      </c>
      <c r="S50" s="115">
        <v>0</v>
      </c>
      <c r="T50" s="114">
        <f>S50*$B$50</f>
        <v>0</v>
      </c>
      <c r="U50" s="115">
        <v>0</v>
      </c>
      <c r="V50" s="114">
        <f>U50*$B$50</f>
        <v>0</v>
      </c>
      <c r="W50" s="113">
        <v>0</v>
      </c>
      <c r="X50" s="114">
        <f>W50*$B$50</f>
        <v>0</v>
      </c>
      <c r="Y50" s="113">
        <v>0</v>
      </c>
      <c r="Z50" s="114">
        <f>Y50*$B$50</f>
        <v>0</v>
      </c>
      <c r="AB50" s="99"/>
    </row>
    <row r="51" spans="1:31" ht="15" hidden="1" customHeight="1" x14ac:dyDescent="0.15">
      <c r="A51" s="112"/>
      <c r="B51" s="182"/>
      <c r="C51" s="113">
        <v>0</v>
      </c>
      <c r="D51" s="114">
        <f>C51*$B$51</f>
        <v>0</v>
      </c>
      <c r="E51" s="115">
        <v>0</v>
      </c>
      <c r="F51" s="114">
        <f>E51*$B$50</f>
        <v>0</v>
      </c>
      <c r="G51" s="115">
        <v>0</v>
      </c>
      <c r="H51" s="114">
        <f>G51*$B$50</f>
        <v>0</v>
      </c>
      <c r="I51" s="115">
        <v>0</v>
      </c>
      <c r="J51" s="114">
        <f>I51*$B$50</f>
        <v>0</v>
      </c>
      <c r="K51" s="115">
        <v>0</v>
      </c>
      <c r="L51" s="114">
        <f>K51*$B$50</f>
        <v>0</v>
      </c>
      <c r="M51" s="115">
        <v>0</v>
      </c>
      <c r="N51" s="114">
        <f>M51*$B$50</f>
        <v>0</v>
      </c>
      <c r="O51" s="115">
        <v>0</v>
      </c>
      <c r="P51" s="114">
        <f>O51*$B$50</f>
        <v>0</v>
      </c>
      <c r="Q51" s="115">
        <v>0</v>
      </c>
      <c r="R51" s="114">
        <f>Q51*$B$50</f>
        <v>0</v>
      </c>
      <c r="S51" s="115">
        <v>0</v>
      </c>
      <c r="T51" s="114">
        <f>S51*$B$50</f>
        <v>0</v>
      </c>
      <c r="U51" s="115">
        <v>0</v>
      </c>
      <c r="V51" s="114">
        <f>U51*$B$50</f>
        <v>0</v>
      </c>
      <c r="W51" s="113">
        <v>0</v>
      </c>
      <c r="X51" s="114">
        <f>W51*$B$50</f>
        <v>0</v>
      </c>
      <c r="Y51" s="113">
        <v>0</v>
      </c>
      <c r="Z51" s="114">
        <f>Y51*$B$50</f>
        <v>0</v>
      </c>
      <c r="AB51" s="99"/>
    </row>
    <row r="52" spans="1:31" ht="15" hidden="1" customHeight="1" x14ac:dyDescent="0.15">
      <c r="A52" s="112"/>
      <c r="B52" s="182"/>
      <c r="C52" s="113">
        <v>0</v>
      </c>
      <c r="D52" s="114">
        <f>C52*$B$52</f>
        <v>0</v>
      </c>
      <c r="E52" s="115">
        <v>0</v>
      </c>
      <c r="F52" s="114">
        <f>E52*$B$52</f>
        <v>0</v>
      </c>
      <c r="G52" s="115">
        <v>0</v>
      </c>
      <c r="H52" s="114">
        <f>G52*$B$52</f>
        <v>0</v>
      </c>
      <c r="I52" s="115">
        <v>0</v>
      </c>
      <c r="J52" s="114">
        <f>I52*$B$52</f>
        <v>0</v>
      </c>
      <c r="K52" s="115">
        <v>0</v>
      </c>
      <c r="L52" s="114">
        <f>K52*$B$52</f>
        <v>0</v>
      </c>
      <c r="M52" s="115">
        <v>0</v>
      </c>
      <c r="N52" s="114">
        <f>M52*$B$52</f>
        <v>0</v>
      </c>
      <c r="O52" s="115">
        <v>0</v>
      </c>
      <c r="P52" s="114">
        <f>O52*$B$52</f>
        <v>0</v>
      </c>
      <c r="Q52" s="115">
        <v>0</v>
      </c>
      <c r="R52" s="114">
        <f>Q52*$B$52</f>
        <v>0</v>
      </c>
      <c r="S52" s="115">
        <v>0</v>
      </c>
      <c r="T52" s="114">
        <f>S52*$B$52</f>
        <v>0</v>
      </c>
      <c r="U52" s="115">
        <v>0</v>
      </c>
      <c r="V52" s="114">
        <f>U52*$B$52</f>
        <v>0</v>
      </c>
      <c r="W52" s="113">
        <v>0</v>
      </c>
      <c r="X52" s="114">
        <f>W52*$B$52</f>
        <v>0</v>
      </c>
      <c r="Y52" s="113">
        <v>0</v>
      </c>
      <c r="Z52" s="114">
        <f>Y52*$B$52</f>
        <v>0</v>
      </c>
      <c r="AB52" s="99"/>
    </row>
    <row r="53" spans="1:31" ht="15" hidden="1" customHeight="1" x14ac:dyDescent="0.15">
      <c r="A53" s="116"/>
      <c r="B53" s="182"/>
      <c r="C53" s="113">
        <v>0</v>
      </c>
      <c r="D53" s="114">
        <f>C53*$B$53</f>
        <v>0</v>
      </c>
      <c r="E53" s="115">
        <v>0</v>
      </c>
      <c r="F53" s="114">
        <f>E53*$B$52</f>
        <v>0</v>
      </c>
      <c r="G53" s="115">
        <v>0</v>
      </c>
      <c r="H53" s="114">
        <f>G53*$B$52</f>
        <v>0</v>
      </c>
      <c r="I53" s="115">
        <v>0</v>
      </c>
      <c r="J53" s="114">
        <f>I53*$B$52</f>
        <v>0</v>
      </c>
      <c r="K53" s="115">
        <v>0</v>
      </c>
      <c r="L53" s="114">
        <f>K53*$B$52</f>
        <v>0</v>
      </c>
      <c r="M53" s="115">
        <v>0</v>
      </c>
      <c r="N53" s="114">
        <f>M53*$B$52</f>
        <v>0</v>
      </c>
      <c r="O53" s="115">
        <v>0</v>
      </c>
      <c r="P53" s="114">
        <f>O53*$B$52</f>
        <v>0</v>
      </c>
      <c r="Q53" s="115">
        <v>0</v>
      </c>
      <c r="R53" s="114">
        <f>Q53*$B$52</f>
        <v>0</v>
      </c>
      <c r="S53" s="115">
        <v>0</v>
      </c>
      <c r="T53" s="114">
        <f>S53*$B$52</f>
        <v>0</v>
      </c>
      <c r="U53" s="115">
        <v>0</v>
      </c>
      <c r="V53" s="114">
        <f>U53*$B$52</f>
        <v>0</v>
      </c>
      <c r="W53" s="113">
        <v>0</v>
      </c>
      <c r="X53" s="114">
        <f>W53*$B$52</f>
        <v>0</v>
      </c>
      <c r="Y53" s="113">
        <v>0</v>
      </c>
      <c r="Z53" s="114">
        <f>Y53*$B$52</f>
        <v>0</v>
      </c>
      <c r="AB53" s="99"/>
    </row>
    <row r="54" spans="1:31" ht="15" hidden="1" customHeight="1" x14ac:dyDescent="0.15">
      <c r="A54" s="116"/>
      <c r="B54" s="182"/>
      <c r="C54" s="113">
        <v>0</v>
      </c>
      <c r="D54" s="114">
        <f>C54*$B$54</f>
        <v>0</v>
      </c>
      <c r="E54" s="115">
        <v>0</v>
      </c>
      <c r="F54" s="114">
        <f>E54*$B$54</f>
        <v>0</v>
      </c>
      <c r="G54" s="115">
        <v>0</v>
      </c>
      <c r="H54" s="114">
        <f>G54*$B$54</f>
        <v>0</v>
      </c>
      <c r="I54" s="115">
        <v>0</v>
      </c>
      <c r="J54" s="114">
        <f>I54*$B$54</f>
        <v>0</v>
      </c>
      <c r="K54" s="115">
        <v>0</v>
      </c>
      <c r="L54" s="114">
        <f>K54*$B$54</f>
        <v>0</v>
      </c>
      <c r="M54" s="115">
        <v>0</v>
      </c>
      <c r="N54" s="114">
        <f>M54*$B$54</f>
        <v>0</v>
      </c>
      <c r="O54" s="115">
        <v>0</v>
      </c>
      <c r="P54" s="114">
        <f>O54*$B$54</f>
        <v>0</v>
      </c>
      <c r="Q54" s="115">
        <v>0</v>
      </c>
      <c r="R54" s="114">
        <f>Q54*$B$54</f>
        <v>0</v>
      </c>
      <c r="S54" s="115">
        <v>0</v>
      </c>
      <c r="T54" s="114">
        <f>S54*$B$54</f>
        <v>0</v>
      </c>
      <c r="U54" s="115">
        <v>0</v>
      </c>
      <c r="V54" s="114">
        <f>U54*$B$54</f>
        <v>0</v>
      </c>
      <c r="W54" s="113">
        <v>0</v>
      </c>
      <c r="X54" s="114">
        <f>W54*$B$54</f>
        <v>0</v>
      </c>
      <c r="Y54" s="113">
        <v>0</v>
      </c>
      <c r="Z54" s="114">
        <f>Y54*$B$54</f>
        <v>0</v>
      </c>
      <c r="AB54" s="99"/>
    </row>
    <row r="55" spans="1:31" ht="15" hidden="1" customHeight="1" x14ac:dyDescent="0.15">
      <c r="A55" s="116"/>
      <c r="B55" s="182"/>
      <c r="C55" s="113">
        <v>0</v>
      </c>
      <c r="D55" s="114">
        <f>C55*$B$54</f>
        <v>0</v>
      </c>
      <c r="E55" s="115">
        <v>0</v>
      </c>
      <c r="F55" s="114">
        <f>E55*$B$54</f>
        <v>0</v>
      </c>
      <c r="G55" s="115">
        <v>0</v>
      </c>
      <c r="H55" s="114">
        <f>G55*$B$54</f>
        <v>0</v>
      </c>
      <c r="I55" s="115">
        <v>0</v>
      </c>
      <c r="J55" s="114">
        <f>I55*$B$54</f>
        <v>0</v>
      </c>
      <c r="K55" s="115">
        <v>0</v>
      </c>
      <c r="L55" s="114">
        <f>K55*$B$54</f>
        <v>0</v>
      </c>
      <c r="M55" s="115">
        <v>0</v>
      </c>
      <c r="N55" s="114">
        <f>M55*$B$54</f>
        <v>0</v>
      </c>
      <c r="O55" s="115">
        <v>0</v>
      </c>
      <c r="P55" s="114">
        <f>O55*$B$54</f>
        <v>0</v>
      </c>
      <c r="Q55" s="115">
        <v>0</v>
      </c>
      <c r="R55" s="114">
        <f>Q55*$B$54</f>
        <v>0</v>
      </c>
      <c r="S55" s="115">
        <v>0</v>
      </c>
      <c r="T55" s="114">
        <f>S55*$B$54</f>
        <v>0</v>
      </c>
      <c r="U55" s="115">
        <v>0</v>
      </c>
      <c r="V55" s="114">
        <f>U55*$B$54</f>
        <v>0</v>
      </c>
      <c r="W55" s="113">
        <v>0</v>
      </c>
      <c r="X55" s="114">
        <f>W55*$B$54</f>
        <v>0</v>
      </c>
      <c r="Y55" s="113">
        <v>0</v>
      </c>
      <c r="Z55" s="114">
        <f>Y55*$B$54</f>
        <v>0</v>
      </c>
      <c r="AB55" s="99"/>
    </row>
    <row r="56" spans="1:31" ht="15" hidden="1" customHeight="1" x14ac:dyDescent="0.15">
      <c r="A56" s="116"/>
      <c r="B56" s="182"/>
      <c r="C56" s="113">
        <v>0</v>
      </c>
      <c r="D56" s="114">
        <f>C56*$B$56</f>
        <v>0</v>
      </c>
      <c r="E56" s="115">
        <v>0</v>
      </c>
      <c r="F56" s="114">
        <f>E56*$B$52</f>
        <v>0</v>
      </c>
      <c r="G56" s="115">
        <v>0</v>
      </c>
      <c r="H56" s="114">
        <f>G56*$B$52</f>
        <v>0</v>
      </c>
      <c r="I56" s="115">
        <v>0</v>
      </c>
      <c r="J56" s="114">
        <f>I56*$B$52</f>
        <v>0</v>
      </c>
      <c r="K56" s="115">
        <v>0</v>
      </c>
      <c r="L56" s="114">
        <f>K56*$B$52</f>
        <v>0</v>
      </c>
      <c r="M56" s="115">
        <v>0</v>
      </c>
      <c r="N56" s="114">
        <f>M56*$B$52</f>
        <v>0</v>
      </c>
      <c r="O56" s="115">
        <v>0</v>
      </c>
      <c r="P56" s="114">
        <f>O56*$B$52</f>
        <v>0</v>
      </c>
      <c r="Q56" s="115">
        <v>0</v>
      </c>
      <c r="R56" s="114">
        <f>Q56*$B$52</f>
        <v>0</v>
      </c>
      <c r="S56" s="115">
        <v>0</v>
      </c>
      <c r="T56" s="114">
        <f>S56*$B$52</f>
        <v>0</v>
      </c>
      <c r="U56" s="115">
        <v>0</v>
      </c>
      <c r="V56" s="114">
        <f>U56*$B$52</f>
        <v>0</v>
      </c>
      <c r="W56" s="113">
        <v>0</v>
      </c>
      <c r="X56" s="114">
        <f>W56*$B$52</f>
        <v>0</v>
      </c>
      <c r="Y56" s="113">
        <v>0</v>
      </c>
      <c r="Z56" s="114">
        <f>Y56*$B$52</f>
        <v>0</v>
      </c>
      <c r="AB56" s="99"/>
    </row>
    <row r="57" spans="1:31" ht="15" hidden="1" customHeight="1" x14ac:dyDescent="0.15">
      <c r="A57" s="116"/>
      <c r="B57" s="182"/>
      <c r="C57" s="113">
        <v>0</v>
      </c>
      <c r="D57" s="114">
        <f>C57*$B$57</f>
        <v>0</v>
      </c>
      <c r="E57" s="115">
        <v>0</v>
      </c>
      <c r="F57" s="114">
        <f>E57*$B$57</f>
        <v>0</v>
      </c>
      <c r="G57" s="115">
        <v>0</v>
      </c>
      <c r="H57" s="114">
        <f>G57*$B$57</f>
        <v>0</v>
      </c>
      <c r="I57" s="115">
        <v>0</v>
      </c>
      <c r="J57" s="114">
        <f>I57*$B$57</f>
        <v>0</v>
      </c>
      <c r="K57" s="115">
        <v>0</v>
      </c>
      <c r="L57" s="114">
        <f>K57*$B$57</f>
        <v>0</v>
      </c>
      <c r="M57" s="115">
        <v>0</v>
      </c>
      <c r="N57" s="114">
        <f>M57*$B$57</f>
        <v>0</v>
      </c>
      <c r="O57" s="115">
        <v>0</v>
      </c>
      <c r="P57" s="114">
        <f>O57*$B$57</f>
        <v>0</v>
      </c>
      <c r="Q57" s="115">
        <v>0</v>
      </c>
      <c r="R57" s="114">
        <f>Q57*$B$57</f>
        <v>0</v>
      </c>
      <c r="S57" s="115">
        <v>0</v>
      </c>
      <c r="T57" s="114">
        <f>S57*$B$57</f>
        <v>0</v>
      </c>
      <c r="U57" s="115">
        <v>0</v>
      </c>
      <c r="V57" s="114">
        <f>U57*$B$57</f>
        <v>0</v>
      </c>
      <c r="W57" s="113">
        <v>0</v>
      </c>
      <c r="X57" s="114">
        <f>W57*$B$57</f>
        <v>0</v>
      </c>
      <c r="Y57" s="113">
        <v>0</v>
      </c>
      <c r="Z57" s="114">
        <f>Y57*$B$57</f>
        <v>0</v>
      </c>
      <c r="AB57" s="99"/>
    </row>
    <row r="58" spans="1:31" ht="15" hidden="1" customHeight="1" x14ac:dyDescent="0.15">
      <c r="A58" s="116"/>
      <c r="B58" s="182"/>
      <c r="C58" s="113">
        <v>0</v>
      </c>
      <c r="D58" s="114">
        <f>C58*$B$58</f>
        <v>0</v>
      </c>
      <c r="E58" s="115">
        <v>0</v>
      </c>
      <c r="F58" s="114">
        <f>E58*$B$57</f>
        <v>0</v>
      </c>
      <c r="G58" s="115">
        <v>0</v>
      </c>
      <c r="H58" s="114">
        <f>G58*$B$57</f>
        <v>0</v>
      </c>
      <c r="I58" s="115">
        <v>0</v>
      </c>
      <c r="J58" s="114">
        <f>I58*$B$57</f>
        <v>0</v>
      </c>
      <c r="K58" s="115">
        <v>0</v>
      </c>
      <c r="L58" s="114">
        <f>K58*$B$57</f>
        <v>0</v>
      </c>
      <c r="M58" s="115">
        <v>0</v>
      </c>
      <c r="N58" s="114">
        <f>M58*$B$57</f>
        <v>0</v>
      </c>
      <c r="O58" s="115">
        <v>0</v>
      </c>
      <c r="P58" s="114">
        <f>O58*$B$57</f>
        <v>0</v>
      </c>
      <c r="Q58" s="115">
        <v>0</v>
      </c>
      <c r="R58" s="114">
        <f>Q58*$B$57</f>
        <v>0</v>
      </c>
      <c r="S58" s="115">
        <v>0</v>
      </c>
      <c r="T58" s="114">
        <f>S58*$B$57</f>
        <v>0</v>
      </c>
      <c r="U58" s="115">
        <v>0</v>
      </c>
      <c r="V58" s="114">
        <f>U58*$B$57</f>
        <v>0</v>
      </c>
      <c r="W58" s="113">
        <v>0</v>
      </c>
      <c r="X58" s="114">
        <f>W58*$B$57</f>
        <v>0</v>
      </c>
      <c r="Y58" s="113">
        <v>0</v>
      </c>
      <c r="Z58" s="114">
        <f>Y58*$B$57</f>
        <v>0</v>
      </c>
      <c r="AB58" s="99"/>
    </row>
    <row r="59" spans="1:31" ht="15" hidden="1" customHeight="1" x14ac:dyDescent="0.15">
      <c r="A59" s="116"/>
      <c r="B59" s="182"/>
      <c r="C59" s="113">
        <v>0</v>
      </c>
      <c r="D59" s="114">
        <f>C59*$B$59</f>
        <v>0</v>
      </c>
      <c r="E59" s="115">
        <v>0</v>
      </c>
      <c r="F59" s="114">
        <f>E59*$B$59</f>
        <v>0</v>
      </c>
      <c r="G59" s="115">
        <v>0</v>
      </c>
      <c r="H59" s="114">
        <f>G59*$B$59</f>
        <v>0</v>
      </c>
      <c r="I59" s="115">
        <v>0</v>
      </c>
      <c r="J59" s="114">
        <f>I59*$B$59</f>
        <v>0</v>
      </c>
      <c r="K59" s="115">
        <v>0</v>
      </c>
      <c r="L59" s="114">
        <f>K59*$B$59</f>
        <v>0</v>
      </c>
      <c r="M59" s="115">
        <v>0</v>
      </c>
      <c r="N59" s="114">
        <f>M59*$B$59</f>
        <v>0</v>
      </c>
      <c r="O59" s="115">
        <v>0</v>
      </c>
      <c r="P59" s="114">
        <f>O59*$B$59</f>
        <v>0</v>
      </c>
      <c r="Q59" s="115">
        <v>0</v>
      </c>
      <c r="R59" s="114">
        <f>Q59*$B$59</f>
        <v>0</v>
      </c>
      <c r="S59" s="115">
        <v>0</v>
      </c>
      <c r="T59" s="114">
        <f>S59*$B$59</f>
        <v>0</v>
      </c>
      <c r="U59" s="115">
        <v>0</v>
      </c>
      <c r="V59" s="114">
        <f>U59*$B$59</f>
        <v>0</v>
      </c>
      <c r="W59" s="113">
        <v>0</v>
      </c>
      <c r="X59" s="114">
        <f>W59*$B$59</f>
        <v>0</v>
      </c>
      <c r="Y59" s="113">
        <v>0</v>
      </c>
      <c r="Z59" s="114">
        <f>Y59*$B$59</f>
        <v>0</v>
      </c>
      <c r="AB59" s="99"/>
    </row>
    <row r="60" spans="1:31" s="1" customFormat="1" ht="15" hidden="1" customHeight="1" x14ac:dyDescent="0.15">
      <c r="A60" s="116"/>
      <c r="B60" s="182"/>
      <c r="C60" s="113">
        <v>0</v>
      </c>
      <c r="D60" s="117">
        <f>C60*$B$60</f>
        <v>0</v>
      </c>
      <c r="E60" s="115">
        <v>0</v>
      </c>
      <c r="F60" s="117">
        <f>E60*$B$60</f>
        <v>0</v>
      </c>
      <c r="G60" s="115">
        <v>0</v>
      </c>
      <c r="H60" s="117">
        <f>G60*$B$60</f>
        <v>0</v>
      </c>
      <c r="I60" s="115">
        <v>0</v>
      </c>
      <c r="J60" s="117">
        <f>I60*$B$60</f>
        <v>0</v>
      </c>
      <c r="K60" s="115">
        <v>0</v>
      </c>
      <c r="L60" s="117">
        <f>K60*$B$60</f>
        <v>0</v>
      </c>
      <c r="M60" s="115">
        <v>0</v>
      </c>
      <c r="N60" s="117">
        <f>M60*$B$60</f>
        <v>0</v>
      </c>
      <c r="O60" s="115">
        <v>0</v>
      </c>
      <c r="P60" s="117">
        <f>O60*$B$60</f>
        <v>0</v>
      </c>
      <c r="Q60" s="115">
        <v>0</v>
      </c>
      <c r="R60" s="117">
        <f>Q60*$B$60</f>
        <v>0</v>
      </c>
      <c r="S60" s="115">
        <v>0</v>
      </c>
      <c r="T60" s="117">
        <f>S60*$B$60</f>
        <v>0</v>
      </c>
      <c r="U60" s="115">
        <v>0</v>
      </c>
      <c r="V60" s="117">
        <f>U60*$B$60</f>
        <v>0</v>
      </c>
      <c r="W60" s="113">
        <v>0</v>
      </c>
      <c r="X60" s="117">
        <f>W60*$B$60</f>
        <v>0</v>
      </c>
      <c r="Y60" s="113">
        <v>0</v>
      </c>
      <c r="Z60" s="117">
        <f>Y60*$B$60</f>
        <v>0</v>
      </c>
      <c r="AB60" s="99"/>
      <c r="AC60" s="123"/>
    </row>
    <row r="61" spans="1:31" s="1" customFormat="1" ht="15" hidden="1" customHeight="1" x14ac:dyDescent="0.15">
      <c r="A61" s="118"/>
      <c r="B61" s="182"/>
      <c r="C61" s="113">
        <v>0</v>
      </c>
      <c r="D61" s="114">
        <f>C61*$B$61</f>
        <v>0</v>
      </c>
      <c r="E61" s="113">
        <v>0</v>
      </c>
      <c r="F61" s="114">
        <f>E61*$B$61</f>
        <v>0</v>
      </c>
      <c r="G61" s="113">
        <v>0</v>
      </c>
      <c r="H61" s="114">
        <f>G61*$B$61</f>
        <v>0</v>
      </c>
      <c r="I61" s="113">
        <v>0</v>
      </c>
      <c r="J61" s="114">
        <f>I61*$B$61</f>
        <v>0</v>
      </c>
      <c r="K61" s="113">
        <v>0</v>
      </c>
      <c r="L61" s="114">
        <f>K61*$B$61</f>
        <v>0</v>
      </c>
      <c r="M61" s="113">
        <v>0</v>
      </c>
      <c r="N61" s="114">
        <f>M61*$B$61</f>
        <v>0</v>
      </c>
      <c r="O61" s="113">
        <v>0</v>
      </c>
      <c r="P61" s="114">
        <f>O61*$B$61</f>
        <v>0</v>
      </c>
      <c r="Q61" s="113">
        <v>0</v>
      </c>
      <c r="R61" s="114">
        <f>Q61*$B$61</f>
        <v>0</v>
      </c>
      <c r="S61" s="113">
        <v>0</v>
      </c>
      <c r="T61" s="114">
        <f>S61*$B$61</f>
        <v>0</v>
      </c>
      <c r="U61" s="113">
        <v>0</v>
      </c>
      <c r="V61" s="114">
        <f>U61*$B$61</f>
        <v>0</v>
      </c>
      <c r="W61" s="113">
        <v>0</v>
      </c>
      <c r="X61" s="114">
        <f>W61*$B$61</f>
        <v>0</v>
      </c>
      <c r="Y61" s="113">
        <v>0</v>
      </c>
      <c r="Z61" s="114">
        <f>Y61*$B$61</f>
        <v>0</v>
      </c>
      <c r="AB61" s="99"/>
      <c r="AC61" s="123"/>
    </row>
    <row r="62" spans="1:31" s="1" customFormat="1" ht="15" hidden="1" customHeight="1" x14ac:dyDescent="0.15">
      <c r="A62" s="119"/>
      <c r="B62" s="182"/>
      <c r="C62" s="113">
        <v>0</v>
      </c>
      <c r="D62" s="117">
        <f>C62*$B$62</f>
        <v>0</v>
      </c>
      <c r="E62" s="113">
        <v>0</v>
      </c>
      <c r="F62" s="117">
        <f>E62*$B$62</f>
        <v>0</v>
      </c>
      <c r="G62" s="113">
        <v>0</v>
      </c>
      <c r="H62" s="117">
        <f>G62*$B$62</f>
        <v>0</v>
      </c>
      <c r="I62" s="113">
        <v>0</v>
      </c>
      <c r="J62" s="117">
        <f>I62*$B$62</f>
        <v>0</v>
      </c>
      <c r="K62" s="113">
        <v>0</v>
      </c>
      <c r="L62" s="117">
        <f>K62*$B$62</f>
        <v>0</v>
      </c>
      <c r="M62" s="113">
        <v>0</v>
      </c>
      <c r="N62" s="117">
        <f>M62*$B$62</f>
        <v>0</v>
      </c>
      <c r="O62" s="113">
        <v>0</v>
      </c>
      <c r="P62" s="117">
        <f>O62*$B$62</f>
        <v>0</v>
      </c>
      <c r="Q62" s="113">
        <v>0</v>
      </c>
      <c r="R62" s="117">
        <f>Q62*$B$62</f>
        <v>0</v>
      </c>
      <c r="S62" s="113">
        <v>0</v>
      </c>
      <c r="T62" s="117">
        <f>S62*$B$62</f>
        <v>0</v>
      </c>
      <c r="U62" s="113">
        <v>0</v>
      </c>
      <c r="V62" s="117">
        <f>U62*$B$62</f>
        <v>0</v>
      </c>
      <c r="W62" s="113">
        <v>0</v>
      </c>
      <c r="X62" s="117">
        <f>W62*$B$62</f>
        <v>0</v>
      </c>
      <c r="Y62" s="113">
        <v>0</v>
      </c>
      <c r="Z62" s="117">
        <f>Y62*$B$62</f>
        <v>0</v>
      </c>
      <c r="AB62" s="99"/>
      <c r="AC62" s="123"/>
    </row>
    <row r="63" spans="1:31" s="1" customFormat="1" ht="15" hidden="1" customHeight="1" x14ac:dyDescent="0.15">
      <c r="A63" s="119"/>
      <c r="B63" s="182"/>
      <c r="C63" s="113">
        <v>0</v>
      </c>
      <c r="D63" s="114">
        <f>C63*$B$63</f>
        <v>0</v>
      </c>
      <c r="E63" s="113">
        <v>0</v>
      </c>
      <c r="F63" s="114">
        <f t="shared" ref="F63:F68" si="6">E63*$B$63</f>
        <v>0</v>
      </c>
      <c r="G63" s="113">
        <v>0</v>
      </c>
      <c r="H63" s="114">
        <f t="shared" ref="H63:H68" si="7">G63*$B$63</f>
        <v>0</v>
      </c>
      <c r="I63" s="113">
        <v>0</v>
      </c>
      <c r="J63" s="114">
        <f t="shared" ref="J63:J68" si="8">I63*$B$63</f>
        <v>0</v>
      </c>
      <c r="K63" s="113">
        <v>0</v>
      </c>
      <c r="L63" s="114">
        <f t="shared" ref="L63:L68" si="9">K63*$B$63</f>
        <v>0</v>
      </c>
      <c r="M63" s="113">
        <v>0</v>
      </c>
      <c r="N63" s="114">
        <f t="shared" ref="N63:N68" si="10">M63*$B$63</f>
        <v>0</v>
      </c>
      <c r="O63" s="113">
        <v>0</v>
      </c>
      <c r="P63" s="114">
        <f t="shared" ref="P63:P68" si="11">O63*$B$63</f>
        <v>0</v>
      </c>
      <c r="Q63" s="113">
        <v>0</v>
      </c>
      <c r="R63" s="114">
        <f t="shared" ref="R63:R68" si="12">Q63*$B$63</f>
        <v>0</v>
      </c>
      <c r="S63" s="113">
        <v>0</v>
      </c>
      <c r="T63" s="114">
        <f t="shared" ref="T63:T68" si="13">S63*$B$63</f>
        <v>0</v>
      </c>
      <c r="U63" s="113">
        <v>0</v>
      </c>
      <c r="V63" s="114">
        <f t="shared" ref="V63:V68" si="14">U63*$B$63</f>
        <v>0</v>
      </c>
      <c r="W63" s="113">
        <v>0</v>
      </c>
      <c r="X63" s="114">
        <f>W63*$B$63</f>
        <v>0</v>
      </c>
      <c r="Y63" s="113">
        <v>0</v>
      </c>
      <c r="Z63" s="114">
        <f>Y63*$B$63</f>
        <v>0</v>
      </c>
      <c r="AB63" s="99"/>
      <c r="AC63" s="123"/>
    </row>
    <row r="64" spans="1:31" s="1" customFormat="1" ht="15" hidden="1" customHeight="1" x14ac:dyDescent="0.15">
      <c r="A64" s="119"/>
      <c r="B64" s="182"/>
      <c r="C64" s="113">
        <v>0</v>
      </c>
      <c r="D64" s="114">
        <f>C64*$B$64</f>
        <v>0</v>
      </c>
      <c r="E64" s="113">
        <v>0</v>
      </c>
      <c r="F64" s="114">
        <f t="shared" si="6"/>
        <v>0</v>
      </c>
      <c r="G64" s="113">
        <v>0</v>
      </c>
      <c r="H64" s="114">
        <f t="shared" si="7"/>
        <v>0</v>
      </c>
      <c r="I64" s="113">
        <v>0</v>
      </c>
      <c r="J64" s="114">
        <f t="shared" si="8"/>
        <v>0</v>
      </c>
      <c r="K64" s="113">
        <v>0</v>
      </c>
      <c r="L64" s="114">
        <f t="shared" si="9"/>
        <v>0</v>
      </c>
      <c r="M64" s="113">
        <v>0</v>
      </c>
      <c r="N64" s="114">
        <f t="shared" si="10"/>
        <v>0</v>
      </c>
      <c r="O64" s="113">
        <v>0</v>
      </c>
      <c r="P64" s="114">
        <f t="shared" si="11"/>
        <v>0</v>
      </c>
      <c r="Q64" s="113">
        <v>0</v>
      </c>
      <c r="R64" s="114">
        <f t="shared" si="12"/>
        <v>0</v>
      </c>
      <c r="S64" s="113">
        <v>0</v>
      </c>
      <c r="T64" s="114">
        <f t="shared" si="13"/>
        <v>0</v>
      </c>
      <c r="U64" s="113">
        <v>0</v>
      </c>
      <c r="V64" s="114">
        <f t="shared" si="14"/>
        <v>0</v>
      </c>
      <c r="W64" s="113">
        <v>0</v>
      </c>
      <c r="X64" s="114">
        <f>W64*$B$63</f>
        <v>0</v>
      </c>
      <c r="Y64" s="113">
        <v>0</v>
      </c>
      <c r="Z64" s="114">
        <f>Y64*$B$63</f>
        <v>0</v>
      </c>
      <c r="AB64" s="99"/>
      <c r="AC64" s="123"/>
    </row>
    <row r="65" spans="1:31" s="1" customFormat="1" ht="15" hidden="1" customHeight="1" x14ac:dyDescent="0.15">
      <c r="A65" s="119"/>
      <c r="B65" s="182"/>
      <c r="C65" s="113">
        <v>0</v>
      </c>
      <c r="D65" s="114">
        <f>C65*$B$65</f>
        <v>0</v>
      </c>
      <c r="E65" s="113">
        <v>0</v>
      </c>
      <c r="F65" s="114">
        <f t="shared" si="6"/>
        <v>0</v>
      </c>
      <c r="G65" s="113">
        <v>0</v>
      </c>
      <c r="H65" s="114">
        <f t="shared" si="7"/>
        <v>0</v>
      </c>
      <c r="I65" s="113">
        <v>0</v>
      </c>
      <c r="J65" s="114">
        <f t="shared" si="8"/>
        <v>0</v>
      </c>
      <c r="K65" s="113">
        <v>0</v>
      </c>
      <c r="L65" s="114">
        <f t="shared" si="9"/>
        <v>0</v>
      </c>
      <c r="M65" s="113">
        <v>0</v>
      </c>
      <c r="N65" s="114">
        <f t="shared" si="10"/>
        <v>0</v>
      </c>
      <c r="O65" s="113">
        <v>0</v>
      </c>
      <c r="P65" s="114">
        <f t="shared" si="11"/>
        <v>0</v>
      </c>
      <c r="Q65" s="113">
        <v>0</v>
      </c>
      <c r="R65" s="114">
        <f t="shared" si="12"/>
        <v>0</v>
      </c>
      <c r="S65" s="113">
        <v>0</v>
      </c>
      <c r="T65" s="114">
        <f t="shared" si="13"/>
        <v>0</v>
      </c>
      <c r="U65" s="113">
        <v>0</v>
      </c>
      <c r="V65" s="114">
        <f t="shared" si="14"/>
        <v>0</v>
      </c>
      <c r="W65" s="113">
        <v>0</v>
      </c>
      <c r="X65" s="114">
        <f>W65*$B$63</f>
        <v>0</v>
      </c>
      <c r="Y65" s="113">
        <v>0</v>
      </c>
      <c r="Z65" s="114">
        <f>Y65*$B$63</f>
        <v>0</v>
      </c>
      <c r="AB65" s="99"/>
      <c r="AC65" s="123"/>
    </row>
    <row r="66" spans="1:31" s="1" customFormat="1" ht="33" customHeight="1" x14ac:dyDescent="0.15">
      <c r="A66" s="112"/>
      <c r="B66" s="182"/>
      <c r="C66" s="113">
        <v>1</v>
      </c>
      <c r="D66" s="114"/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W66*$B$63</f>
        <v>0</v>
      </c>
      <c r="Y66" s="113">
        <v>0</v>
      </c>
      <c r="Z66" s="114">
        <f>Y66*$B$63</f>
        <v>0</v>
      </c>
      <c r="AB66" s="99"/>
      <c r="AC66" s="123"/>
    </row>
    <row r="67" spans="1:31" s="1" customFormat="1" ht="17.25" customHeight="1" x14ac:dyDescent="0.15">
      <c r="A67" s="112"/>
      <c r="B67" s="182"/>
      <c r="C67" s="113">
        <v>0</v>
      </c>
      <c r="D67" s="114">
        <f t="shared" ref="D67" si="15">C67*$B$49</f>
        <v>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>
        <v>0</v>
      </c>
      <c r="X67" s="114">
        <f>W67*B67</f>
        <v>0</v>
      </c>
      <c r="Y67" s="113">
        <v>0</v>
      </c>
      <c r="Z67" s="114">
        <f>Y67*B67</f>
        <v>0</v>
      </c>
      <c r="AB67" s="99"/>
      <c r="AC67" s="123"/>
    </row>
    <row r="68" spans="1:31" s="1" customFormat="1" ht="17.25" hidden="1" customHeight="1" x14ac:dyDescent="0.15">
      <c r="A68" s="112"/>
      <c r="B68" s="182"/>
      <c r="C68" s="113">
        <v>0</v>
      </c>
      <c r="D68" s="114">
        <f t="shared" ref="D68" si="16">C68*$B$50</f>
        <v>0</v>
      </c>
      <c r="E68" s="113">
        <v>0</v>
      </c>
      <c r="F68" s="114">
        <f t="shared" si="6"/>
        <v>0</v>
      </c>
      <c r="G68" s="113">
        <v>0</v>
      </c>
      <c r="H68" s="114">
        <f t="shared" si="7"/>
        <v>0</v>
      </c>
      <c r="I68" s="113">
        <v>0</v>
      </c>
      <c r="J68" s="114">
        <f t="shared" si="8"/>
        <v>0</v>
      </c>
      <c r="K68" s="113">
        <v>0</v>
      </c>
      <c r="L68" s="114">
        <f t="shared" si="9"/>
        <v>0</v>
      </c>
      <c r="M68" s="113">
        <v>0</v>
      </c>
      <c r="N68" s="114">
        <f t="shared" si="10"/>
        <v>0</v>
      </c>
      <c r="O68" s="113">
        <v>0</v>
      </c>
      <c r="P68" s="114">
        <f t="shared" si="11"/>
        <v>0</v>
      </c>
      <c r="Q68" s="113">
        <v>0</v>
      </c>
      <c r="R68" s="114">
        <f t="shared" si="12"/>
        <v>0</v>
      </c>
      <c r="S68" s="113">
        <v>0</v>
      </c>
      <c r="T68" s="114">
        <f t="shared" si="13"/>
        <v>0</v>
      </c>
      <c r="U68" s="113">
        <v>0</v>
      </c>
      <c r="V68" s="114">
        <f t="shared" si="14"/>
        <v>0</v>
      </c>
      <c r="W68" s="113"/>
      <c r="X68" s="114">
        <f>W68*B68</f>
        <v>0</v>
      </c>
      <c r="Y68" s="113">
        <v>0</v>
      </c>
      <c r="Z68" s="114">
        <f>Y68*B68</f>
        <v>0</v>
      </c>
      <c r="AB68" s="99"/>
      <c r="AC68" s="123"/>
    </row>
    <row r="69" spans="1:31" s="1" customFormat="1" ht="13.5" hidden="1" customHeight="1" thickBot="1" x14ac:dyDescent="0.2">
      <c r="A69" s="178"/>
      <c r="B69" s="179"/>
      <c r="C69" s="113">
        <v>0</v>
      </c>
      <c r="D69" s="114">
        <f t="shared" ref="D69" si="17">C69*$B$51</f>
        <v>0</v>
      </c>
      <c r="E69" s="71">
        <v>0</v>
      </c>
      <c r="F69" s="24">
        <f>E69*$B$69</f>
        <v>0</v>
      </c>
      <c r="G69" s="71">
        <v>0</v>
      </c>
      <c r="H69" s="24">
        <f>G69*$B$69</f>
        <v>0</v>
      </c>
      <c r="I69" s="71">
        <v>0</v>
      </c>
      <c r="J69" s="24">
        <f>I69*$B$69</f>
        <v>0</v>
      </c>
      <c r="K69" s="71">
        <v>0</v>
      </c>
      <c r="L69" s="24">
        <f>K69*$B$69</f>
        <v>0</v>
      </c>
      <c r="M69" s="71">
        <v>0</v>
      </c>
      <c r="N69" s="24">
        <f>M69*$B$69</f>
        <v>0</v>
      </c>
      <c r="O69" s="71">
        <v>0</v>
      </c>
      <c r="P69" s="24">
        <f>O69*$B$69</f>
        <v>0</v>
      </c>
      <c r="Q69" s="71">
        <v>0</v>
      </c>
      <c r="R69" s="24">
        <f>Q69*$B$69</f>
        <v>0</v>
      </c>
      <c r="S69" s="71">
        <v>0</v>
      </c>
      <c r="T69" s="24">
        <f>S69*$B$69</f>
        <v>0</v>
      </c>
      <c r="U69" s="71">
        <v>0</v>
      </c>
      <c r="V69" s="24">
        <f>U69*$B$69</f>
        <v>0</v>
      </c>
      <c r="W69" s="71">
        <v>0</v>
      </c>
      <c r="X69" s="24">
        <f>W69*$B$69</f>
        <v>0</v>
      </c>
      <c r="Y69" s="71">
        <v>0</v>
      </c>
      <c r="Z69" s="24">
        <f>Y69*$B$69</f>
        <v>0</v>
      </c>
      <c r="AB69" s="99"/>
      <c r="AC69" s="123"/>
    </row>
    <row r="70" spans="1:31" s="1" customFormat="1" ht="13.5" hidden="1" customHeight="1" thickBot="1" x14ac:dyDescent="0.2">
      <c r="A70" s="178"/>
      <c r="B70" s="179"/>
      <c r="C70" s="113">
        <v>0</v>
      </c>
      <c r="D70" s="114">
        <f t="shared" ref="D70" si="18">C70*$B$52</f>
        <v>0</v>
      </c>
      <c r="E70" s="71">
        <v>0</v>
      </c>
      <c r="F70" s="97">
        <f>E70*$B$70</f>
        <v>0</v>
      </c>
      <c r="G70" s="71">
        <v>0</v>
      </c>
      <c r="H70" s="97">
        <f>G70*$B$70</f>
        <v>0</v>
      </c>
      <c r="I70" s="71">
        <v>0</v>
      </c>
      <c r="J70" s="97">
        <f>I70*$B$70</f>
        <v>0</v>
      </c>
      <c r="K70" s="71">
        <v>0</v>
      </c>
      <c r="L70" s="97">
        <f>K70*$B$70</f>
        <v>0</v>
      </c>
      <c r="M70" s="71">
        <v>0</v>
      </c>
      <c r="N70" s="97">
        <f>M70*$B$70</f>
        <v>0</v>
      </c>
      <c r="O70" s="71">
        <v>0</v>
      </c>
      <c r="P70" s="97">
        <f>O70*$B$70</f>
        <v>0</v>
      </c>
      <c r="Q70" s="71">
        <v>0</v>
      </c>
      <c r="R70" s="97">
        <f>Q70*$B$70</f>
        <v>0</v>
      </c>
      <c r="S70" s="71">
        <v>0</v>
      </c>
      <c r="T70" s="97">
        <f>S70*$B$70</f>
        <v>0</v>
      </c>
      <c r="U70" s="71">
        <v>0</v>
      </c>
      <c r="V70" s="97">
        <f>U70*$B$70</f>
        <v>0</v>
      </c>
      <c r="W70" s="71">
        <v>0</v>
      </c>
      <c r="X70" s="97">
        <f>W70*$B$70</f>
        <v>0</v>
      </c>
      <c r="Y70" s="71">
        <v>0</v>
      </c>
      <c r="Z70" s="97">
        <f>Y70*$B$70</f>
        <v>0</v>
      </c>
      <c r="AB70" s="99"/>
      <c r="AC70" s="123"/>
    </row>
    <row r="71" spans="1:31" s="1" customFormat="1" ht="13.5" hidden="1" customHeight="1" thickBot="1" x14ac:dyDescent="0.2">
      <c r="A71" s="180"/>
      <c r="B71" s="181"/>
      <c r="C71" s="113">
        <v>0</v>
      </c>
      <c r="D71" s="114">
        <f t="shared" ref="D71" si="19">C71*$B$53</f>
        <v>0</v>
      </c>
      <c r="E71" s="71">
        <v>0</v>
      </c>
      <c r="F71" s="24">
        <f>E71*$B$71</f>
        <v>0</v>
      </c>
      <c r="G71" s="71">
        <v>0</v>
      </c>
      <c r="H71" s="24">
        <f>G71*$B$71</f>
        <v>0</v>
      </c>
      <c r="I71" s="71">
        <v>0</v>
      </c>
      <c r="J71" s="24">
        <f>I71*$B$71</f>
        <v>0</v>
      </c>
      <c r="K71" s="71">
        <v>0</v>
      </c>
      <c r="L71" s="24">
        <f>K71*$B$71</f>
        <v>0</v>
      </c>
      <c r="M71" s="71">
        <v>0</v>
      </c>
      <c r="N71" s="24">
        <f>M71*$B$71</f>
        <v>0</v>
      </c>
      <c r="O71" s="71">
        <v>0</v>
      </c>
      <c r="P71" s="24">
        <f>O71*$B$71</f>
        <v>0</v>
      </c>
      <c r="Q71" s="71">
        <v>0</v>
      </c>
      <c r="R71" s="24">
        <f>Q71*$B$71</f>
        <v>0</v>
      </c>
      <c r="S71" s="71">
        <v>0</v>
      </c>
      <c r="T71" s="24">
        <f>S71*$B$71</f>
        <v>0</v>
      </c>
      <c r="U71" s="71">
        <v>0</v>
      </c>
      <c r="V71" s="24">
        <f>U71*$B$71</f>
        <v>0</v>
      </c>
      <c r="W71" s="71">
        <v>0</v>
      </c>
      <c r="X71" s="24">
        <f>W71*$B$71</f>
        <v>0</v>
      </c>
      <c r="Y71" s="71">
        <v>0</v>
      </c>
      <c r="Z71" s="24">
        <f>Y71*$B$71</f>
        <v>0</v>
      </c>
      <c r="AB71" s="99"/>
      <c r="AC71" s="123"/>
    </row>
    <row r="72" spans="1:31" s="1" customFormat="1" ht="13.5" hidden="1" customHeight="1" thickBot="1" x14ac:dyDescent="0.2">
      <c r="A72" s="128"/>
      <c r="B72" s="129"/>
      <c r="C72" s="113">
        <v>0</v>
      </c>
      <c r="D72" s="114">
        <f t="shared" ref="D72:D73" si="20">C72*$B$54</f>
        <v>0</v>
      </c>
      <c r="E72" s="131">
        <v>0</v>
      </c>
      <c r="F72" s="130">
        <f>E72*$B$72</f>
        <v>0</v>
      </c>
      <c r="G72" s="131">
        <v>0</v>
      </c>
      <c r="H72" s="130">
        <f>G72*$B$72</f>
        <v>0</v>
      </c>
      <c r="I72" s="131">
        <v>0</v>
      </c>
      <c r="J72" s="130">
        <f>I72*$B$72</f>
        <v>0</v>
      </c>
      <c r="K72" s="131">
        <v>0</v>
      </c>
      <c r="L72" s="130">
        <f>K72*$B$72</f>
        <v>0</v>
      </c>
      <c r="M72" s="131">
        <v>0</v>
      </c>
      <c r="N72" s="130">
        <f>M72*$B$72</f>
        <v>0</v>
      </c>
      <c r="O72" s="131">
        <v>0</v>
      </c>
      <c r="P72" s="130">
        <f>O72*$B$72</f>
        <v>0</v>
      </c>
      <c r="Q72" s="131">
        <v>0</v>
      </c>
      <c r="R72" s="130">
        <f>Q72*$B$72</f>
        <v>0</v>
      </c>
      <c r="S72" s="131">
        <v>0</v>
      </c>
      <c r="T72" s="130">
        <f>S72*$B$72</f>
        <v>0</v>
      </c>
      <c r="U72" s="131">
        <v>0</v>
      </c>
      <c r="V72" s="130">
        <f>U72*$B$72</f>
        <v>0</v>
      </c>
      <c r="W72" s="76">
        <v>0</v>
      </c>
      <c r="X72" s="130">
        <f>W72*$B$72</f>
        <v>0</v>
      </c>
      <c r="Y72" s="76">
        <v>0</v>
      </c>
      <c r="Z72" s="130">
        <f>Y72*$B$72</f>
        <v>0</v>
      </c>
      <c r="AB72" s="99"/>
      <c r="AC72" s="123"/>
    </row>
    <row r="73" spans="1:31" ht="18.75" hidden="1" customHeight="1" x14ac:dyDescent="0.15">
      <c r="A73" s="112"/>
      <c r="B73" s="182"/>
      <c r="C73" s="113">
        <v>0</v>
      </c>
      <c r="D73" s="114">
        <f t="shared" si="20"/>
        <v>0</v>
      </c>
      <c r="E73" s="115">
        <v>0</v>
      </c>
      <c r="F73" s="114">
        <f>E73*$B$45</f>
        <v>0</v>
      </c>
      <c r="G73" s="115">
        <v>0</v>
      </c>
      <c r="H73" s="114">
        <f>G73*$B$45</f>
        <v>0</v>
      </c>
      <c r="I73" s="115">
        <v>0</v>
      </c>
      <c r="J73" s="114">
        <f>I73*$B$45</f>
        <v>0</v>
      </c>
      <c r="K73" s="115">
        <v>0</v>
      </c>
      <c r="L73" s="114">
        <f>K73*$B$45</f>
        <v>0</v>
      </c>
      <c r="M73" s="115">
        <v>0</v>
      </c>
      <c r="N73" s="114">
        <f>M73*$B$45</f>
        <v>0</v>
      </c>
      <c r="O73" s="115">
        <v>0</v>
      </c>
      <c r="P73" s="114">
        <f>O73*$B$45</f>
        <v>0</v>
      </c>
      <c r="Q73" s="115">
        <v>0</v>
      </c>
      <c r="R73" s="114">
        <f>Q73*$B$45</f>
        <v>0</v>
      </c>
      <c r="S73" s="115">
        <v>0</v>
      </c>
      <c r="T73" s="114">
        <f>S73*$B$45</f>
        <v>0</v>
      </c>
      <c r="U73" s="115">
        <v>0</v>
      </c>
      <c r="V73" s="114">
        <f>U73*$B$45</f>
        <v>0</v>
      </c>
      <c r="W73" s="113">
        <v>0</v>
      </c>
      <c r="X73" s="114">
        <f>W73*$B$45</f>
        <v>0</v>
      </c>
      <c r="Y73" s="113">
        <v>0</v>
      </c>
      <c r="Z73" s="114">
        <f>Y73*$B$45</f>
        <v>0</v>
      </c>
      <c r="AB73" s="99"/>
    </row>
    <row r="74" spans="1:31" ht="18.75" hidden="1" customHeight="1" x14ac:dyDescent="0.15">
      <c r="A74" s="112"/>
      <c r="B74" s="182"/>
      <c r="C74" s="113">
        <v>0</v>
      </c>
      <c r="D74" s="114">
        <f t="shared" ref="D74" si="21">C74*$B$56</f>
        <v>0</v>
      </c>
      <c r="E74" s="115">
        <v>0</v>
      </c>
      <c r="F74" s="114">
        <f>E74*$B$46</f>
        <v>0</v>
      </c>
      <c r="G74" s="115">
        <v>0</v>
      </c>
      <c r="H74" s="114">
        <f>G74*$B$46</f>
        <v>0</v>
      </c>
      <c r="I74" s="115">
        <v>0</v>
      </c>
      <c r="J74" s="114">
        <f>I74*$B$46</f>
        <v>0</v>
      </c>
      <c r="K74" s="115">
        <v>0</v>
      </c>
      <c r="L74" s="114">
        <f>K74*$B$46</f>
        <v>0</v>
      </c>
      <c r="M74" s="115">
        <v>0</v>
      </c>
      <c r="N74" s="114">
        <f>M74*$B$46</f>
        <v>0</v>
      </c>
      <c r="O74" s="115">
        <v>0</v>
      </c>
      <c r="P74" s="114">
        <f>O74*$B$46</f>
        <v>0</v>
      </c>
      <c r="Q74" s="115">
        <v>0</v>
      </c>
      <c r="R74" s="114">
        <f>Q74*$B$45</f>
        <v>0</v>
      </c>
      <c r="S74" s="115">
        <v>0</v>
      </c>
      <c r="T74" s="114">
        <f>S74*$B$45</f>
        <v>0</v>
      </c>
      <c r="U74" s="115">
        <v>0</v>
      </c>
      <c r="V74" s="114">
        <f>U74*$B$45</f>
        <v>0</v>
      </c>
      <c r="W74" s="113">
        <v>0</v>
      </c>
      <c r="X74" s="114">
        <f>W74*$B$46</f>
        <v>0</v>
      </c>
      <c r="Y74" s="113">
        <v>0</v>
      </c>
      <c r="Z74" s="114">
        <f>Y74*$B$46</f>
        <v>0</v>
      </c>
      <c r="AB74" s="99"/>
    </row>
    <row r="75" spans="1:31" ht="18.75" hidden="1" customHeight="1" x14ac:dyDescent="0.15">
      <c r="A75" s="112"/>
      <c r="B75" s="182"/>
      <c r="C75" s="113">
        <v>0</v>
      </c>
      <c r="D75" s="114">
        <f t="shared" ref="D75" si="22">C75*$B$57</f>
        <v>0</v>
      </c>
      <c r="E75" s="115">
        <v>0</v>
      </c>
      <c r="F75" s="114">
        <f>E75*$B$47</f>
        <v>0</v>
      </c>
      <c r="G75" s="115">
        <v>0</v>
      </c>
      <c r="H75" s="114">
        <f>G75*$B$47</f>
        <v>0</v>
      </c>
      <c r="I75" s="115">
        <v>0</v>
      </c>
      <c r="J75" s="114">
        <f>I75*$B$47</f>
        <v>0</v>
      </c>
      <c r="K75" s="115">
        <v>0</v>
      </c>
      <c r="L75" s="114">
        <f>K75*$B$47</f>
        <v>0</v>
      </c>
      <c r="M75" s="115">
        <v>0</v>
      </c>
      <c r="N75" s="114">
        <f>M75*$B$47</f>
        <v>0</v>
      </c>
      <c r="O75" s="115">
        <v>0</v>
      </c>
      <c r="P75" s="114">
        <f>O75*$B$47</f>
        <v>0</v>
      </c>
      <c r="Q75" s="115">
        <v>0</v>
      </c>
      <c r="R75" s="114">
        <f>Q75*$B$47</f>
        <v>0</v>
      </c>
      <c r="S75" s="115">
        <v>0</v>
      </c>
      <c r="T75" s="114">
        <f>S75*$B$47</f>
        <v>0</v>
      </c>
      <c r="U75" s="115">
        <v>0</v>
      </c>
      <c r="V75" s="114">
        <f>U75*$B$47</f>
        <v>0</v>
      </c>
      <c r="W75" s="113">
        <v>0</v>
      </c>
      <c r="X75" s="114">
        <f>W75*$B$47</f>
        <v>0</v>
      </c>
      <c r="Y75" s="113">
        <v>0</v>
      </c>
      <c r="Z75" s="114">
        <f>Y75*$B$47</f>
        <v>0</v>
      </c>
      <c r="AB75" s="99"/>
    </row>
    <row r="76" spans="1:31" ht="18.75" hidden="1" customHeight="1" x14ac:dyDescent="0.15">
      <c r="A76" s="112"/>
      <c r="B76" s="182"/>
      <c r="C76" s="113">
        <v>0</v>
      </c>
      <c r="D76" s="114">
        <f t="shared" ref="D76" si="23">C76*$B$58</f>
        <v>0</v>
      </c>
      <c r="E76" s="115">
        <v>0</v>
      </c>
      <c r="F76" s="114">
        <f>E76*$B$48</f>
        <v>0</v>
      </c>
      <c r="G76" s="115">
        <v>0</v>
      </c>
      <c r="H76" s="114">
        <f>G76*$B$48</f>
        <v>0</v>
      </c>
      <c r="I76" s="115">
        <v>0</v>
      </c>
      <c r="J76" s="114">
        <f>I76*$B$48</f>
        <v>0</v>
      </c>
      <c r="K76" s="115">
        <v>0</v>
      </c>
      <c r="L76" s="114">
        <f>K76*$B$48</f>
        <v>0</v>
      </c>
      <c r="M76" s="115">
        <v>0</v>
      </c>
      <c r="N76" s="114">
        <f>M76*$B$48</f>
        <v>0</v>
      </c>
      <c r="O76" s="115">
        <v>0</v>
      </c>
      <c r="P76" s="114">
        <f>O76*$B$48</f>
        <v>0</v>
      </c>
      <c r="Q76" s="115">
        <v>0</v>
      </c>
      <c r="R76" s="114">
        <f>Q76*$B$48</f>
        <v>0</v>
      </c>
      <c r="S76" s="115">
        <v>0</v>
      </c>
      <c r="T76" s="114">
        <f>S76*$B$48</f>
        <v>0</v>
      </c>
      <c r="U76" s="115">
        <v>0</v>
      </c>
      <c r="V76" s="114">
        <f>U76*$B$48</f>
        <v>0</v>
      </c>
      <c r="W76" s="113">
        <v>1</v>
      </c>
      <c r="X76" s="114">
        <f>W76*$B$48</f>
        <v>0</v>
      </c>
      <c r="Y76" s="113">
        <v>1</v>
      </c>
      <c r="Z76" s="114">
        <f>Y76*$B$48</f>
        <v>0</v>
      </c>
      <c r="AB76" s="99"/>
    </row>
    <row r="77" spans="1:31" ht="14" hidden="1" x14ac:dyDescent="0.15">
      <c r="A77" s="112"/>
      <c r="B77" s="182"/>
      <c r="C77" s="113">
        <v>0</v>
      </c>
      <c r="D77" s="114">
        <f t="shared" ref="D77" si="24">C77*$B$59</f>
        <v>0</v>
      </c>
      <c r="E77" s="115">
        <v>0</v>
      </c>
      <c r="F77" s="114">
        <f>E77*$B$48</f>
        <v>0</v>
      </c>
      <c r="G77" s="115">
        <v>0</v>
      </c>
      <c r="H77" s="114">
        <f>G77*$B$48</f>
        <v>0</v>
      </c>
      <c r="I77" s="115">
        <v>0</v>
      </c>
      <c r="J77" s="114">
        <f>I77*$B$48</f>
        <v>0</v>
      </c>
      <c r="K77" s="115">
        <v>0</v>
      </c>
      <c r="L77" s="114">
        <f>K77*$B$48</f>
        <v>0</v>
      </c>
      <c r="M77" s="115">
        <v>0</v>
      </c>
      <c r="N77" s="114">
        <f>M77*$B$48</f>
        <v>0</v>
      </c>
      <c r="O77" s="115">
        <v>0</v>
      </c>
      <c r="P77" s="114">
        <f>O77*$B$48</f>
        <v>0</v>
      </c>
      <c r="Q77" s="115">
        <v>0</v>
      </c>
      <c r="R77" s="114">
        <f>Q77*$B$48</f>
        <v>0</v>
      </c>
      <c r="S77" s="115">
        <v>0</v>
      </c>
      <c r="T77" s="114">
        <f>S77*$B$48</f>
        <v>0</v>
      </c>
      <c r="U77" s="115">
        <v>0</v>
      </c>
      <c r="V77" s="114">
        <f>U77*$B$48</f>
        <v>0</v>
      </c>
      <c r="W77" s="113">
        <v>0</v>
      </c>
      <c r="X77" s="114">
        <f>W77*$B$48</f>
        <v>0</v>
      </c>
      <c r="Y77" s="113">
        <v>0</v>
      </c>
      <c r="Z77" s="114">
        <f>Y77*$B$48</f>
        <v>0</v>
      </c>
      <c r="AB77" s="99"/>
      <c r="AE77" s="99"/>
    </row>
    <row r="78" spans="1:31" ht="15" hidden="1" customHeight="1" x14ac:dyDescent="0.15">
      <c r="A78" s="112"/>
      <c r="B78" s="182"/>
      <c r="C78" s="113">
        <v>0</v>
      </c>
      <c r="D78" s="117">
        <f t="shared" ref="D78" si="25">C78*$B$60</f>
        <v>0</v>
      </c>
      <c r="E78" s="115">
        <v>0</v>
      </c>
      <c r="F78" s="114">
        <f>E78*$B$50</f>
        <v>0</v>
      </c>
      <c r="G78" s="115">
        <v>0</v>
      </c>
      <c r="H78" s="114">
        <f>G78*$B$50</f>
        <v>0</v>
      </c>
      <c r="I78" s="115">
        <v>0</v>
      </c>
      <c r="J78" s="114">
        <f>I78*$B$50</f>
        <v>0</v>
      </c>
      <c r="K78" s="115">
        <v>0</v>
      </c>
      <c r="L78" s="114">
        <f>K78*$B$50</f>
        <v>0</v>
      </c>
      <c r="M78" s="115">
        <v>0</v>
      </c>
      <c r="N78" s="114">
        <f>M78*$B$50</f>
        <v>0</v>
      </c>
      <c r="O78" s="115">
        <v>0</v>
      </c>
      <c r="P78" s="114">
        <f>O78*$B$50</f>
        <v>0</v>
      </c>
      <c r="Q78" s="115">
        <v>0</v>
      </c>
      <c r="R78" s="114">
        <f>Q78*$B$50</f>
        <v>0</v>
      </c>
      <c r="S78" s="115">
        <v>0</v>
      </c>
      <c r="T78" s="114">
        <f>S78*$B$50</f>
        <v>0</v>
      </c>
      <c r="U78" s="115">
        <v>0</v>
      </c>
      <c r="V78" s="114">
        <f>U78*$B$50</f>
        <v>0</v>
      </c>
      <c r="W78" s="113">
        <v>0</v>
      </c>
      <c r="X78" s="114">
        <f>W78*$B$50</f>
        <v>0</v>
      </c>
      <c r="Y78" s="113">
        <v>0</v>
      </c>
      <c r="Z78" s="114">
        <f>Y78*$B$50</f>
        <v>0</v>
      </c>
      <c r="AB78" s="99"/>
    </row>
    <row r="79" spans="1:31" ht="15" hidden="1" customHeight="1" x14ac:dyDescent="0.15">
      <c r="A79" s="112"/>
      <c r="B79" s="182"/>
      <c r="C79" s="113">
        <v>0</v>
      </c>
      <c r="D79" s="114">
        <f t="shared" ref="D79" si="26">C79*$B$61</f>
        <v>0</v>
      </c>
      <c r="E79" s="115">
        <v>0</v>
      </c>
      <c r="F79" s="114">
        <f>E79*$B$50</f>
        <v>0</v>
      </c>
      <c r="G79" s="115">
        <v>0</v>
      </c>
      <c r="H79" s="114">
        <f>G79*$B$50</f>
        <v>0</v>
      </c>
      <c r="I79" s="115">
        <v>0</v>
      </c>
      <c r="J79" s="114">
        <f>I79*$B$50</f>
        <v>0</v>
      </c>
      <c r="K79" s="115">
        <v>0</v>
      </c>
      <c r="L79" s="114">
        <f>K79*$B$50</f>
        <v>0</v>
      </c>
      <c r="M79" s="115">
        <v>0</v>
      </c>
      <c r="N79" s="114">
        <f>M79*$B$50</f>
        <v>0</v>
      </c>
      <c r="O79" s="115">
        <v>0</v>
      </c>
      <c r="P79" s="114">
        <f>O79*$B$50</f>
        <v>0</v>
      </c>
      <c r="Q79" s="115">
        <v>0</v>
      </c>
      <c r="R79" s="114">
        <f>Q79*$B$50</f>
        <v>0</v>
      </c>
      <c r="S79" s="115">
        <v>0</v>
      </c>
      <c r="T79" s="114">
        <f>S79*$B$50</f>
        <v>0</v>
      </c>
      <c r="U79" s="115">
        <v>0</v>
      </c>
      <c r="V79" s="114">
        <f>U79*$B$50</f>
        <v>0</v>
      </c>
      <c r="W79" s="113">
        <v>0</v>
      </c>
      <c r="X79" s="114">
        <f>W79*$B$50</f>
        <v>0</v>
      </c>
      <c r="Y79" s="113">
        <v>0</v>
      </c>
      <c r="Z79" s="114">
        <f>Y79*$B$50</f>
        <v>0</v>
      </c>
      <c r="AB79" s="99"/>
    </row>
    <row r="80" spans="1:31" ht="15" hidden="1" customHeight="1" x14ac:dyDescent="0.15">
      <c r="A80" s="112"/>
      <c r="B80" s="182"/>
      <c r="C80" s="113">
        <v>0</v>
      </c>
      <c r="D80" s="117">
        <f t="shared" ref="D80" si="27">C80*$B$62</f>
        <v>0</v>
      </c>
      <c r="E80" s="115">
        <v>0</v>
      </c>
      <c r="F80" s="114">
        <f>E80*$B$52</f>
        <v>0</v>
      </c>
      <c r="G80" s="115">
        <v>0</v>
      </c>
      <c r="H80" s="114">
        <f>G80*$B$52</f>
        <v>0</v>
      </c>
      <c r="I80" s="115">
        <v>0</v>
      </c>
      <c r="J80" s="114">
        <f>I80*$B$52</f>
        <v>0</v>
      </c>
      <c r="K80" s="115">
        <v>0</v>
      </c>
      <c r="L80" s="114">
        <f>K80*$B$52</f>
        <v>0</v>
      </c>
      <c r="M80" s="115">
        <v>0</v>
      </c>
      <c r="N80" s="114">
        <f>M80*$B$52</f>
        <v>0</v>
      </c>
      <c r="O80" s="115">
        <v>0</v>
      </c>
      <c r="P80" s="114">
        <f>O80*$B$52</f>
        <v>0</v>
      </c>
      <c r="Q80" s="115">
        <v>0</v>
      </c>
      <c r="R80" s="114">
        <f>Q80*$B$52</f>
        <v>0</v>
      </c>
      <c r="S80" s="115">
        <v>0</v>
      </c>
      <c r="T80" s="114">
        <f>S80*$B$52</f>
        <v>0</v>
      </c>
      <c r="U80" s="115">
        <v>0</v>
      </c>
      <c r="V80" s="114">
        <f>U80*$B$52</f>
        <v>0</v>
      </c>
      <c r="W80" s="113">
        <v>0</v>
      </c>
      <c r="X80" s="114">
        <f>W80*$B$52</f>
        <v>0</v>
      </c>
      <c r="Y80" s="113">
        <v>0</v>
      </c>
      <c r="Z80" s="114">
        <f>Y80*$B$52</f>
        <v>0</v>
      </c>
      <c r="AB80" s="99"/>
    </row>
    <row r="81" spans="1:29" ht="15" hidden="1" customHeight="1" x14ac:dyDescent="0.15">
      <c r="A81" s="116"/>
      <c r="B81" s="182"/>
      <c r="C81" s="113">
        <v>0</v>
      </c>
      <c r="D81" s="114">
        <f t="shared" ref="D81" si="28">C81*$B$63</f>
        <v>0</v>
      </c>
      <c r="E81" s="115">
        <v>0</v>
      </c>
      <c r="F81" s="114">
        <f>E81*$B$52</f>
        <v>0</v>
      </c>
      <c r="G81" s="115">
        <v>0</v>
      </c>
      <c r="H81" s="114">
        <f>G81*$B$52</f>
        <v>0</v>
      </c>
      <c r="I81" s="115">
        <v>0</v>
      </c>
      <c r="J81" s="114">
        <f>I81*$B$52</f>
        <v>0</v>
      </c>
      <c r="K81" s="115">
        <v>0</v>
      </c>
      <c r="L81" s="114">
        <f>K81*$B$52</f>
        <v>0</v>
      </c>
      <c r="M81" s="115">
        <v>0</v>
      </c>
      <c r="N81" s="114">
        <f>M81*$B$52</f>
        <v>0</v>
      </c>
      <c r="O81" s="115">
        <v>0</v>
      </c>
      <c r="P81" s="114">
        <f>O81*$B$52</f>
        <v>0</v>
      </c>
      <c r="Q81" s="115">
        <v>0</v>
      </c>
      <c r="R81" s="114">
        <f>Q81*$B$52</f>
        <v>0</v>
      </c>
      <c r="S81" s="115">
        <v>0</v>
      </c>
      <c r="T81" s="114">
        <f>S81*$B$52</f>
        <v>0</v>
      </c>
      <c r="U81" s="115">
        <v>0</v>
      </c>
      <c r="V81" s="114">
        <f>U81*$B$52</f>
        <v>0</v>
      </c>
      <c r="W81" s="113">
        <v>0</v>
      </c>
      <c r="X81" s="114">
        <f>W81*$B$52</f>
        <v>0</v>
      </c>
      <c r="Y81" s="113">
        <v>0</v>
      </c>
      <c r="Z81" s="114">
        <f>Y81*$B$52</f>
        <v>0</v>
      </c>
      <c r="AB81" s="99"/>
    </row>
    <row r="82" spans="1:29" ht="15" hidden="1" customHeight="1" x14ac:dyDescent="0.15">
      <c r="A82" s="116"/>
      <c r="B82" s="182"/>
      <c r="C82" s="113">
        <v>0</v>
      </c>
      <c r="D82" s="114">
        <f t="shared" ref="D82" si="29">C82*$B$64</f>
        <v>0</v>
      </c>
      <c r="E82" s="115">
        <v>0</v>
      </c>
      <c r="F82" s="114">
        <f>E82*$B$54</f>
        <v>0</v>
      </c>
      <c r="G82" s="115">
        <v>0</v>
      </c>
      <c r="H82" s="114">
        <f>G82*$B$54</f>
        <v>0</v>
      </c>
      <c r="I82" s="115">
        <v>0</v>
      </c>
      <c r="J82" s="114">
        <f>I82*$B$54</f>
        <v>0</v>
      </c>
      <c r="K82" s="115">
        <v>0</v>
      </c>
      <c r="L82" s="114">
        <f>K82*$B$54</f>
        <v>0</v>
      </c>
      <c r="M82" s="115">
        <v>0</v>
      </c>
      <c r="N82" s="114">
        <f>M82*$B$54</f>
        <v>0</v>
      </c>
      <c r="O82" s="115">
        <v>0</v>
      </c>
      <c r="P82" s="114">
        <f>O82*$B$54</f>
        <v>0</v>
      </c>
      <c r="Q82" s="115">
        <v>0</v>
      </c>
      <c r="R82" s="114">
        <f>Q82*$B$54</f>
        <v>0</v>
      </c>
      <c r="S82" s="115">
        <v>0</v>
      </c>
      <c r="T82" s="114">
        <f>S82*$B$54</f>
        <v>0</v>
      </c>
      <c r="U82" s="115">
        <v>0</v>
      </c>
      <c r="V82" s="114">
        <f>U82*$B$54</f>
        <v>0</v>
      </c>
      <c r="W82" s="113">
        <v>0</v>
      </c>
      <c r="X82" s="114">
        <f>W82*$B$54</f>
        <v>0</v>
      </c>
      <c r="Y82" s="113">
        <v>0</v>
      </c>
      <c r="Z82" s="114">
        <f>Y82*$B$54</f>
        <v>0</v>
      </c>
      <c r="AB82" s="99"/>
    </row>
    <row r="83" spans="1:29" ht="15" hidden="1" customHeight="1" x14ac:dyDescent="0.15">
      <c r="A83" s="116"/>
      <c r="B83" s="182"/>
      <c r="C83" s="113">
        <v>0</v>
      </c>
      <c r="D83" s="114">
        <f t="shared" ref="D83" si="30">C83*$B$65</f>
        <v>0</v>
      </c>
      <c r="E83" s="115">
        <v>0</v>
      </c>
      <c r="F83" s="114">
        <f>E83*$B$54</f>
        <v>0</v>
      </c>
      <c r="G83" s="115">
        <v>0</v>
      </c>
      <c r="H83" s="114">
        <f>G83*$B$54</f>
        <v>0</v>
      </c>
      <c r="I83" s="115">
        <v>0</v>
      </c>
      <c r="J83" s="114">
        <f>I83*$B$54</f>
        <v>0</v>
      </c>
      <c r="K83" s="115">
        <v>0</v>
      </c>
      <c r="L83" s="114">
        <f>K83*$B$54</f>
        <v>0</v>
      </c>
      <c r="M83" s="115">
        <v>0</v>
      </c>
      <c r="N83" s="114">
        <f>M83*$B$54</f>
        <v>0</v>
      </c>
      <c r="O83" s="115">
        <v>0</v>
      </c>
      <c r="P83" s="114">
        <f>O83*$B$54</f>
        <v>0</v>
      </c>
      <c r="Q83" s="115">
        <v>0</v>
      </c>
      <c r="R83" s="114">
        <f>Q83*$B$54</f>
        <v>0</v>
      </c>
      <c r="S83" s="115">
        <v>0</v>
      </c>
      <c r="T83" s="114">
        <f>S83*$B$54</f>
        <v>0</v>
      </c>
      <c r="U83" s="115">
        <v>0</v>
      </c>
      <c r="V83" s="114">
        <f>U83*$B$54</f>
        <v>0</v>
      </c>
      <c r="W83" s="113">
        <v>0</v>
      </c>
      <c r="X83" s="114">
        <f>W83*$B$54</f>
        <v>0</v>
      </c>
      <c r="Y83" s="113">
        <v>0</v>
      </c>
      <c r="Z83" s="114">
        <f>Y83*$B$54</f>
        <v>0</v>
      </c>
      <c r="AB83" s="99"/>
    </row>
    <row r="84" spans="1:29" ht="15" hidden="1" customHeight="1" x14ac:dyDescent="0.15">
      <c r="A84" s="116"/>
      <c r="B84" s="182"/>
      <c r="C84" s="113">
        <v>0</v>
      </c>
      <c r="D84" s="114">
        <f t="shared" ref="D84" si="31">C84*$B$68</f>
        <v>0</v>
      </c>
      <c r="E84" s="115">
        <v>0</v>
      </c>
      <c r="F84" s="114">
        <f>E84*$B$52</f>
        <v>0</v>
      </c>
      <c r="G84" s="115">
        <v>0</v>
      </c>
      <c r="H84" s="114">
        <f>G84*$B$52</f>
        <v>0</v>
      </c>
      <c r="I84" s="115">
        <v>0</v>
      </c>
      <c r="J84" s="114">
        <f>I84*$B$52</f>
        <v>0</v>
      </c>
      <c r="K84" s="115">
        <v>0</v>
      </c>
      <c r="L84" s="114">
        <f>K84*$B$52</f>
        <v>0</v>
      </c>
      <c r="M84" s="115">
        <v>0</v>
      </c>
      <c r="N84" s="114">
        <f>M84*$B$52</f>
        <v>0</v>
      </c>
      <c r="O84" s="115">
        <v>0</v>
      </c>
      <c r="P84" s="114">
        <f>O84*$B$52</f>
        <v>0</v>
      </c>
      <c r="Q84" s="115">
        <v>0</v>
      </c>
      <c r="R84" s="114">
        <f>Q84*$B$52</f>
        <v>0</v>
      </c>
      <c r="S84" s="115">
        <v>0</v>
      </c>
      <c r="T84" s="114">
        <f>S84*$B$52</f>
        <v>0</v>
      </c>
      <c r="U84" s="115">
        <v>0</v>
      </c>
      <c r="V84" s="114">
        <f>U84*$B$52</f>
        <v>0</v>
      </c>
      <c r="W84" s="113">
        <v>0</v>
      </c>
      <c r="X84" s="114">
        <f>W84*$B$52</f>
        <v>0</v>
      </c>
      <c r="Y84" s="113">
        <v>0</v>
      </c>
      <c r="Z84" s="114">
        <f>Y84*$B$52</f>
        <v>0</v>
      </c>
      <c r="AB84" s="99"/>
    </row>
    <row r="85" spans="1:29" ht="15" hidden="1" customHeight="1" x14ac:dyDescent="0.15">
      <c r="A85" s="116"/>
      <c r="B85" s="182"/>
      <c r="C85" s="113">
        <v>0</v>
      </c>
      <c r="D85" s="114">
        <f t="shared" ref="D85" si="32">C85*$B$49</f>
        <v>0</v>
      </c>
      <c r="E85" s="115">
        <v>0</v>
      </c>
      <c r="F85" s="114">
        <f>E85*$B$57</f>
        <v>0</v>
      </c>
      <c r="G85" s="115">
        <v>0</v>
      </c>
      <c r="H85" s="114">
        <f>G85*$B$57</f>
        <v>0</v>
      </c>
      <c r="I85" s="115">
        <v>0</v>
      </c>
      <c r="J85" s="114">
        <f>I85*$B$57</f>
        <v>0</v>
      </c>
      <c r="K85" s="115">
        <v>0</v>
      </c>
      <c r="L85" s="114">
        <f>K85*$B$57</f>
        <v>0</v>
      </c>
      <c r="M85" s="115">
        <v>0</v>
      </c>
      <c r="N85" s="114">
        <f>M85*$B$57</f>
        <v>0</v>
      </c>
      <c r="O85" s="115">
        <v>0</v>
      </c>
      <c r="P85" s="114">
        <f>O85*$B$57</f>
        <v>0</v>
      </c>
      <c r="Q85" s="115">
        <v>0</v>
      </c>
      <c r="R85" s="114">
        <f>Q85*$B$57</f>
        <v>0</v>
      </c>
      <c r="S85" s="115">
        <v>0</v>
      </c>
      <c r="T85" s="114">
        <f>S85*$B$57</f>
        <v>0</v>
      </c>
      <c r="U85" s="115">
        <v>0</v>
      </c>
      <c r="V85" s="114">
        <f>U85*$B$57</f>
        <v>0</v>
      </c>
      <c r="W85" s="113">
        <v>0</v>
      </c>
      <c r="X85" s="114">
        <f>W85*$B$57</f>
        <v>0</v>
      </c>
      <c r="Y85" s="113">
        <v>0</v>
      </c>
      <c r="Z85" s="114">
        <f>Y85*$B$57</f>
        <v>0</v>
      </c>
      <c r="AB85" s="99"/>
    </row>
    <row r="86" spans="1:29" ht="15" hidden="1" customHeight="1" x14ac:dyDescent="0.15">
      <c r="A86" s="116"/>
      <c r="B86" s="182"/>
      <c r="C86" s="113">
        <v>0</v>
      </c>
      <c r="D86" s="114">
        <f t="shared" ref="D86" si="33">C86*$B$50</f>
        <v>0</v>
      </c>
      <c r="E86" s="115">
        <v>0</v>
      </c>
      <c r="F86" s="114">
        <f>E86*$B$57</f>
        <v>0</v>
      </c>
      <c r="G86" s="115">
        <v>0</v>
      </c>
      <c r="H86" s="114">
        <f>G86*$B$57</f>
        <v>0</v>
      </c>
      <c r="I86" s="115">
        <v>0</v>
      </c>
      <c r="J86" s="114">
        <f>I86*$B$57</f>
        <v>0</v>
      </c>
      <c r="K86" s="115">
        <v>0</v>
      </c>
      <c r="L86" s="114">
        <f>K86*$B$57</f>
        <v>0</v>
      </c>
      <c r="M86" s="115">
        <v>0</v>
      </c>
      <c r="N86" s="114">
        <f>M86*$B$57</f>
        <v>0</v>
      </c>
      <c r="O86" s="115">
        <v>0</v>
      </c>
      <c r="P86" s="114">
        <f>O86*$B$57</f>
        <v>0</v>
      </c>
      <c r="Q86" s="115">
        <v>0</v>
      </c>
      <c r="R86" s="114">
        <f>Q86*$B$57</f>
        <v>0</v>
      </c>
      <c r="S86" s="115">
        <v>0</v>
      </c>
      <c r="T86" s="114">
        <f>S86*$B$57</f>
        <v>0</v>
      </c>
      <c r="U86" s="115">
        <v>0</v>
      </c>
      <c r="V86" s="114">
        <f>U86*$B$57</f>
        <v>0</v>
      </c>
      <c r="W86" s="113">
        <v>0</v>
      </c>
      <c r="X86" s="114">
        <f>W86*$B$57</f>
        <v>0</v>
      </c>
      <c r="Y86" s="113">
        <v>0</v>
      </c>
      <c r="Z86" s="114">
        <f>Y86*$B$57</f>
        <v>0</v>
      </c>
      <c r="AB86" s="99"/>
    </row>
    <row r="87" spans="1:29" ht="15" hidden="1" customHeight="1" x14ac:dyDescent="0.15">
      <c r="A87" s="116"/>
      <c r="B87" s="182"/>
      <c r="C87" s="113">
        <v>0</v>
      </c>
      <c r="D87" s="114">
        <f t="shared" ref="D87" si="34">C87*$B$51</f>
        <v>0</v>
      </c>
      <c r="E87" s="115">
        <v>0</v>
      </c>
      <c r="F87" s="114">
        <f>E87*$B$59</f>
        <v>0</v>
      </c>
      <c r="G87" s="115">
        <v>0</v>
      </c>
      <c r="H87" s="114">
        <f>G87*$B$59</f>
        <v>0</v>
      </c>
      <c r="I87" s="115">
        <v>0</v>
      </c>
      <c r="J87" s="114">
        <f>I87*$B$59</f>
        <v>0</v>
      </c>
      <c r="K87" s="115">
        <v>0</v>
      </c>
      <c r="L87" s="114">
        <f>K87*$B$59</f>
        <v>0</v>
      </c>
      <c r="M87" s="115">
        <v>0</v>
      </c>
      <c r="N87" s="114">
        <f>M87*$B$59</f>
        <v>0</v>
      </c>
      <c r="O87" s="115">
        <v>0</v>
      </c>
      <c r="P87" s="114">
        <f>O87*$B$59</f>
        <v>0</v>
      </c>
      <c r="Q87" s="115">
        <v>0</v>
      </c>
      <c r="R87" s="114">
        <f>Q87*$B$59</f>
        <v>0</v>
      </c>
      <c r="S87" s="115">
        <v>0</v>
      </c>
      <c r="T87" s="114">
        <f>S87*$B$59</f>
        <v>0</v>
      </c>
      <c r="U87" s="115">
        <v>0</v>
      </c>
      <c r="V87" s="114">
        <f>U87*$B$59</f>
        <v>0</v>
      </c>
      <c r="W87" s="113">
        <v>0</v>
      </c>
      <c r="X87" s="114">
        <f>W87*$B$59</f>
        <v>0</v>
      </c>
      <c r="Y87" s="113">
        <v>0</v>
      </c>
      <c r="Z87" s="114">
        <f>Y87*$B$59</f>
        <v>0</v>
      </c>
      <c r="AB87" s="99"/>
    </row>
    <row r="88" spans="1:29" s="1" customFormat="1" ht="15" hidden="1" customHeight="1" x14ac:dyDescent="0.15">
      <c r="A88" s="116"/>
      <c r="B88" s="182"/>
      <c r="C88" s="113">
        <v>0</v>
      </c>
      <c r="D88" s="114">
        <f t="shared" ref="D88" si="35">C88*$B$52</f>
        <v>0</v>
      </c>
      <c r="E88" s="115">
        <v>0</v>
      </c>
      <c r="F88" s="117">
        <f>E88*$B$60</f>
        <v>0</v>
      </c>
      <c r="G88" s="115">
        <v>0</v>
      </c>
      <c r="H88" s="117">
        <f>G88*$B$60</f>
        <v>0</v>
      </c>
      <c r="I88" s="115">
        <v>0</v>
      </c>
      <c r="J88" s="117">
        <f>I88*$B$60</f>
        <v>0</v>
      </c>
      <c r="K88" s="115">
        <v>0</v>
      </c>
      <c r="L88" s="117">
        <f>K88*$B$60</f>
        <v>0</v>
      </c>
      <c r="M88" s="115">
        <v>0</v>
      </c>
      <c r="N88" s="117">
        <f>M88*$B$60</f>
        <v>0</v>
      </c>
      <c r="O88" s="115">
        <v>0</v>
      </c>
      <c r="P88" s="117">
        <f>O88*$B$60</f>
        <v>0</v>
      </c>
      <c r="Q88" s="115">
        <v>0</v>
      </c>
      <c r="R88" s="117">
        <f>Q88*$B$60</f>
        <v>0</v>
      </c>
      <c r="S88" s="115">
        <v>0</v>
      </c>
      <c r="T88" s="117">
        <f>S88*$B$60</f>
        <v>0</v>
      </c>
      <c r="U88" s="115">
        <v>0</v>
      </c>
      <c r="V88" s="117">
        <f>U88*$B$60</f>
        <v>0</v>
      </c>
      <c r="W88" s="113">
        <v>0</v>
      </c>
      <c r="X88" s="117">
        <f>W88*$B$60</f>
        <v>0</v>
      </c>
      <c r="Y88" s="113">
        <v>0</v>
      </c>
      <c r="Z88" s="117">
        <f>Y88*$B$60</f>
        <v>0</v>
      </c>
      <c r="AB88" s="99"/>
      <c r="AC88" s="123"/>
    </row>
    <row r="89" spans="1:29" s="1" customFormat="1" ht="15" hidden="1" customHeight="1" x14ac:dyDescent="0.15">
      <c r="A89" s="118"/>
      <c r="B89" s="182"/>
      <c r="C89" s="113">
        <v>0</v>
      </c>
      <c r="D89" s="114">
        <f t="shared" ref="D89" si="36">C89*$B$53</f>
        <v>0</v>
      </c>
      <c r="E89" s="113">
        <v>0</v>
      </c>
      <c r="F89" s="114">
        <f>E89*$B$61</f>
        <v>0</v>
      </c>
      <c r="G89" s="113">
        <v>0</v>
      </c>
      <c r="H89" s="114">
        <f>G89*$B$61</f>
        <v>0</v>
      </c>
      <c r="I89" s="113">
        <v>0</v>
      </c>
      <c r="J89" s="114">
        <f>I89*$B$61</f>
        <v>0</v>
      </c>
      <c r="K89" s="113">
        <v>0</v>
      </c>
      <c r="L89" s="114">
        <f>K89*$B$61</f>
        <v>0</v>
      </c>
      <c r="M89" s="113">
        <v>0</v>
      </c>
      <c r="N89" s="114">
        <f>M89*$B$61</f>
        <v>0</v>
      </c>
      <c r="O89" s="113">
        <v>0</v>
      </c>
      <c r="P89" s="114">
        <f>O89*$B$61</f>
        <v>0</v>
      </c>
      <c r="Q89" s="113">
        <v>0</v>
      </c>
      <c r="R89" s="114">
        <f>Q89*$B$61</f>
        <v>0</v>
      </c>
      <c r="S89" s="113">
        <v>0</v>
      </c>
      <c r="T89" s="114">
        <f>S89*$B$61</f>
        <v>0</v>
      </c>
      <c r="U89" s="113">
        <v>0</v>
      </c>
      <c r="V89" s="114">
        <f>U89*$B$61</f>
        <v>0</v>
      </c>
      <c r="W89" s="113">
        <v>0</v>
      </c>
      <c r="X89" s="114">
        <f>W89*$B$61</f>
        <v>0</v>
      </c>
      <c r="Y89" s="113">
        <v>0</v>
      </c>
      <c r="Z89" s="114">
        <f>Y89*$B$61</f>
        <v>0</v>
      </c>
      <c r="AB89" s="99"/>
      <c r="AC89" s="123"/>
    </row>
    <row r="90" spans="1:29" s="1" customFormat="1" ht="15" hidden="1" customHeight="1" x14ac:dyDescent="0.15">
      <c r="A90" s="119"/>
      <c r="B90" s="182"/>
      <c r="C90" s="113">
        <v>0</v>
      </c>
      <c r="D90" s="114">
        <f t="shared" ref="D90:D91" si="37">C90*$B$54</f>
        <v>0</v>
      </c>
      <c r="E90" s="113">
        <v>0</v>
      </c>
      <c r="F90" s="117">
        <f>E90*$B$62</f>
        <v>0</v>
      </c>
      <c r="G90" s="113">
        <v>0</v>
      </c>
      <c r="H90" s="117">
        <f>G90*$B$62</f>
        <v>0</v>
      </c>
      <c r="I90" s="113">
        <v>0</v>
      </c>
      <c r="J90" s="117">
        <f>I90*$B$62</f>
        <v>0</v>
      </c>
      <c r="K90" s="113">
        <v>0</v>
      </c>
      <c r="L90" s="117">
        <f>K90*$B$62</f>
        <v>0</v>
      </c>
      <c r="M90" s="113">
        <v>0</v>
      </c>
      <c r="N90" s="117">
        <f>M90*$B$62</f>
        <v>0</v>
      </c>
      <c r="O90" s="113">
        <v>0</v>
      </c>
      <c r="P90" s="117">
        <f>O90*$B$62</f>
        <v>0</v>
      </c>
      <c r="Q90" s="113">
        <v>0</v>
      </c>
      <c r="R90" s="117">
        <f>Q90*$B$62</f>
        <v>0</v>
      </c>
      <c r="S90" s="113">
        <v>0</v>
      </c>
      <c r="T90" s="117">
        <f>S90*$B$62</f>
        <v>0</v>
      </c>
      <c r="U90" s="113">
        <v>0</v>
      </c>
      <c r="V90" s="117">
        <f>U90*$B$62</f>
        <v>0</v>
      </c>
      <c r="W90" s="113">
        <v>0</v>
      </c>
      <c r="X90" s="117">
        <f>W90*$B$62</f>
        <v>0</v>
      </c>
      <c r="Y90" s="113">
        <v>0</v>
      </c>
      <c r="Z90" s="117">
        <f>Y90*$B$62</f>
        <v>0</v>
      </c>
      <c r="AB90" s="99"/>
      <c r="AC90" s="123"/>
    </row>
    <row r="91" spans="1:29" s="1" customFormat="1" ht="15" hidden="1" customHeight="1" x14ac:dyDescent="0.15">
      <c r="A91" s="119"/>
      <c r="B91" s="182"/>
      <c r="C91" s="113">
        <v>0</v>
      </c>
      <c r="D91" s="114">
        <f t="shared" si="37"/>
        <v>0</v>
      </c>
      <c r="E91" s="113">
        <v>0</v>
      </c>
      <c r="F91" s="114">
        <f t="shared" ref="F91:F94" si="38">E91*$B$63</f>
        <v>0</v>
      </c>
      <c r="G91" s="113">
        <v>0</v>
      </c>
      <c r="H91" s="114">
        <f t="shared" ref="H91:H94" si="39">G91*$B$63</f>
        <v>0</v>
      </c>
      <c r="I91" s="113">
        <v>0</v>
      </c>
      <c r="J91" s="114">
        <f t="shared" ref="J91:J94" si="40">I91*$B$63</f>
        <v>0</v>
      </c>
      <c r="K91" s="113">
        <v>0</v>
      </c>
      <c r="L91" s="114">
        <f t="shared" ref="L91:L94" si="41">K91*$B$63</f>
        <v>0</v>
      </c>
      <c r="M91" s="113">
        <v>0</v>
      </c>
      <c r="N91" s="114">
        <f t="shared" ref="N91:N94" si="42">M91*$B$63</f>
        <v>0</v>
      </c>
      <c r="O91" s="113">
        <v>0</v>
      </c>
      <c r="P91" s="114">
        <f t="shared" ref="P91:P94" si="43">O91*$B$63</f>
        <v>0</v>
      </c>
      <c r="Q91" s="113">
        <v>0</v>
      </c>
      <c r="R91" s="114">
        <f t="shared" ref="R91:R94" si="44">Q91*$B$63</f>
        <v>0</v>
      </c>
      <c r="S91" s="113">
        <v>0</v>
      </c>
      <c r="T91" s="114">
        <f t="shared" ref="T91:T94" si="45">S91*$B$63</f>
        <v>0</v>
      </c>
      <c r="U91" s="113">
        <v>0</v>
      </c>
      <c r="V91" s="114">
        <f t="shared" ref="V91:V94" si="46">U91*$B$63</f>
        <v>0</v>
      </c>
      <c r="W91" s="113">
        <v>0</v>
      </c>
      <c r="X91" s="114">
        <f>W91*$B$63</f>
        <v>0</v>
      </c>
      <c r="Y91" s="113">
        <v>0</v>
      </c>
      <c r="Z91" s="114">
        <f>Y91*$B$63</f>
        <v>0</v>
      </c>
      <c r="AB91" s="99"/>
      <c r="AC91" s="123"/>
    </row>
    <row r="92" spans="1:29" s="1" customFormat="1" ht="15" hidden="1" customHeight="1" x14ac:dyDescent="0.15">
      <c r="A92" s="119"/>
      <c r="B92" s="182"/>
      <c r="C92" s="113">
        <v>0</v>
      </c>
      <c r="D92" s="114">
        <f t="shared" ref="D92" si="47">C92*$B$56</f>
        <v>0</v>
      </c>
      <c r="E92" s="113">
        <v>0</v>
      </c>
      <c r="F92" s="114">
        <f t="shared" si="38"/>
        <v>0</v>
      </c>
      <c r="G92" s="113">
        <v>0</v>
      </c>
      <c r="H92" s="114">
        <f t="shared" si="39"/>
        <v>0</v>
      </c>
      <c r="I92" s="113">
        <v>0</v>
      </c>
      <c r="J92" s="114">
        <f t="shared" si="40"/>
        <v>0</v>
      </c>
      <c r="K92" s="113">
        <v>0</v>
      </c>
      <c r="L92" s="114">
        <f t="shared" si="41"/>
        <v>0</v>
      </c>
      <c r="M92" s="113">
        <v>0</v>
      </c>
      <c r="N92" s="114">
        <f t="shared" si="42"/>
        <v>0</v>
      </c>
      <c r="O92" s="113">
        <v>0</v>
      </c>
      <c r="P92" s="114">
        <f t="shared" si="43"/>
        <v>0</v>
      </c>
      <c r="Q92" s="113">
        <v>0</v>
      </c>
      <c r="R92" s="114">
        <f t="shared" si="44"/>
        <v>0</v>
      </c>
      <c r="S92" s="113">
        <v>0</v>
      </c>
      <c r="T92" s="114">
        <f t="shared" si="45"/>
        <v>0</v>
      </c>
      <c r="U92" s="113">
        <v>0</v>
      </c>
      <c r="V92" s="114">
        <f t="shared" si="46"/>
        <v>0</v>
      </c>
      <c r="W92" s="113">
        <v>0</v>
      </c>
      <c r="X92" s="114">
        <f>W92*$B$63</f>
        <v>0</v>
      </c>
      <c r="Y92" s="113">
        <v>0</v>
      </c>
      <c r="Z92" s="114">
        <f>Y92*$B$63</f>
        <v>0</v>
      </c>
      <c r="AB92" s="99"/>
      <c r="AC92" s="123"/>
    </row>
    <row r="93" spans="1:29" s="1" customFormat="1" ht="15" hidden="1" customHeight="1" x14ac:dyDescent="0.15">
      <c r="A93" s="119"/>
      <c r="B93" s="182"/>
      <c r="C93" s="113">
        <v>0</v>
      </c>
      <c r="D93" s="114">
        <f t="shared" ref="D93" si="48">C93*$B$57</f>
        <v>0</v>
      </c>
      <c r="E93" s="113">
        <v>0</v>
      </c>
      <c r="F93" s="114">
        <f t="shared" si="38"/>
        <v>0</v>
      </c>
      <c r="G93" s="113">
        <v>0</v>
      </c>
      <c r="H93" s="114">
        <f t="shared" si="39"/>
        <v>0</v>
      </c>
      <c r="I93" s="113">
        <v>0</v>
      </c>
      <c r="J93" s="114">
        <f t="shared" si="40"/>
        <v>0</v>
      </c>
      <c r="K93" s="113">
        <v>0</v>
      </c>
      <c r="L93" s="114">
        <f t="shared" si="41"/>
        <v>0</v>
      </c>
      <c r="M93" s="113">
        <v>0</v>
      </c>
      <c r="N93" s="114">
        <f t="shared" si="42"/>
        <v>0</v>
      </c>
      <c r="O93" s="113">
        <v>0</v>
      </c>
      <c r="P93" s="114">
        <f t="shared" si="43"/>
        <v>0</v>
      </c>
      <c r="Q93" s="113">
        <v>0</v>
      </c>
      <c r="R93" s="114">
        <f t="shared" si="44"/>
        <v>0</v>
      </c>
      <c r="S93" s="113">
        <v>0</v>
      </c>
      <c r="T93" s="114">
        <f t="shared" si="45"/>
        <v>0</v>
      </c>
      <c r="U93" s="113">
        <v>0</v>
      </c>
      <c r="V93" s="114">
        <f t="shared" si="46"/>
        <v>0</v>
      </c>
      <c r="W93" s="113">
        <v>0</v>
      </c>
      <c r="X93" s="114">
        <f>W93*$B$63</f>
        <v>0</v>
      </c>
      <c r="Y93" s="113">
        <v>0</v>
      </c>
      <c r="Z93" s="114">
        <f>Y93*$B$63</f>
        <v>0</v>
      </c>
      <c r="AB93" s="99"/>
      <c r="AC93" s="123"/>
    </row>
    <row r="94" spans="1:29" s="1" customFormat="1" ht="15" hidden="1" customHeight="1" x14ac:dyDescent="0.15">
      <c r="A94" s="112"/>
      <c r="B94" s="182"/>
      <c r="C94" s="113">
        <v>0</v>
      </c>
      <c r="D94" s="114">
        <f t="shared" ref="D94" si="49">C94*$B$58</f>
        <v>0</v>
      </c>
      <c r="E94" s="113">
        <v>0</v>
      </c>
      <c r="F94" s="114">
        <f t="shared" si="38"/>
        <v>0</v>
      </c>
      <c r="G94" s="113">
        <v>0</v>
      </c>
      <c r="H94" s="114">
        <f t="shared" si="39"/>
        <v>0</v>
      </c>
      <c r="I94" s="113">
        <v>0</v>
      </c>
      <c r="J94" s="114">
        <f t="shared" si="40"/>
        <v>0</v>
      </c>
      <c r="K94" s="113">
        <v>0</v>
      </c>
      <c r="L94" s="114">
        <f t="shared" si="41"/>
        <v>0</v>
      </c>
      <c r="M94" s="113">
        <v>0</v>
      </c>
      <c r="N94" s="114">
        <f t="shared" si="42"/>
        <v>0</v>
      </c>
      <c r="O94" s="113">
        <v>0</v>
      </c>
      <c r="P94" s="114">
        <f t="shared" si="43"/>
        <v>0</v>
      </c>
      <c r="Q94" s="113">
        <v>0</v>
      </c>
      <c r="R94" s="114">
        <f t="shared" si="44"/>
        <v>0</v>
      </c>
      <c r="S94" s="113">
        <v>0</v>
      </c>
      <c r="T94" s="114">
        <f t="shared" si="45"/>
        <v>0</v>
      </c>
      <c r="U94" s="113">
        <v>0</v>
      </c>
      <c r="V94" s="114">
        <f t="shared" si="46"/>
        <v>0</v>
      </c>
      <c r="W94" s="113">
        <v>0</v>
      </c>
      <c r="X94" s="114">
        <f>W94*$B$63</f>
        <v>0</v>
      </c>
      <c r="Y94" s="113">
        <v>0</v>
      </c>
      <c r="Z94" s="114">
        <f>Y94*$B$63</f>
        <v>0</v>
      </c>
      <c r="AB94" s="99"/>
      <c r="AC94" s="123"/>
    </row>
    <row r="95" spans="1:29" s="1" customFormat="1" ht="30" hidden="1" customHeight="1" x14ac:dyDescent="0.15">
      <c r="A95" s="112" t="s">
        <v>45</v>
      </c>
      <c r="B95" s="182"/>
      <c r="C95" s="113">
        <v>0</v>
      </c>
      <c r="D95" s="114">
        <f>C95*$B$68</f>
        <v>0</v>
      </c>
      <c r="E95" s="113">
        <v>0</v>
      </c>
      <c r="F95" s="114">
        <f>E95*$B$63</f>
        <v>0</v>
      </c>
      <c r="G95" s="113">
        <v>0</v>
      </c>
      <c r="H95" s="114">
        <f>G95*$B$63</f>
        <v>0</v>
      </c>
      <c r="I95" s="113">
        <v>0</v>
      </c>
      <c r="J95" s="114">
        <f>I95*$B$63</f>
        <v>0</v>
      </c>
      <c r="K95" s="113">
        <v>0</v>
      </c>
      <c r="L95" s="114">
        <f>K95*$B$63</f>
        <v>0</v>
      </c>
      <c r="M95" s="113">
        <v>0</v>
      </c>
      <c r="N95" s="114">
        <f>M95*$B$63</f>
        <v>0</v>
      </c>
      <c r="O95" s="113">
        <v>0</v>
      </c>
      <c r="P95" s="114">
        <f>O95*$B$63</f>
        <v>0</v>
      </c>
      <c r="Q95" s="113">
        <v>0</v>
      </c>
      <c r="R95" s="114">
        <f>Q95*$B$63</f>
        <v>0</v>
      </c>
      <c r="S95" s="113">
        <v>0</v>
      </c>
      <c r="T95" s="114">
        <f>S95*$B$63</f>
        <v>0</v>
      </c>
      <c r="U95" s="113">
        <v>0</v>
      </c>
      <c r="V95" s="114">
        <f>U95*$B$63</f>
        <v>0</v>
      </c>
      <c r="W95" s="113">
        <v>0</v>
      </c>
      <c r="X95" s="114">
        <f>W95*B95</f>
        <v>0</v>
      </c>
      <c r="Y95" s="113"/>
      <c r="Z95" s="114">
        <f>Y95*B95</f>
        <v>0</v>
      </c>
      <c r="AB95" s="99"/>
      <c r="AC95" s="123"/>
    </row>
    <row r="96" spans="1:29" s="1" customFormat="1" ht="17.25" customHeight="1" thickBot="1" x14ac:dyDescent="0.2">
      <c r="A96" s="112"/>
      <c r="B96" s="182"/>
      <c r="C96" s="113">
        <v>0</v>
      </c>
      <c r="D96" s="114">
        <f>C96*$B$68</f>
        <v>0</v>
      </c>
      <c r="E96" s="113">
        <v>0</v>
      </c>
      <c r="F96" s="114">
        <f>E96*$B$63</f>
        <v>0</v>
      </c>
      <c r="G96" s="113">
        <v>0</v>
      </c>
      <c r="H96" s="114">
        <f>G96*$B$63</f>
        <v>0</v>
      </c>
      <c r="I96" s="113">
        <v>0</v>
      </c>
      <c r="J96" s="114">
        <f>I96*$B$63</f>
        <v>0</v>
      </c>
      <c r="K96" s="113">
        <v>0</v>
      </c>
      <c r="L96" s="114">
        <f>K96*$B$63</f>
        <v>0</v>
      </c>
      <c r="M96" s="113">
        <v>0</v>
      </c>
      <c r="N96" s="114">
        <f>M96*$B$63</f>
        <v>0</v>
      </c>
      <c r="O96" s="113">
        <v>0</v>
      </c>
      <c r="P96" s="114">
        <f>O96*$B$63</f>
        <v>0</v>
      </c>
      <c r="Q96" s="113">
        <v>0</v>
      </c>
      <c r="R96" s="114">
        <f>Q96*$B$63</f>
        <v>0</v>
      </c>
      <c r="S96" s="113">
        <v>0</v>
      </c>
      <c r="T96" s="114">
        <f>S96*$B$63</f>
        <v>0</v>
      </c>
      <c r="U96" s="113">
        <v>0</v>
      </c>
      <c r="V96" s="114">
        <f>U96*$B$63</f>
        <v>0</v>
      </c>
      <c r="W96" s="113"/>
      <c r="X96" s="114">
        <f>W96*B96</f>
        <v>0</v>
      </c>
      <c r="Y96" s="113">
        <v>0</v>
      </c>
      <c r="Z96" s="114">
        <f>Y96*B96</f>
        <v>0</v>
      </c>
      <c r="AB96" s="99"/>
      <c r="AC96" s="123"/>
    </row>
    <row r="97" spans="1:28" ht="14" x14ac:dyDescent="0.15">
      <c r="A97" s="134" t="s">
        <v>13</v>
      </c>
      <c r="B97" s="135"/>
      <c r="C97" s="120"/>
      <c r="D97" s="121">
        <f>SUM(D28:D96)</f>
        <v>220</v>
      </c>
      <c r="E97" s="120"/>
      <c r="F97" s="121" t="e">
        <f>SUM(F26:F72)</f>
        <v>#REF!</v>
      </c>
      <c r="G97" s="120"/>
      <c r="H97" s="121" t="e">
        <f>SUM(H26:H72)</f>
        <v>#REF!</v>
      </c>
      <c r="I97" s="120"/>
      <c r="J97" s="121" t="e">
        <f>SUM(J26:J72)</f>
        <v>#REF!</v>
      </c>
      <c r="K97" s="120"/>
      <c r="L97" s="121" t="e">
        <f>SUM(L26:L72)</f>
        <v>#REF!</v>
      </c>
      <c r="M97" s="120"/>
      <c r="N97" s="121" t="e">
        <f>SUM(N26:N72)</f>
        <v>#REF!</v>
      </c>
      <c r="O97" s="120"/>
      <c r="P97" s="121" t="e">
        <f>SUM(P26:P72)</f>
        <v>#REF!</v>
      </c>
      <c r="Q97" s="120"/>
      <c r="R97" s="121" t="e">
        <f>SUM(R26:R72)</f>
        <v>#REF!</v>
      </c>
      <c r="S97" s="120"/>
      <c r="T97" s="121" t="e">
        <f>SUM(T26:T72)</f>
        <v>#REF!</v>
      </c>
      <c r="U97" s="120"/>
      <c r="V97" s="121" t="e">
        <f>SUM(V26:V72)</f>
        <v>#REF!</v>
      </c>
      <c r="W97" s="120"/>
      <c r="X97" s="121">
        <f>SUM(X28:X96)</f>
        <v>0</v>
      </c>
      <c r="Y97" s="120"/>
      <c r="Z97" s="121">
        <f>SUM(Z28:Z96)</f>
        <v>0</v>
      </c>
      <c r="AB97" s="183"/>
    </row>
    <row r="98" spans="1:28" ht="14" x14ac:dyDescent="0.15">
      <c r="A98" s="136" t="s">
        <v>14</v>
      </c>
      <c r="B98" s="132"/>
      <c r="C98" s="113"/>
      <c r="D98" s="114">
        <f>D97+D25</f>
        <v>310.30099000000001</v>
      </c>
      <c r="E98" s="113"/>
      <c r="F98" s="114" t="e">
        <f>SUM(F97,F25)</f>
        <v>#REF!</v>
      </c>
      <c r="G98" s="113"/>
      <c r="H98" s="114" t="e">
        <f>SUM(H97,H25)</f>
        <v>#REF!</v>
      </c>
      <c r="I98" s="113"/>
      <c r="J98" s="114" t="e">
        <f>SUM(J97,J25)</f>
        <v>#REF!</v>
      </c>
      <c r="K98" s="113"/>
      <c r="L98" s="114" t="e">
        <f>SUM(L97,L25)</f>
        <v>#REF!</v>
      </c>
      <c r="M98" s="113"/>
      <c r="N98" s="114" t="e">
        <f>SUM(N97,N25)</f>
        <v>#REF!</v>
      </c>
      <c r="O98" s="113"/>
      <c r="P98" s="114" t="e">
        <f>SUM(P97,P25)</f>
        <v>#REF!</v>
      </c>
      <c r="Q98" s="113"/>
      <c r="R98" s="114" t="e">
        <f>SUM(R97,R25)</f>
        <v>#REF!</v>
      </c>
      <c r="S98" s="113"/>
      <c r="T98" s="114" t="e">
        <f>SUM(T97,T25)</f>
        <v>#REF!</v>
      </c>
      <c r="U98" s="113"/>
      <c r="V98" s="114" t="e">
        <f>SUM(V97,V25)</f>
        <v>#REF!</v>
      </c>
      <c r="W98" s="114" t="s">
        <v>0</v>
      </c>
      <c r="X98" s="114">
        <f>X97+X25</f>
        <v>0</v>
      </c>
      <c r="Y98" s="114" t="s">
        <v>0</v>
      </c>
      <c r="Z98" s="114">
        <f>Z97+Z25</f>
        <v>32.214399999999998</v>
      </c>
      <c r="AB98" s="183"/>
    </row>
    <row r="99" spans="1:28" ht="15" thickBot="1" x14ac:dyDescent="0.2">
      <c r="A99" s="137" t="s">
        <v>15</v>
      </c>
      <c r="B99" s="138">
        <v>9.7000000000000003E-2</v>
      </c>
      <c r="C99" s="126"/>
      <c r="D99" s="127">
        <f>D98*$B$99</f>
        <v>30.099196030000002</v>
      </c>
      <c r="E99" s="126"/>
      <c r="F99" s="127" t="e">
        <f>F98*$B$99</f>
        <v>#REF!</v>
      </c>
      <c r="G99" s="126"/>
      <c r="H99" s="127" t="e">
        <f>H98*$B$99</f>
        <v>#REF!</v>
      </c>
      <c r="I99" s="126"/>
      <c r="J99" s="127" t="e">
        <f>J98*$B$99</f>
        <v>#REF!</v>
      </c>
      <c r="K99" s="126"/>
      <c r="L99" s="127" t="e">
        <f>L98*$B$99</f>
        <v>#REF!</v>
      </c>
      <c r="M99" s="126"/>
      <c r="N99" s="127" t="e">
        <f>N98*$B$99</f>
        <v>#REF!</v>
      </c>
      <c r="O99" s="126"/>
      <c r="P99" s="127" t="e">
        <f>P98*$B$99</f>
        <v>#REF!</v>
      </c>
      <c r="Q99" s="126"/>
      <c r="R99" s="127" t="e">
        <f>R98*$B$99</f>
        <v>#REF!</v>
      </c>
      <c r="S99" s="126"/>
      <c r="T99" s="127" t="e">
        <f>T98*$B$99</f>
        <v>#REF!</v>
      </c>
      <c r="U99" s="126"/>
      <c r="V99" s="127" t="e">
        <f>V98*$B$99</f>
        <v>#REF!</v>
      </c>
      <c r="W99" s="126"/>
      <c r="X99" s="127">
        <f>X98*$B$99</f>
        <v>0</v>
      </c>
      <c r="Y99" s="126"/>
      <c r="Z99" s="127">
        <f>Z98*$B$99</f>
        <v>3.1247967999999999</v>
      </c>
      <c r="AB99" s="183"/>
    </row>
    <row r="100" spans="1:28" ht="14" x14ac:dyDescent="0.15">
      <c r="A100" s="134" t="s">
        <v>16</v>
      </c>
      <c r="B100" s="151"/>
      <c r="C100" s="120"/>
      <c r="D100" s="121">
        <f>D98+D99</f>
        <v>340.40018602999999</v>
      </c>
      <c r="E100" s="120"/>
      <c r="F100" s="121" t="e">
        <f>F98+F99</f>
        <v>#REF!</v>
      </c>
      <c r="G100" s="120"/>
      <c r="H100" s="121" t="e">
        <f>H98+H99</f>
        <v>#REF!</v>
      </c>
      <c r="I100" s="120"/>
      <c r="J100" s="121" t="e">
        <f>J98+J99</f>
        <v>#REF!</v>
      </c>
      <c r="K100" s="120"/>
      <c r="L100" s="121" t="e">
        <f>L98+L99</f>
        <v>#REF!</v>
      </c>
      <c r="M100" s="120"/>
      <c r="N100" s="121" t="e">
        <f>N98+N99</f>
        <v>#REF!</v>
      </c>
      <c r="O100" s="120"/>
      <c r="P100" s="121" t="e">
        <f>P98+P99</f>
        <v>#REF!</v>
      </c>
      <c r="Q100" s="120"/>
      <c r="R100" s="121" t="e">
        <f>R98+R99</f>
        <v>#REF!</v>
      </c>
      <c r="S100" s="120"/>
      <c r="T100" s="121" t="e">
        <f>T98+T99</f>
        <v>#REF!</v>
      </c>
      <c r="U100" s="120"/>
      <c r="V100" s="121" t="e">
        <f>V98+V99</f>
        <v>#REF!</v>
      </c>
      <c r="W100" s="120"/>
      <c r="X100" s="121">
        <f>X98+X99</f>
        <v>0</v>
      </c>
      <c r="Y100" s="120"/>
      <c r="Z100" s="121">
        <f>Z98+Z99</f>
        <v>35.339196799999996</v>
      </c>
      <c r="AA100" s="2"/>
      <c r="AB100" s="183"/>
    </row>
    <row r="101" spans="1:28" ht="15.75" hidden="1" customHeight="1" thickBot="1" x14ac:dyDescent="0.2">
      <c r="A101" s="152"/>
      <c r="B101" s="139"/>
      <c r="C101" s="140"/>
      <c r="D101" s="141"/>
      <c r="E101" s="140"/>
      <c r="F101" s="141"/>
      <c r="G101" s="140"/>
      <c r="H101" s="141"/>
      <c r="I101" s="140"/>
      <c r="J101" s="141"/>
      <c r="K101" s="140"/>
      <c r="L101" s="141"/>
      <c r="M101" s="140"/>
      <c r="N101" s="141"/>
      <c r="O101" s="140"/>
      <c r="P101" s="141"/>
      <c r="Q101" s="140"/>
      <c r="R101" s="141"/>
      <c r="S101" s="140"/>
      <c r="T101" s="141"/>
      <c r="U101" s="140"/>
      <c r="V101" s="141"/>
      <c r="W101" s="140"/>
      <c r="X101" s="141"/>
      <c r="Y101" s="140"/>
      <c r="Z101" s="141"/>
      <c r="AB101" s="183"/>
    </row>
    <row r="102" spans="1:28" ht="15" hidden="1" customHeight="1" x14ac:dyDescent="0.15">
      <c r="A102" s="136" t="s">
        <v>34</v>
      </c>
      <c r="B102" s="133">
        <v>0</v>
      </c>
      <c r="C102" s="113"/>
      <c r="D102" s="114">
        <f>D100*$B$102</f>
        <v>0</v>
      </c>
      <c r="E102" s="113"/>
      <c r="F102" s="114" t="e">
        <f>F100*$B$102</f>
        <v>#REF!</v>
      </c>
      <c r="G102" s="113"/>
      <c r="H102" s="114" t="e">
        <f>H100*$B$102</f>
        <v>#REF!</v>
      </c>
      <c r="I102" s="113"/>
      <c r="J102" s="114" t="e">
        <f>J100*$B$102</f>
        <v>#REF!</v>
      </c>
      <c r="K102" s="113"/>
      <c r="L102" s="114" t="e">
        <f>L100*$B$102</f>
        <v>#REF!</v>
      </c>
      <c r="M102" s="113"/>
      <c r="N102" s="114" t="e">
        <f>N100*$B$102</f>
        <v>#REF!</v>
      </c>
      <c r="O102" s="113"/>
      <c r="P102" s="114" t="e">
        <f>P100*$B$102</f>
        <v>#REF!</v>
      </c>
      <c r="Q102" s="113"/>
      <c r="R102" s="114" t="e">
        <f>R100*$B$102</f>
        <v>#REF!</v>
      </c>
      <c r="S102" s="113"/>
      <c r="T102" s="114" t="e">
        <f>T100*$B$102</f>
        <v>#REF!</v>
      </c>
      <c r="U102" s="113"/>
      <c r="V102" s="114" t="e">
        <f>V100*$B$102</f>
        <v>#REF!</v>
      </c>
      <c r="W102" s="113"/>
      <c r="X102" s="114">
        <f>X100*$B$102</f>
        <v>0</v>
      </c>
      <c r="Y102" s="113"/>
      <c r="Z102" s="114">
        <f>Z100*$B$102</f>
        <v>0</v>
      </c>
      <c r="AB102" s="183"/>
    </row>
    <row r="103" spans="1:28" ht="15" hidden="1" customHeight="1" x14ac:dyDescent="0.15">
      <c r="A103" s="136"/>
      <c r="B103" s="132"/>
      <c r="C103" s="113"/>
      <c r="D103" s="114"/>
      <c r="E103" s="113"/>
      <c r="F103" s="114"/>
      <c r="G103" s="113"/>
      <c r="H103" s="114"/>
      <c r="I103" s="113"/>
      <c r="J103" s="114"/>
      <c r="K103" s="113"/>
      <c r="L103" s="114"/>
      <c r="M103" s="113"/>
      <c r="N103" s="114"/>
      <c r="O103" s="113"/>
      <c r="P103" s="114"/>
      <c r="Q103" s="113"/>
      <c r="R103" s="114"/>
      <c r="S103" s="113"/>
      <c r="T103" s="114"/>
      <c r="U103" s="113"/>
      <c r="V103" s="114"/>
      <c r="W103" s="113"/>
      <c r="X103" s="114"/>
      <c r="Y103" s="113"/>
      <c r="Z103" s="114"/>
      <c r="AB103" s="183"/>
    </row>
    <row r="104" spans="1:28" ht="15.75" hidden="1" customHeight="1" thickBot="1" x14ac:dyDescent="0.2">
      <c r="A104" s="136" t="s">
        <v>17</v>
      </c>
      <c r="B104" s="132" t="s">
        <v>0</v>
      </c>
      <c r="C104" s="113"/>
      <c r="D104" s="142">
        <f>SUM(D100:D102)</f>
        <v>340.40018602999999</v>
      </c>
      <c r="E104" s="143"/>
      <c r="F104" s="142" t="e">
        <f>SUM(F100:F102)</f>
        <v>#REF!</v>
      </c>
      <c r="G104" s="143"/>
      <c r="H104" s="142" t="e">
        <f>SUM(H100:H102)</f>
        <v>#REF!</v>
      </c>
      <c r="I104" s="143"/>
      <c r="J104" s="142" t="e">
        <f>SUM(J100:J102)</f>
        <v>#REF!</v>
      </c>
      <c r="K104" s="143"/>
      <c r="L104" s="142" t="e">
        <f>SUM(L100:L102)</f>
        <v>#REF!</v>
      </c>
      <c r="M104" s="143"/>
      <c r="N104" s="142" t="e">
        <f>SUM(N100:N102)</f>
        <v>#REF!</v>
      </c>
      <c r="O104" s="143"/>
      <c r="P104" s="142" t="e">
        <f>SUM(P100:P102)</f>
        <v>#REF!</v>
      </c>
      <c r="Q104" s="143"/>
      <c r="R104" s="142" t="e">
        <f>SUM(R100:R102)</f>
        <v>#REF!</v>
      </c>
      <c r="S104" s="143"/>
      <c r="T104" s="142" t="e">
        <f>SUM(T100:T102)</f>
        <v>#REF!</v>
      </c>
      <c r="U104" s="143"/>
      <c r="V104" s="142" t="e">
        <f>SUM(V100:V102)</f>
        <v>#REF!</v>
      </c>
      <c r="W104" s="143"/>
      <c r="X104" s="142">
        <f>SUM(X100:X102)</f>
        <v>0</v>
      </c>
      <c r="Y104" s="143"/>
      <c r="Z104" s="142">
        <f>SUM(Z100:Z102)</f>
        <v>35.339196799999996</v>
      </c>
      <c r="AB104" s="183"/>
    </row>
    <row r="105" spans="1:28" ht="15.75" hidden="1" customHeight="1" thickBot="1" x14ac:dyDescent="0.2">
      <c r="A105" s="153"/>
      <c r="B105" s="144"/>
      <c r="C105" s="144"/>
      <c r="D105" s="145"/>
      <c r="E105" s="144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4"/>
      <c r="X105" s="145"/>
      <c r="Y105" s="144"/>
      <c r="Z105" s="145"/>
      <c r="AB105" s="183"/>
    </row>
    <row r="106" spans="1:28" ht="15" hidden="1" customHeight="1" x14ac:dyDescent="0.15">
      <c r="A106" s="153" t="s">
        <v>35</v>
      </c>
      <c r="B106" s="147">
        <v>0</v>
      </c>
      <c r="C106" s="144"/>
      <c r="D106" s="145">
        <f>D104*$B$106</f>
        <v>0</v>
      </c>
      <c r="E106" s="144"/>
      <c r="F106" s="145" t="e">
        <f>F104*$B$106</f>
        <v>#REF!</v>
      </c>
      <c r="G106" s="146"/>
      <c r="H106" s="145" t="e">
        <f>H104*$B$106</f>
        <v>#REF!</v>
      </c>
      <c r="I106" s="146"/>
      <c r="J106" s="145" t="e">
        <f>J104*$B$106</f>
        <v>#REF!</v>
      </c>
      <c r="K106" s="146"/>
      <c r="L106" s="145" t="e">
        <f>L104*$B$106</f>
        <v>#REF!</v>
      </c>
      <c r="M106" s="146"/>
      <c r="N106" s="145" t="e">
        <f>N104*$B$106</f>
        <v>#REF!</v>
      </c>
      <c r="O106" s="146"/>
      <c r="P106" s="145" t="e">
        <f>P104*$B$106</f>
        <v>#REF!</v>
      </c>
      <c r="Q106" s="146"/>
      <c r="R106" s="145" t="e">
        <f>R104*$B$106</f>
        <v>#REF!</v>
      </c>
      <c r="S106" s="146"/>
      <c r="T106" s="145" t="e">
        <f>T104*$B$106</f>
        <v>#REF!</v>
      </c>
      <c r="U106" s="146"/>
      <c r="V106" s="145" t="e">
        <f>V104*$B$106</f>
        <v>#REF!</v>
      </c>
      <c r="W106" s="144"/>
      <c r="X106" s="145">
        <f>X104*$B$106</f>
        <v>0</v>
      </c>
      <c r="Y106" s="144"/>
      <c r="Z106" s="145">
        <f>Z104*$B$106</f>
        <v>0</v>
      </c>
      <c r="AB106" s="183"/>
    </row>
    <row r="107" spans="1:28" ht="15" hidden="1" customHeight="1" x14ac:dyDescent="0.15">
      <c r="A107" s="153"/>
      <c r="B107" s="144"/>
      <c r="C107" s="144"/>
      <c r="D107" s="145"/>
      <c r="E107" s="144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4"/>
      <c r="X107" s="145"/>
      <c r="Y107" s="144"/>
      <c r="Z107" s="145"/>
      <c r="AB107" s="183"/>
    </row>
    <row r="108" spans="1:28" ht="15" hidden="1" customHeight="1" x14ac:dyDescent="0.15">
      <c r="A108" s="154" t="s">
        <v>20</v>
      </c>
      <c r="B108" s="147">
        <v>0</v>
      </c>
      <c r="C108" s="144"/>
      <c r="D108" s="145">
        <f>D104*$B$108</f>
        <v>0</v>
      </c>
      <c r="E108" s="149"/>
      <c r="F108" s="145" t="e">
        <f>F104*$B$108</f>
        <v>#REF!</v>
      </c>
      <c r="G108" s="149"/>
      <c r="H108" s="145" t="e">
        <f>H104*$B$108</f>
        <v>#REF!</v>
      </c>
      <c r="I108" s="149"/>
      <c r="J108" s="145" t="e">
        <f>J104*$B$108</f>
        <v>#REF!</v>
      </c>
      <c r="K108" s="149"/>
      <c r="L108" s="145" t="e">
        <f>L104*$B$108</f>
        <v>#REF!</v>
      </c>
      <c r="M108" s="149"/>
      <c r="N108" s="145" t="e">
        <f>N104*$B$108</f>
        <v>#REF!</v>
      </c>
      <c r="O108" s="149"/>
      <c r="P108" s="145" t="e">
        <f>P104*$B$108</f>
        <v>#REF!</v>
      </c>
      <c r="Q108" s="149"/>
      <c r="R108" s="145" t="e">
        <f>R104*$B$108</f>
        <v>#REF!</v>
      </c>
      <c r="S108" s="149"/>
      <c r="T108" s="145" t="e">
        <f>T104*$B$108</f>
        <v>#REF!</v>
      </c>
      <c r="U108" s="145"/>
      <c r="V108" s="145" t="e">
        <f t="shared" ref="V108" si="50">V104*$B$108</f>
        <v>#REF!</v>
      </c>
      <c r="W108" s="149"/>
      <c r="X108" s="145">
        <f>X104*$B$108</f>
        <v>0</v>
      </c>
      <c r="Y108" s="149"/>
      <c r="Z108" s="145">
        <f>Z104*$B$108</f>
        <v>0</v>
      </c>
      <c r="AB108" s="183"/>
    </row>
    <row r="109" spans="1:28" ht="15" hidden="1" customHeight="1" x14ac:dyDescent="0.15">
      <c r="A109" s="154"/>
      <c r="B109" s="148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B109" s="183"/>
    </row>
    <row r="110" spans="1:28" ht="14" x14ac:dyDescent="0.15">
      <c r="A110" s="155" t="s">
        <v>31</v>
      </c>
      <c r="B110" s="150">
        <v>0.1</v>
      </c>
      <c r="C110" s="144"/>
      <c r="D110" s="170">
        <f>D100*B110</f>
        <v>34.040018603</v>
      </c>
      <c r="E110" s="171"/>
      <c r="F110" s="170" t="e">
        <f>SUM(F108,F106,F104,)</f>
        <v>#REF!</v>
      </c>
      <c r="G110" s="171"/>
      <c r="H110" s="170" t="e">
        <f>SUM(H108,H106,H104,)</f>
        <v>#REF!</v>
      </c>
      <c r="I110" s="171"/>
      <c r="J110" s="170" t="e">
        <f>SUM(J108,J106,J104,)</f>
        <v>#REF!</v>
      </c>
      <c r="K110" s="171"/>
      <c r="L110" s="170" t="e">
        <f>SUM(L108,L106,L104,)</f>
        <v>#REF!</v>
      </c>
      <c r="M110" s="171"/>
      <c r="N110" s="170" t="e">
        <f>SUM(N108,N106,N104,)</f>
        <v>#REF!</v>
      </c>
      <c r="O110" s="171"/>
      <c r="P110" s="170" t="e">
        <f>SUM(P108,P106,P104,)</f>
        <v>#REF!</v>
      </c>
      <c r="Q110" s="171"/>
      <c r="R110" s="170" t="e">
        <f>SUM(R108,R106,R104,)</f>
        <v>#REF!</v>
      </c>
      <c r="S110" s="171"/>
      <c r="T110" s="170" t="e">
        <f>SUM(T108,T106,T104,)</f>
        <v>#REF!</v>
      </c>
      <c r="U110" s="170"/>
      <c r="V110" s="170" t="e">
        <f>SUM(V108,V106,V104,)</f>
        <v>#REF!</v>
      </c>
      <c r="W110" s="171"/>
      <c r="X110" s="170">
        <f>X100*B110</f>
        <v>0</v>
      </c>
      <c r="Y110" s="171"/>
      <c r="Z110" s="170">
        <f>Z100*B110</f>
        <v>3.5339196799999999</v>
      </c>
      <c r="AB110" s="183"/>
    </row>
    <row r="111" spans="1:28" ht="15" thickBot="1" x14ac:dyDescent="0.2">
      <c r="A111" s="156" t="s">
        <v>32</v>
      </c>
      <c r="B111" s="157"/>
      <c r="C111" s="157"/>
      <c r="D111" s="158">
        <f>D110+D100</f>
        <v>374.44020463300001</v>
      </c>
      <c r="E111" s="157"/>
      <c r="F111" s="157"/>
      <c r="G111" s="157"/>
      <c r="H111" s="157"/>
      <c r="I111" s="157"/>
      <c r="J111" s="157"/>
      <c r="K111" s="157"/>
      <c r="L111" s="157"/>
      <c r="M111" s="158"/>
      <c r="N111" s="157"/>
      <c r="O111" s="157"/>
      <c r="P111" s="157"/>
      <c r="Q111" s="157"/>
      <c r="R111" s="157"/>
      <c r="S111" s="157"/>
      <c r="T111" s="157"/>
      <c r="U111" s="157"/>
      <c r="V111" s="157"/>
      <c r="W111" s="159"/>
      <c r="X111" s="158">
        <f>X110+X100</f>
        <v>0</v>
      </c>
      <c r="Y111" s="159"/>
      <c r="Z111" s="158">
        <f>Z110+Z100</f>
        <v>38.873116479999993</v>
      </c>
      <c r="AB111" s="183"/>
    </row>
    <row r="112" spans="1:28" ht="14" x14ac:dyDescent="0.15">
      <c r="A112" s="160" t="s">
        <v>30</v>
      </c>
      <c r="B112" s="161"/>
      <c r="C112" s="162"/>
      <c r="D112" s="163">
        <f>1*D115</f>
        <v>0</v>
      </c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3"/>
      <c r="S112" s="163"/>
      <c r="T112" s="163"/>
      <c r="U112" s="163"/>
      <c r="V112" s="163"/>
      <c r="W112" s="162"/>
      <c r="X112" s="163">
        <f>X111*X115</f>
        <v>0</v>
      </c>
      <c r="Y112" s="162"/>
      <c r="Z112" s="163">
        <f>Z111*Z115</f>
        <v>0.38873116479999992</v>
      </c>
      <c r="AB112" s="183"/>
    </row>
    <row r="113" spans="1:29" ht="15" thickBot="1" x14ac:dyDescent="0.2">
      <c r="A113" s="164" t="s">
        <v>33</v>
      </c>
      <c r="B113" s="165"/>
      <c r="C113" s="166"/>
      <c r="D113" s="167">
        <f>D112+D111</f>
        <v>374.44020463300001</v>
      </c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7"/>
      <c r="S113" s="167"/>
      <c r="T113" s="167"/>
      <c r="U113" s="167"/>
      <c r="V113" s="167"/>
      <c r="W113" s="166"/>
      <c r="X113" s="167">
        <f>X112+X111</f>
        <v>0</v>
      </c>
      <c r="Y113" s="167"/>
      <c r="Z113" s="167">
        <f t="shared" ref="Z113" si="51">Z112+Z111</f>
        <v>39.261847644799992</v>
      </c>
      <c r="AB113" s="183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99"/>
    </row>
    <row r="115" spans="1:29" ht="14" x14ac:dyDescent="0.15">
      <c r="A115" s="98"/>
      <c r="B115" s="3"/>
      <c r="C115" s="98"/>
      <c r="D115" s="100"/>
      <c r="E115" s="98"/>
      <c r="F115" s="98"/>
      <c r="G115" s="98"/>
      <c r="H115" s="98"/>
      <c r="I115" s="98"/>
      <c r="J115" s="9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98"/>
      <c r="X115" s="100"/>
      <c r="Y115" s="98"/>
      <c r="Z115" s="100">
        <v>0.01</v>
      </c>
      <c r="AB115" s="183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99"/>
      <c r="AC116" s="125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02"/>
    </row>
    <row r="118" spans="1:29" ht="14" x14ac:dyDescent="0.15">
      <c r="A118" s="3"/>
      <c r="B118" s="184"/>
      <c r="C118" s="3"/>
      <c r="D118" s="1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99"/>
    </row>
    <row r="119" spans="1:29" ht="14" x14ac:dyDescent="0.15">
      <c r="A119" s="3"/>
      <c r="B119" s="184"/>
      <c r="C119" s="3"/>
      <c r="D119" s="1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24"/>
    </row>
    <row r="120" spans="1:29" ht="14" x14ac:dyDescent="0.15">
      <c r="A120" s="3"/>
      <c r="B120" s="184"/>
      <c r="C120" s="3"/>
      <c r="D120" s="1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24"/>
    </row>
    <row r="121" spans="1:29" ht="14" x14ac:dyDescent="0.15">
      <c r="A121" s="3"/>
      <c r="B121" s="184"/>
      <c r="C121" s="3"/>
      <c r="D121" s="1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184"/>
      <c r="C122" s="3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184"/>
      <c r="C123" s="3"/>
      <c r="D123" s="1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184"/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184"/>
      <c r="C125" s="3"/>
      <c r="D125" s="1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22"/>
      <c r="D126" s="122"/>
    </row>
    <row r="127" spans="1:29" x14ac:dyDescent="0.15">
      <c r="B127" s="122"/>
      <c r="D127" s="122"/>
    </row>
    <row r="128" spans="1:29" x14ac:dyDescent="0.15">
      <c r="D128" s="122"/>
    </row>
    <row r="129" spans="4:26" x14ac:dyDescent="0.15">
      <c r="D129" s="122"/>
    </row>
    <row r="130" spans="4:26" x14ac:dyDescent="0.15">
      <c r="D130" s="122"/>
    </row>
    <row r="131" spans="4:26" x14ac:dyDescent="0.15">
      <c r="D131" s="122"/>
      <c r="Z131" s="99"/>
    </row>
    <row r="132" spans="4:26" x14ac:dyDescent="0.15">
      <c r="D132" s="122"/>
    </row>
    <row r="133" spans="4:26" x14ac:dyDescent="0.15">
      <c r="D133" s="122"/>
    </row>
    <row r="134" spans="4:26" x14ac:dyDescent="0.15">
      <c r="D134" s="122"/>
    </row>
    <row r="135" spans="4:26" x14ac:dyDescent="0.15">
      <c r="D135" s="122"/>
    </row>
    <row r="136" spans="4:26" x14ac:dyDescent="0.15">
      <c r="D136" s="122"/>
    </row>
    <row r="137" spans="4:26" x14ac:dyDescent="0.15">
      <c r="D137" s="122"/>
    </row>
    <row r="138" spans="4:26" x14ac:dyDescent="0.15">
      <c r="D138" s="122"/>
    </row>
    <row r="139" spans="4:26" x14ac:dyDescent="0.15">
      <c r="D139" s="122"/>
    </row>
    <row r="140" spans="4:26" x14ac:dyDescent="0.15">
      <c r="D140" s="122"/>
    </row>
    <row r="141" spans="4:26" x14ac:dyDescent="0.15">
      <c r="D141" s="122"/>
    </row>
    <row r="142" spans="4:26" x14ac:dyDescent="0.15">
      <c r="D142" s="122"/>
    </row>
    <row r="143" spans="4:26" x14ac:dyDescent="0.15">
      <c r="D143" s="122"/>
    </row>
    <row r="144" spans="4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  <row r="149" spans="4:4" x14ac:dyDescent="0.15">
      <c r="D149" s="122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92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4E4C-318E-F04C-80BA-707C1A75E47C}">
  <sheetPr>
    <pageSetUpPr fitToPage="1"/>
  </sheetPr>
  <dimension ref="A1:AE149"/>
  <sheetViews>
    <sheetView topLeftCell="A16" zoomScaleNormal="100" workbookViewId="0">
      <selection activeCell="D114" sqref="D114:D116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22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197" t="s">
        <v>78</v>
      </c>
      <c r="B2" s="7"/>
      <c r="C2" s="193" t="s">
        <v>75</v>
      </c>
      <c r="D2" s="194"/>
      <c r="E2" s="193" t="s">
        <v>22</v>
      </c>
      <c r="F2" s="194"/>
      <c r="G2" s="193" t="s">
        <v>23</v>
      </c>
      <c r="H2" s="194"/>
      <c r="I2" s="193" t="s">
        <v>24</v>
      </c>
      <c r="J2" s="194"/>
      <c r="K2" s="193" t="s">
        <v>25</v>
      </c>
      <c r="L2" s="194"/>
      <c r="M2" s="193" t="s">
        <v>26</v>
      </c>
      <c r="N2" s="194"/>
      <c r="O2" s="193" t="s">
        <v>27</v>
      </c>
      <c r="P2" s="194"/>
      <c r="Q2" s="193" t="s">
        <v>28</v>
      </c>
      <c r="R2" s="194"/>
      <c r="S2" s="193" t="s">
        <v>29</v>
      </c>
      <c r="T2" s="194"/>
      <c r="U2" s="193" t="s">
        <v>21</v>
      </c>
      <c r="V2" s="194"/>
      <c r="W2" s="193" t="s">
        <v>40</v>
      </c>
      <c r="X2" s="194"/>
      <c r="Y2" s="193" t="s">
        <v>41</v>
      </c>
      <c r="Z2" s="194"/>
    </row>
    <row r="3" spans="1:28" ht="45.75" customHeight="1" thickBot="1" x14ac:dyDescent="0.2">
      <c r="A3" s="198"/>
      <c r="B3" s="8" t="s">
        <v>0</v>
      </c>
      <c r="C3" s="195"/>
      <c r="D3" s="196"/>
      <c r="E3" s="195"/>
      <c r="F3" s="196"/>
      <c r="G3" s="195"/>
      <c r="H3" s="196"/>
      <c r="I3" s="195"/>
      <c r="J3" s="196"/>
      <c r="K3" s="195"/>
      <c r="L3" s="196"/>
      <c r="M3" s="195"/>
      <c r="N3" s="196"/>
      <c r="O3" s="195"/>
      <c r="P3" s="196"/>
      <c r="Q3" s="195"/>
      <c r="R3" s="196"/>
      <c r="S3" s="195"/>
      <c r="T3" s="196"/>
      <c r="U3" s="195"/>
      <c r="V3" s="196"/>
      <c r="W3" s="195"/>
      <c r="X3" s="196"/>
      <c r="Y3" s="195"/>
      <c r="Z3" s="196"/>
    </row>
    <row r="4" spans="1:28" ht="19" thickBot="1" x14ac:dyDescent="0.2">
      <c r="A4" s="192">
        <f>D113</f>
        <v>2268.105572986</v>
      </c>
      <c r="B4" s="8" t="s">
        <v>0</v>
      </c>
      <c r="C4" s="195"/>
      <c r="D4" s="196"/>
      <c r="E4" s="195"/>
      <c r="F4" s="196"/>
      <c r="G4" s="195"/>
      <c r="H4" s="196"/>
      <c r="I4" s="195"/>
      <c r="J4" s="196"/>
      <c r="K4" s="195"/>
      <c r="L4" s="196"/>
      <c r="M4" s="195"/>
      <c r="N4" s="196"/>
      <c r="O4" s="195"/>
      <c r="P4" s="196"/>
      <c r="Q4" s="195"/>
      <c r="R4" s="196"/>
      <c r="S4" s="195"/>
      <c r="T4" s="196"/>
      <c r="U4" s="195"/>
      <c r="V4" s="196"/>
      <c r="W4" s="195"/>
      <c r="X4" s="196"/>
      <c r="Y4" s="195"/>
      <c r="Z4" s="196"/>
    </row>
    <row r="5" spans="1:28" ht="21.75" customHeight="1" thickBot="1" x14ac:dyDescent="0.2">
      <c r="A5" s="9"/>
      <c r="B5" s="8" t="s">
        <v>0</v>
      </c>
      <c r="C5" s="195"/>
      <c r="D5" s="196"/>
      <c r="E5" s="195"/>
      <c r="F5" s="196"/>
      <c r="G5" s="195"/>
      <c r="H5" s="196"/>
      <c r="I5" s="195"/>
      <c r="J5" s="196"/>
      <c r="K5" s="195"/>
      <c r="L5" s="196"/>
      <c r="M5" s="195"/>
      <c r="N5" s="196"/>
      <c r="O5" s="195"/>
      <c r="P5" s="196"/>
      <c r="Q5" s="195"/>
      <c r="R5" s="196"/>
      <c r="S5" s="195"/>
      <c r="T5" s="196"/>
      <c r="U5" s="195"/>
      <c r="V5" s="196"/>
      <c r="W5" s="195"/>
      <c r="X5" s="196"/>
      <c r="Y5" s="195"/>
      <c r="Z5" s="196"/>
    </row>
    <row r="6" spans="1:28" ht="15" thickBot="1" x14ac:dyDescent="0.2">
      <c r="A6" s="10" t="s">
        <v>76</v>
      </c>
      <c r="B6" s="11" t="s">
        <v>0</v>
      </c>
      <c r="C6" s="199" t="s">
        <v>18</v>
      </c>
      <c r="D6" s="200"/>
      <c r="E6" s="199" t="s">
        <v>18</v>
      </c>
      <c r="F6" s="200"/>
      <c r="G6" s="199" t="s">
        <v>18</v>
      </c>
      <c r="H6" s="200"/>
      <c r="I6" s="201" t="s">
        <v>18</v>
      </c>
      <c r="J6" s="200"/>
      <c r="K6" s="201" t="s">
        <v>18</v>
      </c>
      <c r="L6" s="200"/>
      <c r="M6" s="199" t="s">
        <v>18</v>
      </c>
      <c r="N6" s="200"/>
      <c r="O6" s="199" t="s">
        <v>18</v>
      </c>
      <c r="P6" s="200"/>
      <c r="Q6" s="199" t="s">
        <v>18</v>
      </c>
      <c r="R6" s="200"/>
      <c r="S6" s="199" t="s">
        <v>18</v>
      </c>
      <c r="T6" s="200"/>
      <c r="U6" s="199" t="s">
        <v>18</v>
      </c>
      <c r="V6" s="200"/>
      <c r="W6" s="199" t="s">
        <v>18</v>
      </c>
      <c r="X6" s="200"/>
      <c r="Y6" s="199" t="s">
        <v>18</v>
      </c>
      <c r="Z6" s="200"/>
    </row>
    <row r="7" spans="1:28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8" ht="21" thickBot="1" x14ac:dyDescent="0.25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  <c r="AB8" s="190" t="s">
        <v>46</v>
      </c>
    </row>
    <row r="9" spans="1:28" ht="14" x14ac:dyDescent="0.15">
      <c r="A9" s="21" t="s">
        <v>47</v>
      </c>
      <c r="B9" s="22">
        <v>37</v>
      </c>
      <c r="C9" s="23">
        <v>4</v>
      </c>
      <c r="D9" s="24">
        <f>C9*$B$9</f>
        <v>148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  <c r="AB9" s="102"/>
    </row>
    <row r="10" spans="1:28" ht="22.25" customHeight="1" x14ac:dyDescent="0.15">
      <c r="A10" s="25" t="s">
        <v>36</v>
      </c>
      <c r="B10" s="189">
        <v>28.85</v>
      </c>
      <c r="C10" s="23">
        <v>4</v>
      </c>
      <c r="D10" s="24">
        <f>C10*$B$10</f>
        <v>115.4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  <c r="AB10" s="186"/>
    </row>
    <row r="11" spans="1:28" ht="14" x14ac:dyDescent="0.15">
      <c r="A11" s="25" t="s">
        <v>38</v>
      </c>
      <c r="B11" s="26">
        <v>23</v>
      </c>
      <c r="C11" s="23"/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  <c r="AB11" s="102"/>
    </row>
    <row r="12" spans="1:28" ht="14" x14ac:dyDescent="0.15">
      <c r="A12" s="27" t="s">
        <v>62</v>
      </c>
      <c r="B12" s="26">
        <v>16</v>
      </c>
      <c r="C12" s="28">
        <v>4</v>
      </c>
      <c r="D12" s="24">
        <f>C12*$B$12</f>
        <v>64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32</v>
      </c>
      <c r="AB12" s="102"/>
    </row>
    <row r="13" spans="1:28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  <c r="AB13" s="187"/>
    </row>
    <row r="14" spans="1:28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8" ht="14" x14ac:dyDescent="0.15">
      <c r="A15" s="37" t="s">
        <v>48</v>
      </c>
      <c r="B15" s="26">
        <v>35</v>
      </c>
      <c r="C15" s="23">
        <v>0</v>
      </c>
      <c r="D15" s="38">
        <f>B15*C15</f>
        <v>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</row>
    <row r="16" spans="1:28" ht="14" x14ac:dyDescent="0.15">
      <c r="A16" s="37" t="s">
        <v>57</v>
      </c>
      <c r="B16" s="26">
        <v>28</v>
      </c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</row>
    <row r="17" spans="1:28" ht="14" x14ac:dyDescent="0.15">
      <c r="A17" s="37" t="s">
        <v>58</v>
      </c>
      <c r="B17" s="26">
        <v>23</v>
      </c>
      <c r="C17" s="23">
        <v>0</v>
      </c>
      <c r="D17" s="38">
        <f t="shared" si="0"/>
        <v>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</row>
    <row r="18" spans="1:28" ht="14" x14ac:dyDescent="0.15">
      <c r="A18" s="37" t="s">
        <v>70</v>
      </c>
      <c r="B18" s="26">
        <v>28</v>
      </c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</row>
    <row r="19" spans="1:28" ht="14" x14ac:dyDescent="0.15">
      <c r="A19" s="37" t="s">
        <v>7</v>
      </c>
      <c r="B19" s="26">
        <v>28</v>
      </c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  <c r="AB19" s="102"/>
    </row>
    <row r="20" spans="1:28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8" ht="14" x14ac:dyDescent="0.15">
      <c r="A21" s="45" t="s">
        <v>8</v>
      </c>
      <c r="B21" s="26"/>
      <c r="C21" s="46">
        <f t="shared" ref="C21:D21" si="1">SUM(C9:C20)</f>
        <v>12</v>
      </c>
      <c r="D21" s="48">
        <f t="shared" si="1"/>
        <v>327.39999999999998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32</v>
      </c>
      <c r="AB21" s="99"/>
    </row>
    <row r="22" spans="1:28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  <c r="AB22" s="99"/>
    </row>
    <row r="23" spans="1:28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2.1935799999999999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0.21440000000000001</v>
      </c>
      <c r="AB23" s="99"/>
    </row>
    <row r="24" spans="1:28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  <c r="AB24" s="99"/>
    </row>
    <row r="25" spans="1:28" ht="15" thickBot="1" x14ac:dyDescent="0.2">
      <c r="A25" s="61" t="s">
        <v>9</v>
      </c>
      <c r="B25" s="62"/>
      <c r="C25" s="63">
        <f>SUM(C21:C21)</f>
        <v>12</v>
      </c>
      <c r="D25" s="64">
        <f>SUM(D21:D21, D23)</f>
        <v>329.59357999999997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32.214399999999998</v>
      </c>
      <c r="AB25" s="99"/>
    </row>
    <row r="26" spans="1:28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  <c r="AB26" s="99"/>
    </row>
    <row r="27" spans="1:28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  <c r="AB27" s="99"/>
    </row>
    <row r="28" spans="1:28" ht="14" x14ac:dyDescent="0.15">
      <c r="A28" s="72" t="s">
        <v>74</v>
      </c>
      <c r="B28" s="73">
        <v>0</v>
      </c>
      <c r="C28" s="71">
        <v>1</v>
      </c>
      <c r="D28" s="38">
        <f>C28*$B$28</f>
        <v>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  <c r="AB28" s="168"/>
    </row>
    <row r="29" spans="1:28" ht="14" x14ac:dyDescent="0.15">
      <c r="A29" s="72" t="s">
        <v>64</v>
      </c>
      <c r="B29" s="73">
        <v>0</v>
      </c>
      <c r="C29" s="71">
        <v>4</v>
      </c>
      <c r="D29" s="38">
        <f>C29*B29</f>
        <v>0</v>
      </c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  <c r="AB29" s="168"/>
    </row>
    <row r="30" spans="1:28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  <c r="AB30" s="99"/>
    </row>
    <row r="31" spans="1:28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  <c r="AB31" s="99"/>
    </row>
    <row r="32" spans="1:28" ht="16" hidden="1" thickBot="1" x14ac:dyDescent="0.2">
      <c r="A32" s="103" t="s">
        <v>42</v>
      </c>
      <c r="B32" s="188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  <c r="AB32" s="185"/>
    </row>
    <row r="33" spans="1:28" ht="16" hidden="1" thickBot="1" x14ac:dyDescent="0.2">
      <c r="A33" s="103" t="s">
        <v>52</v>
      </c>
      <c r="B33" s="188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  <c r="AB33" s="185"/>
    </row>
    <row r="34" spans="1:28" ht="15" hidden="1" thickBot="1" x14ac:dyDescent="0.2">
      <c r="A34" s="104" t="s">
        <v>54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  <c r="AB34" s="99"/>
    </row>
    <row r="35" spans="1:28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  <c r="AB35" s="99"/>
    </row>
    <row r="36" spans="1:28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  <c r="AB36" s="99"/>
    </row>
    <row r="37" spans="1:28" ht="30.75" hidden="1" customHeight="1" thickBot="1" x14ac:dyDescent="0.2">
      <c r="A37" s="106" t="s">
        <v>50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  <c r="AB37" s="99"/>
    </row>
    <row r="38" spans="1:28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  <c r="AB38" s="99"/>
    </row>
    <row r="39" spans="1:28" ht="14" x14ac:dyDescent="0.15">
      <c r="A39" s="172"/>
      <c r="B39" s="173"/>
      <c r="C39" s="174"/>
      <c r="D39" s="175"/>
      <c r="E39" s="176"/>
      <c r="F39" s="175"/>
      <c r="G39" s="176"/>
      <c r="H39" s="175"/>
      <c r="I39" s="176"/>
      <c r="J39" s="175"/>
      <c r="K39" s="176"/>
      <c r="L39" s="175"/>
      <c r="M39" s="176"/>
      <c r="N39" s="175"/>
      <c r="O39" s="176"/>
      <c r="P39" s="175"/>
      <c r="Q39" s="176"/>
      <c r="R39" s="175"/>
      <c r="S39" s="176"/>
      <c r="T39" s="175"/>
      <c r="U39" s="176"/>
      <c r="V39" s="175"/>
      <c r="W39" s="176"/>
      <c r="X39" s="175"/>
      <c r="Y39" s="176"/>
      <c r="Z39" s="175"/>
      <c r="AB39" s="177"/>
    </row>
    <row r="40" spans="1:28" ht="15" x14ac:dyDescent="0.15">
      <c r="A40" s="89" t="s">
        <v>12</v>
      </c>
      <c r="B40" s="90">
        <v>350</v>
      </c>
      <c r="C40" s="71">
        <v>1</v>
      </c>
      <c r="D40" s="38">
        <f>C40*$B$40</f>
        <v>350</v>
      </c>
      <c r="E40" s="71">
        <v>0</v>
      </c>
      <c r="F40" s="38">
        <f>E40*$B$40</f>
        <v>0</v>
      </c>
      <c r="G40" s="71">
        <v>0</v>
      </c>
      <c r="H40" s="38">
        <f>G40*$B$40</f>
        <v>0</v>
      </c>
      <c r="I40" s="71">
        <v>0</v>
      </c>
      <c r="J40" s="38">
        <f>I40*$B$40</f>
        <v>0</v>
      </c>
      <c r="K40" s="71">
        <v>0</v>
      </c>
      <c r="L40" s="38">
        <f>K40*$B$40</f>
        <v>0</v>
      </c>
      <c r="M40" s="71">
        <v>0</v>
      </c>
      <c r="N40" s="38">
        <f>M40*$B$40</f>
        <v>0</v>
      </c>
      <c r="O40" s="71">
        <v>0</v>
      </c>
      <c r="P40" s="38">
        <f>O40*$B$40</f>
        <v>0</v>
      </c>
      <c r="Q40" s="71">
        <v>0</v>
      </c>
      <c r="R40" s="38">
        <f>Q40*$B$40</f>
        <v>0</v>
      </c>
      <c r="S40" s="71">
        <v>0</v>
      </c>
      <c r="T40" s="38">
        <f>S40*$B$40</f>
        <v>0</v>
      </c>
      <c r="U40" s="71">
        <v>0</v>
      </c>
      <c r="V40" s="38">
        <f>U40*$B$40</f>
        <v>0</v>
      </c>
      <c r="W40" s="71">
        <v>0</v>
      </c>
      <c r="X40" s="24">
        <f>W40*B40</f>
        <v>0</v>
      </c>
      <c r="Y40" s="71">
        <v>0</v>
      </c>
      <c r="Z40" s="38">
        <f>Y40*$B$40</f>
        <v>0</v>
      </c>
      <c r="AB40" s="169" t="s">
        <v>92</v>
      </c>
    </row>
    <row r="41" spans="1:28" ht="14" x14ac:dyDescent="0.15">
      <c r="A41" s="191"/>
      <c r="B41" s="90">
        <v>0</v>
      </c>
      <c r="C41" s="71">
        <v>1</v>
      </c>
      <c r="D41" s="38">
        <f>C41*B41</f>
        <v>0</v>
      </c>
      <c r="E41" s="71">
        <v>0</v>
      </c>
      <c r="F41" s="38">
        <f>E41*$B$40</f>
        <v>0</v>
      </c>
      <c r="G41" s="71">
        <v>0</v>
      </c>
      <c r="H41" s="38">
        <f>G41*$B$40</f>
        <v>0</v>
      </c>
      <c r="I41" s="71">
        <v>0</v>
      </c>
      <c r="J41" s="38">
        <f>I41*$B$40</f>
        <v>0</v>
      </c>
      <c r="K41" s="71">
        <v>0</v>
      </c>
      <c r="L41" s="38">
        <f>K41*$B$40</f>
        <v>0</v>
      </c>
      <c r="M41" s="71">
        <v>0</v>
      </c>
      <c r="N41" s="38">
        <f>M41*$B$40</f>
        <v>0</v>
      </c>
      <c r="O41" s="71">
        <v>0</v>
      </c>
      <c r="P41" s="38">
        <f>O41*$B$40</f>
        <v>0</v>
      </c>
      <c r="Q41" s="71">
        <v>0</v>
      </c>
      <c r="R41" s="38">
        <f>Q41*$B$40</f>
        <v>0</v>
      </c>
      <c r="S41" s="71">
        <v>0</v>
      </c>
      <c r="T41" s="38">
        <f>S41*$B$40</f>
        <v>0</v>
      </c>
      <c r="U41" s="71">
        <v>0</v>
      </c>
      <c r="V41" s="38">
        <f>U41*$B$40</f>
        <v>0</v>
      </c>
      <c r="W41" s="71">
        <v>0</v>
      </c>
      <c r="X41" s="24">
        <f>W41*B41</f>
        <v>0</v>
      </c>
      <c r="Y41" s="71">
        <v>0</v>
      </c>
      <c r="Z41" s="38">
        <f>Y41*$B$40</f>
        <v>0</v>
      </c>
      <c r="AB41" s="169"/>
    </row>
    <row r="42" spans="1:28" ht="15" thickBot="1" x14ac:dyDescent="0.2">
      <c r="A42" s="91"/>
      <c r="B42" s="92"/>
      <c r="C42" s="71"/>
      <c r="D42" s="38"/>
      <c r="E42" s="71"/>
      <c r="F42" s="38"/>
      <c r="G42" s="71"/>
      <c r="H42" s="38"/>
      <c r="I42" s="71"/>
      <c r="J42" s="38"/>
      <c r="K42" s="71"/>
      <c r="L42" s="38"/>
      <c r="M42" s="71"/>
      <c r="N42" s="38"/>
      <c r="O42" s="71"/>
      <c r="P42" s="38"/>
      <c r="Q42" s="71"/>
      <c r="R42" s="38"/>
      <c r="S42" s="71"/>
      <c r="T42" s="38"/>
      <c r="U42" s="71"/>
      <c r="V42" s="38"/>
      <c r="W42" s="71"/>
      <c r="X42" s="38"/>
      <c r="Y42" s="71"/>
      <c r="Z42" s="38"/>
      <c r="AB42" s="99"/>
    </row>
    <row r="43" spans="1:28" ht="13.5" hidden="1" customHeight="1" thickBot="1" x14ac:dyDescent="0.2">
      <c r="A43" s="93"/>
      <c r="B43" s="94">
        <v>0</v>
      </c>
      <c r="C43" s="76">
        <v>0</v>
      </c>
      <c r="D43" s="95">
        <f>+C43*B43</f>
        <v>0</v>
      </c>
      <c r="E43" s="76">
        <v>0</v>
      </c>
      <c r="F43" s="42">
        <f>SUM($B43*E43)</f>
        <v>0</v>
      </c>
      <c r="G43" s="96">
        <v>0</v>
      </c>
      <c r="H43" s="42">
        <f>SUM($B43*G43)</f>
        <v>0</v>
      </c>
      <c r="I43" s="96">
        <v>0</v>
      </c>
      <c r="J43" s="42">
        <f>SUM($B43*I43)</f>
        <v>0</v>
      </c>
      <c r="K43" s="96">
        <v>0</v>
      </c>
      <c r="L43" s="42">
        <f>SUM($B43*K43)</f>
        <v>0</v>
      </c>
      <c r="M43" s="96">
        <v>0</v>
      </c>
      <c r="N43" s="42">
        <f>SUM($B43*M43)</f>
        <v>0</v>
      </c>
      <c r="O43" s="96">
        <v>0</v>
      </c>
      <c r="P43" s="42">
        <f>SUM($B43*O43)</f>
        <v>0</v>
      </c>
      <c r="Q43" s="96">
        <v>0</v>
      </c>
      <c r="R43" s="42">
        <f>SUM($B43*Q43)</f>
        <v>0</v>
      </c>
      <c r="S43" s="96">
        <v>0</v>
      </c>
      <c r="T43" s="42">
        <f>SUM($B43*S43)</f>
        <v>0</v>
      </c>
      <c r="U43" s="96">
        <v>0</v>
      </c>
      <c r="V43" s="42">
        <f>SUM($B43*U43)</f>
        <v>0</v>
      </c>
      <c r="W43" s="76">
        <v>0</v>
      </c>
      <c r="X43" s="95">
        <f>+W43*R43</f>
        <v>0</v>
      </c>
      <c r="Y43" s="76">
        <v>0</v>
      </c>
      <c r="Z43" s="95">
        <f>+Y43*T43</f>
        <v>0</v>
      </c>
      <c r="AB43" s="99"/>
    </row>
    <row r="44" spans="1:28" ht="14" x14ac:dyDescent="0.15">
      <c r="A44" s="107" t="s">
        <v>39</v>
      </c>
      <c r="B44" s="108"/>
      <c r="C44" s="109"/>
      <c r="D44" s="110"/>
      <c r="E44" s="109"/>
      <c r="F44" s="110"/>
      <c r="G44" s="111"/>
      <c r="H44" s="110"/>
      <c r="I44" s="111"/>
      <c r="J44" s="110"/>
      <c r="K44" s="111"/>
      <c r="L44" s="110"/>
      <c r="M44" s="111"/>
      <c r="N44" s="110"/>
      <c r="O44" s="111"/>
      <c r="P44" s="110"/>
      <c r="Q44" s="111"/>
      <c r="R44" s="110"/>
      <c r="S44" s="111"/>
      <c r="T44" s="110"/>
      <c r="U44" s="111"/>
      <c r="V44" s="110"/>
      <c r="W44" s="109"/>
      <c r="X44" s="110"/>
      <c r="Y44" s="109"/>
      <c r="Z44" s="110"/>
      <c r="AB44" s="99"/>
    </row>
    <row r="45" spans="1:28" ht="18.75" customHeight="1" x14ac:dyDescent="0.15">
      <c r="A45" s="112" t="s">
        <v>86</v>
      </c>
      <c r="B45" s="182">
        <v>700</v>
      </c>
      <c r="C45" s="113">
        <v>1</v>
      </c>
      <c r="D45" s="114">
        <f>C45*$B$45</f>
        <v>700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Q45*$B$45</f>
        <v>0</v>
      </c>
      <c r="S45" s="115">
        <v>0</v>
      </c>
      <c r="T45" s="114">
        <f>S45*$B$45</f>
        <v>0</v>
      </c>
      <c r="U45" s="115">
        <v>0</v>
      </c>
      <c r="V45" s="114">
        <f>U45*$B$45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  <c r="AB45" s="168" t="s">
        <v>91</v>
      </c>
    </row>
    <row r="46" spans="1:28" ht="18.75" hidden="1" customHeight="1" x14ac:dyDescent="0.15">
      <c r="A46" s="112"/>
      <c r="B46" s="182"/>
      <c r="C46" s="113">
        <v>1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Q46*$B$45</f>
        <v>0</v>
      </c>
      <c r="S46" s="115">
        <v>0</v>
      </c>
      <c r="T46" s="114">
        <f>S46*$B$45</f>
        <v>0</v>
      </c>
      <c r="U46" s="115">
        <v>0</v>
      </c>
      <c r="V46" s="114">
        <f>U46*$B$45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  <c r="AB46" s="99"/>
    </row>
    <row r="47" spans="1:28" ht="18.75" hidden="1" customHeight="1" x14ac:dyDescent="0.15">
      <c r="A47" s="112"/>
      <c r="B47" s="182"/>
      <c r="C47" s="113">
        <v>0</v>
      </c>
      <c r="D47" s="114">
        <f>C47*B47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0</v>
      </c>
      <c r="X47" s="114">
        <f>W47*$B$47</f>
        <v>0</v>
      </c>
      <c r="Y47" s="113">
        <v>0</v>
      </c>
      <c r="Z47" s="114">
        <f>Y47*$B$47</f>
        <v>0</v>
      </c>
      <c r="AB47" s="99"/>
    </row>
    <row r="48" spans="1:28" ht="18.75" hidden="1" customHeight="1" x14ac:dyDescent="0.15">
      <c r="A48" s="112"/>
      <c r="B48" s="182"/>
      <c r="C48" s="113">
        <v>0</v>
      </c>
      <c r="D48" s="114">
        <f>C48*$B$48</f>
        <v>0</v>
      </c>
      <c r="E48" s="115">
        <v>0</v>
      </c>
      <c r="F48" s="114">
        <f>E48*$B$48</f>
        <v>0</v>
      </c>
      <c r="G48" s="115">
        <v>0</v>
      </c>
      <c r="H48" s="114">
        <f>G48*$B$48</f>
        <v>0</v>
      </c>
      <c r="I48" s="115">
        <v>0</v>
      </c>
      <c r="J48" s="114">
        <f>I48*$B$48</f>
        <v>0</v>
      </c>
      <c r="K48" s="115">
        <v>0</v>
      </c>
      <c r="L48" s="114">
        <f>K48*$B$48</f>
        <v>0</v>
      </c>
      <c r="M48" s="115">
        <v>0</v>
      </c>
      <c r="N48" s="114">
        <f>M48*$B$48</f>
        <v>0</v>
      </c>
      <c r="O48" s="115">
        <v>0</v>
      </c>
      <c r="P48" s="114">
        <f>O48*$B$48</f>
        <v>0</v>
      </c>
      <c r="Q48" s="115">
        <v>0</v>
      </c>
      <c r="R48" s="114">
        <f>Q48*$B$48</f>
        <v>0</v>
      </c>
      <c r="S48" s="115">
        <v>0</v>
      </c>
      <c r="T48" s="114">
        <f>S48*$B$48</f>
        <v>0</v>
      </c>
      <c r="U48" s="115">
        <v>0</v>
      </c>
      <c r="V48" s="114">
        <f>U48*$B$48</f>
        <v>0</v>
      </c>
      <c r="W48" s="113">
        <v>1</v>
      </c>
      <c r="X48" s="114">
        <f>W48*$B$48</f>
        <v>0</v>
      </c>
      <c r="Y48" s="113">
        <v>1</v>
      </c>
      <c r="Z48" s="114">
        <f>Y48*$B$48</f>
        <v>0</v>
      </c>
      <c r="AB48" s="99"/>
    </row>
    <row r="49" spans="1:31" ht="15" x14ac:dyDescent="0.15">
      <c r="A49" s="112" t="s">
        <v>85</v>
      </c>
      <c r="B49" s="182">
        <v>500</v>
      </c>
      <c r="C49" s="113">
        <v>1</v>
      </c>
      <c r="D49" s="114">
        <f>C49*$B$49</f>
        <v>500</v>
      </c>
      <c r="E49" s="115">
        <v>0</v>
      </c>
      <c r="F49" s="114">
        <f>E49*$B$48</f>
        <v>0</v>
      </c>
      <c r="G49" s="115">
        <v>0</v>
      </c>
      <c r="H49" s="114">
        <f>G49*$B$48</f>
        <v>0</v>
      </c>
      <c r="I49" s="115">
        <v>0</v>
      </c>
      <c r="J49" s="114">
        <f>I49*$B$48</f>
        <v>0</v>
      </c>
      <c r="K49" s="115">
        <v>0</v>
      </c>
      <c r="L49" s="114">
        <f>K49*$B$48</f>
        <v>0</v>
      </c>
      <c r="M49" s="115">
        <v>0</v>
      </c>
      <c r="N49" s="114">
        <f>M49*$B$48</f>
        <v>0</v>
      </c>
      <c r="O49" s="115">
        <v>0</v>
      </c>
      <c r="P49" s="114">
        <f>O49*$B$48</f>
        <v>0</v>
      </c>
      <c r="Q49" s="115">
        <v>0</v>
      </c>
      <c r="R49" s="114">
        <f>Q49*$B$48</f>
        <v>0</v>
      </c>
      <c r="S49" s="115">
        <v>0</v>
      </c>
      <c r="T49" s="114">
        <f>S49*$B$48</f>
        <v>0</v>
      </c>
      <c r="U49" s="115">
        <v>0</v>
      </c>
      <c r="V49" s="114">
        <f>U49*$B$48</f>
        <v>0</v>
      </c>
      <c r="W49" s="113">
        <v>0</v>
      </c>
      <c r="X49" s="114">
        <f>W49*$B$48</f>
        <v>0</v>
      </c>
      <c r="Y49" s="113">
        <v>0</v>
      </c>
      <c r="Z49" s="114">
        <f>Y49*$B$48</f>
        <v>0</v>
      </c>
      <c r="AB49" s="168" t="s">
        <v>91</v>
      </c>
      <c r="AE49" s="99"/>
    </row>
    <row r="50" spans="1:31" ht="15" hidden="1" customHeight="1" x14ac:dyDescent="0.15">
      <c r="A50" s="112"/>
      <c r="B50" s="182"/>
      <c r="C50" s="113">
        <v>0</v>
      </c>
      <c r="D50" s="114">
        <f>C50*$B$50</f>
        <v>0</v>
      </c>
      <c r="E50" s="115">
        <v>0</v>
      </c>
      <c r="F50" s="114">
        <f>E50*$B$50</f>
        <v>0</v>
      </c>
      <c r="G50" s="115">
        <v>0</v>
      </c>
      <c r="H50" s="114">
        <f>G50*$B$50</f>
        <v>0</v>
      </c>
      <c r="I50" s="115">
        <v>0</v>
      </c>
      <c r="J50" s="114">
        <f>I50*$B$50</f>
        <v>0</v>
      </c>
      <c r="K50" s="115">
        <v>0</v>
      </c>
      <c r="L50" s="114">
        <f>K50*$B$50</f>
        <v>0</v>
      </c>
      <c r="M50" s="115">
        <v>0</v>
      </c>
      <c r="N50" s="114">
        <f>M50*$B$50</f>
        <v>0</v>
      </c>
      <c r="O50" s="115">
        <v>0</v>
      </c>
      <c r="P50" s="114">
        <f>O50*$B$50</f>
        <v>0</v>
      </c>
      <c r="Q50" s="115">
        <v>0</v>
      </c>
      <c r="R50" s="114">
        <f>Q50*$B$50</f>
        <v>0</v>
      </c>
      <c r="S50" s="115">
        <v>0</v>
      </c>
      <c r="T50" s="114">
        <f>S50*$B$50</f>
        <v>0</v>
      </c>
      <c r="U50" s="115">
        <v>0</v>
      </c>
      <c r="V50" s="114">
        <f>U50*$B$50</f>
        <v>0</v>
      </c>
      <c r="W50" s="113">
        <v>0</v>
      </c>
      <c r="X50" s="114">
        <f>W50*$B$50</f>
        <v>0</v>
      </c>
      <c r="Y50" s="113">
        <v>0</v>
      </c>
      <c r="Z50" s="114">
        <f>Y50*$B$50</f>
        <v>0</v>
      </c>
      <c r="AB50" s="99"/>
    </row>
    <row r="51" spans="1:31" ht="15" hidden="1" customHeight="1" x14ac:dyDescent="0.15">
      <c r="A51" s="112"/>
      <c r="B51" s="182"/>
      <c r="C51" s="113">
        <v>0</v>
      </c>
      <c r="D51" s="114">
        <f>C51*$B$51</f>
        <v>0</v>
      </c>
      <c r="E51" s="115">
        <v>0</v>
      </c>
      <c r="F51" s="114">
        <f>E51*$B$50</f>
        <v>0</v>
      </c>
      <c r="G51" s="115">
        <v>0</v>
      </c>
      <c r="H51" s="114">
        <f>G51*$B$50</f>
        <v>0</v>
      </c>
      <c r="I51" s="115">
        <v>0</v>
      </c>
      <c r="J51" s="114">
        <f>I51*$B$50</f>
        <v>0</v>
      </c>
      <c r="K51" s="115">
        <v>0</v>
      </c>
      <c r="L51" s="114">
        <f>K51*$B$50</f>
        <v>0</v>
      </c>
      <c r="M51" s="115">
        <v>0</v>
      </c>
      <c r="N51" s="114">
        <f>M51*$B$50</f>
        <v>0</v>
      </c>
      <c r="O51" s="115">
        <v>0</v>
      </c>
      <c r="P51" s="114">
        <f>O51*$B$50</f>
        <v>0</v>
      </c>
      <c r="Q51" s="115">
        <v>0</v>
      </c>
      <c r="R51" s="114">
        <f>Q51*$B$50</f>
        <v>0</v>
      </c>
      <c r="S51" s="115">
        <v>0</v>
      </c>
      <c r="T51" s="114">
        <f>S51*$B$50</f>
        <v>0</v>
      </c>
      <c r="U51" s="115">
        <v>0</v>
      </c>
      <c r="V51" s="114">
        <f>U51*$B$50</f>
        <v>0</v>
      </c>
      <c r="W51" s="113">
        <v>0</v>
      </c>
      <c r="X51" s="114">
        <f>W51*$B$50</f>
        <v>0</v>
      </c>
      <c r="Y51" s="113">
        <v>0</v>
      </c>
      <c r="Z51" s="114">
        <f>Y51*$B$50</f>
        <v>0</v>
      </c>
      <c r="AB51" s="99"/>
    </row>
    <row r="52" spans="1:31" ht="15" hidden="1" customHeight="1" x14ac:dyDescent="0.15">
      <c r="A52" s="112"/>
      <c r="B52" s="182"/>
      <c r="C52" s="113">
        <v>0</v>
      </c>
      <c r="D52" s="114">
        <f>C52*$B$52</f>
        <v>0</v>
      </c>
      <c r="E52" s="115">
        <v>0</v>
      </c>
      <c r="F52" s="114">
        <f>E52*$B$52</f>
        <v>0</v>
      </c>
      <c r="G52" s="115">
        <v>0</v>
      </c>
      <c r="H52" s="114">
        <f>G52*$B$52</f>
        <v>0</v>
      </c>
      <c r="I52" s="115">
        <v>0</v>
      </c>
      <c r="J52" s="114">
        <f>I52*$B$52</f>
        <v>0</v>
      </c>
      <c r="K52" s="115">
        <v>0</v>
      </c>
      <c r="L52" s="114">
        <f>K52*$B$52</f>
        <v>0</v>
      </c>
      <c r="M52" s="115">
        <v>0</v>
      </c>
      <c r="N52" s="114">
        <f>M52*$B$52</f>
        <v>0</v>
      </c>
      <c r="O52" s="115">
        <v>0</v>
      </c>
      <c r="P52" s="114">
        <f>O52*$B$52</f>
        <v>0</v>
      </c>
      <c r="Q52" s="115">
        <v>0</v>
      </c>
      <c r="R52" s="114">
        <f>Q52*$B$52</f>
        <v>0</v>
      </c>
      <c r="S52" s="115">
        <v>0</v>
      </c>
      <c r="T52" s="114">
        <f>S52*$B$52</f>
        <v>0</v>
      </c>
      <c r="U52" s="115">
        <v>0</v>
      </c>
      <c r="V52" s="114">
        <f>U52*$B$52</f>
        <v>0</v>
      </c>
      <c r="W52" s="113">
        <v>0</v>
      </c>
      <c r="X52" s="114">
        <f>W52*$B$52</f>
        <v>0</v>
      </c>
      <c r="Y52" s="113">
        <v>0</v>
      </c>
      <c r="Z52" s="114">
        <f>Y52*$B$52</f>
        <v>0</v>
      </c>
      <c r="AB52" s="99"/>
    </row>
    <row r="53" spans="1:31" ht="15" hidden="1" customHeight="1" x14ac:dyDescent="0.15">
      <c r="A53" s="116"/>
      <c r="B53" s="182"/>
      <c r="C53" s="113">
        <v>0</v>
      </c>
      <c r="D53" s="114">
        <f>C53*$B$53</f>
        <v>0</v>
      </c>
      <c r="E53" s="115">
        <v>0</v>
      </c>
      <c r="F53" s="114">
        <f>E53*$B$52</f>
        <v>0</v>
      </c>
      <c r="G53" s="115">
        <v>0</v>
      </c>
      <c r="H53" s="114">
        <f>G53*$B$52</f>
        <v>0</v>
      </c>
      <c r="I53" s="115">
        <v>0</v>
      </c>
      <c r="J53" s="114">
        <f>I53*$B$52</f>
        <v>0</v>
      </c>
      <c r="K53" s="115">
        <v>0</v>
      </c>
      <c r="L53" s="114">
        <f>K53*$B$52</f>
        <v>0</v>
      </c>
      <c r="M53" s="115">
        <v>0</v>
      </c>
      <c r="N53" s="114">
        <f>M53*$B$52</f>
        <v>0</v>
      </c>
      <c r="O53" s="115">
        <v>0</v>
      </c>
      <c r="P53" s="114">
        <f>O53*$B$52</f>
        <v>0</v>
      </c>
      <c r="Q53" s="115">
        <v>0</v>
      </c>
      <c r="R53" s="114">
        <f>Q53*$B$52</f>
        <v>0</v>
      </c>
      <c r="S53" s="115">
        <v>0</v>
      </c>
      <c r="T53" s="114">
        <f>S53*$B$52</f>
        <v>0</v>
      </c>
      <c r="U53" s="115">
        <v>0</v>
      </c>
      <c r="V53" s="114">
        <f>U53*$B$52</f>
        <v>0</v>
      </c>
      <c r="W53" s="113">
        <v>0</v>
      </c>
      <c r="X53" s="114">
        <f>W53*$B$52</f>
        <v>0</v>
      </c>
      <c r="Y53" s="113">
        <v>0</v>
      </c>
      <c r="Z53" s="114">
        <f>Y53*$B$52</f>
        <v>0</v>
      </c>
      <c r="AB53" s="99"/>
    </row>
    <row r="54" spans="1:31" ht="15" hidden="1" customHeight="1" x14ac:dyDescent="0.15">
      <c r="A54" s="116"/>
      <c r="B54" s="182"/>
      <c r="C54" s="113">
        <v>0</v>
      </c>
      <c r="D54" s="114">
        <f>C54*$B$54</f>
        <v>0</v>
      </c>
      <c r="E54" s="115">
        <v>0</v>
      </c>
      <c r="F54" s="114">
        <f>E54*$B$54</f>
        <v>0</v>
      </c>
      <c r="G54" s="115">
        <v>0</v>
      </c>
      <c r="H54" s="114">
        <f>G54*$B$54</f>
        <v>0</v>
      </c>
      <c r="I54" s="115">
        <v>0</v>
      </c>
      <c r="J54" s="114">
        <f>I54*$B$54</f>
        <v>0</v>
      </c>
      <c r="K54" s="115">
        <v>0</v>
      </c>
      <c r="L54" s="114">
        <f>K54*$B$54</f>
        <v>0</v>
      </c>
      <c r="M54" s="115">
        <v>0</v>
      </c>
      <c r="N54" s="114">
        <f>M54*$B$54</f>
        <v>0</v>
      </c>
      <c r="O54" s="115">
        <v>0</v>
      </c>
      <c r="P54" s="114">
        <f>O54*$B$54</f>
        <v>0</v>
      </c>
      <c r="Q54" s="115">
        <v>0</v>
      </c>
      <c r="R54" s="114">
        <f>Q54*$B$54</f>
        <v>0</v>
      </c>
      <c r="S54" s="115">
        <v>0</v>
      </c>
      <c r="T54" s="114">
        <f>S54*$B$54</f>
        <v>0</v>
      </c>
      <c r="U54" s="115">
        <v>0</v>
      </c>
      <c r="V54" s="114">
        <f>U54*$B$54</f>
        <v>0</v>
      </c>
      <c r="W54" s="113">
        <v>0</v>
      </c>
      <c r="X54" s="114">
        <f>W54*$B$54</f>
        <v>0</v>
      </c>
      <c r="Y54" s="113">
        <v>0</v>
      </c>
      <c r="Z54" s="114">
        <f>Y54*$B$54</f>
        <v>0</v>
      </c>
      <c r="AB54" s="99"/>
    </row>
    <row r="55" spans="1:31" ht="15" hidden="1" customHeight="1" x14ac:dyDescent="0.15">
      <c r="A55" s="116"/>
      <c r="B55" s="182"/>
      <c r="C55" s="113">
        <v>0</v>
      </c>
      <c r="D55" s="114">
        <f>C55*$B$54</f>
        <v>0</v>
      </c>
      <c r="E55" s="115">
        <v>0</v>
      </c>
      <c r="F55" s="114">
        <f>E55*$B$54</f>
        <v>0</v>
      </c>
      <c r="G55" s="115">
        <v>0</v>
      </c>
      <c r="H55" s="114">
        <f>G55*$B$54</f>
        <v>0</v>
      </c>
      <c r="I55" s="115">
        <v>0</v>
      </c>
      <c r="J55" s="114">
        <f>I55*$B$54</f>
        <v>0</v>
      </c>
      <c r="K55" s="115">
        <v>0</v>
      </c>
      <c r="L55" s="114">
        <f>K55*$B$54</f>
        <v>0</v>
      </c>
      <c r="M55" s="115">
        <v>0</v>
      </c>
      <c r="N55" s="114">
        <f>M55*$B$54</f>
        <v>0</v>
      </c>
      <c r="O55" s="115">
        <v>0</v>
      </c>
      <c r="P55" s="114">
        <f>O55*$B$54</f>
        <v>0</v>
      </c>
      <c r="Q55" s="115">
        <v>0</v>
      </c>
      <c r="R55" s="114">
        <f>Q55*$B$54</f>
        <v>0</v>
      </c>
      <c r="S55" s="115">
        <v>0</v>
      </c>
      <c r="T55" s="114">
        <f>S55*$B$54</f>
        <v>0</v>
      </c>
      <c r="U55" s="115">
        <v>0</v>
      </c>
      <c r="V55" s="114">
        <f>U55*$B$54</f>
        <v>0</v>
      </c>
      <c r="W55" s="113">
        <v>0</v>
      </c>
      <c r="X55" s="114">
        <f>W55*$B$54</f>
        <v>0</v>
      </c>
      <c r="Y55" s="113">
        <v>0</v>
      </c>
      <c r="Z55" s="114">
        <f>Y55*$B$54</f>
        <v>0</v>
      </c>
      <c r="AB55" s="99"/>
    </row>
    <row r="56" spans="1:31" ht="15" hidden="1" customHeight="1" x14ac:dyDescent="0.15">
      <c r="A56" s="116"/>
      <c r="B56" s="182"/>
      <c r="C56" s="113">
        <v>0</v>
      </c>
      <c r="D56" s="114">
        <f>C56*$B$56</f>
        <v>0</v>
      </c>
      <c r="E56" s="115">
        <v>0</v>
      </c>
      <c r="F56" s="114">
        <f>E56*$B$52</f>
        <v>0</v>
      </c>
      <c r="G56" s="115">
        <v>0</v>
      </c>
      <c r="H56" s="114">
        <f>G56*$B$52</f>
        <v>0</v>
      </c>
      <c r="I56" s="115">
        <v>0</v>
      </c>
      <c r="J56" s="114">
        <f>I56*$B$52</f>
        <v>0</v>
      </c>
      <c r="K56" s="115">
        <v>0</v>
      </c>
      <c r="L56" s="114">
        <f>K56*$B$52</f>
        <v>0</v>
      </c>
      <c r="M56" s="115">
        <v>0</v>
      </c>
      <c r="N56" s="114">
        <f>M56*$B$52</f>
        <v>0</v>
      </c>
      <c r="O56" s="115">
        <v>0</v>
      </c>
      <c r="P56" s="114">
        <f>O56*$B$52</f>
        <v>0</v>
      </c>
      <c r="Q56" s="115">
        <v>0</v>
      </c>
      <c r="R56" s="114">
        <f>Q56*$B$52</f>
        <v>0</v>
      </c>
      <c r="S56" s="115">
        <v>0</v>
      </c>
      <c r="T56" s="114">
        <f>S56*$B$52</f>
        <v>0</v>
      </c>
      <c r="U56" s="115">
        <v>0</v>
      </c>
      <c r="V56" s="114">
        <f>U56*$B$52</f>
        <v>0</v>
      </c>
      <c r="W56" s="113">
        <v>0</v>
      </c>
      <c r="X56" s="114">
        <f>W56*$B$52</f>
        <v>0</v>
      </c>
      <c r="Y56" s="113">
        <v>0</v>
      </c>
      <c r="Z56" s="114">
        <f>Y56*$B$52</f>
        <v>0</v>
      </c>
      <c r="AB56" s="99"/>
    </row>
    <row r="57" spans="1:31" ht="15" hidden="1" customHeight="1" x14ac:dyDescent="0.15">
      <c r="A57" s="116"/>
      <c r="B57" s="182"/>
      <c r="C57" s="113">
        <v>0</v>
      </c>
      <c r="D57" s="114">
        <f>C57*$B$57</f>
        <v>0</v>
      </c>
      <c r="E57" s="115">
        <v>0</v>
      </c>
      <c r="F57" s="114">
        <f>E57*$B$57</f>
        <v>0</v>
      </c>
      <c r="G57" s="115">
        <v>0</v>
      </c>
      <c r="H57" s="114">
        <f>G57*$B$57</f>
        <v>0</v>
      </c>
      <c r="I57" s="115">
        <v>0</v>
      </c>
      <c r="J57" s="114">
        <f>I57*$B$57</f>
        <v>0</v>
      </c>
      <c r="K57" s="115">
        <v>0</v>
      </c>
      <c r="L57" s="114">
        <f>K57*$B$57</f>
        <v>0</v>
      </c>
      <c r="M57" s="115">
        <v>0</v>
      </c>
      <c r="N57" s="114">
        <f>M57*$B$57</f>
        <v>0</v>
      </c>
      <c r="O57" s="115">
        <v>0</v>
      </c>
      <c r="P57" s="114">
        <f>O57*$B$57</f>
        <v>0</v>
      </c>
      <c r="Q57" s="115">
        <v>0</v>
      </c>
      <c r="R57" s="114">
        <f>Q57*$B$57</f>
        <v>0</v>
      </c>
      <c r="S57" s="115">
        <v>0</v>
      </c>
      <c r="T57" s="114">
        <f>S57*$B$57</f>
        <v>0</v>
      </c>
      <c r="U57" s="115">
        <v>0</v>
      </c>
      <c r="V57" s="114">
        <f>U57*$B$57</f>
        <v>0</v>
      </c>
      <c r="W57" s="113">
        <v>0</v>
      </c>
      <c r="X57" s="114">
        <f>W57*$B$57</f>
        <v>0</v>
      </c>
      <c r="Y57" s="113">
        <v>0</v>
      </c>
      <c r="Z57" s="114">
        <f>Y57*$B$57</f>
        <v>0</v>
      </c>
      <c r="AB57" s="99"/>
    </row>
    <row r="58" spans="1:31" ht="15" hidden="1" customHeight="1" x14ac:dyDescent="0.15">
      <c r="A58" s="116"/>
      <c r="B58" s="182"/>
      <c r="C58" s="113">
        <v>0</v>
      </c>
      <c r="D58" s="114">
        <f>C58*$B$58</f>
        <v>0</v>
      </c>
      <c r="E58" s="115">
        <v>0</v>
      </c>
      <c r="F58" s="114">
        <f>E58*$B$57</f>
        <v>0</v>
      </c>
      <c r="G58" s="115">
        <v>0</v>
      </c>
      <c r="H58" s="114">
        <f>G58*$B$57</f>
        <v>0</v>
      </c>
      <c r="I58" s="115">
        <v>0</v>
      </c>
      <c r="J58" s="114">
        <f>I58*$B$57</f>
        <v>0</v>
      </c>
      <c r="K58" s="115">
        <v>0</v>
      </c>
      <c r="L58" s="114">
        <f>K58*$B$57</f>
        <v>0</v>
      </c>
      <c r="M58" s="115">
        <v>0</v>
      </c>
      <c r="N58" s="114">
        <f>M58*$B$57</f>
        <v>0</v>
      </c>
      <c r="O58" s="115">
        <v>0</v>
      </c>
      <c r="P58" s="114">
        <f>O58*$B$57</f>
        <v>0</v>
      </c>
      <c r="Q58" s="115">
        <v>0</v>
      </c>
      <c r="R58" s="114">
        <f>Q58*$B$57</f>
        <v>0</v>
      </c>
      <c r="S58" s="115">
        <v>0</v>
      </c>
      <c r="T58" s="114">
        <f>S58*$B$57</f>
        <v>0</v>
      </c>
      <c r="U58" s="115">
        <v>0</v>
      </c>
      <c r="V58" s="114">
        <f>U58*$B$57</f>
        <v>0</v>
      </c>
      <c r="W58" s="113">
        <v>0</v>
      </c>
      <c r="X58" s="114">
        <f>W58*$B$57</f>
        <v>0</v>
      </c>
      <c r="Y58" s="113">
        <v>0</v>
      </c>
      <c r="Z58" s="114">
        <f>Y58*$B$57</f>
        <v>0</v>
      </c>
      <c r="AB58" s="99"/>
    </row>
    <row r="59" spans="1:31" ht="15" hidden="1" customHeight="1" x14ac:dyDescent="0.15">
      <c r="A59" s="116"/>
      <c r="B59" s="182"/>
      <c r="C59" s="113">
        <v>0</v>
      </c>
      <c r="D59" s="114">
        <f>C59*$B$59</f>
        <v>0</v>
      </c>
      <c r="E59" s="115">
        <v>0</v>
      </c>
      <c r="F59" s="114">
        <f>E59*$B$59</f>
        <v>0</v>
      </c>
      <c r="G59" s="115">
        <v>0</v>
      </c>
      <c r="H59" s="114">
        <f>G59*$B$59</f>
        <v>0</v>
      </c>
      <c r="I59" s="115">
        <v>0</v>
      </c>
      <c r="J59" s="114">
        <f>I59*$B$59</f>
        <v>0</v>
      </c>
      <c r="K59" s="115">
        <v>0</v>
      </c>
      <c r="L59" s="114">
        <f>K59*$B$59</f>
        <v>0</v>
      </c>
      <c r="M59" s="115">
        <v>0</v>
      </c>
      <c r="N59" s="114">
        <f>M59*$B$59</f>
        <v>0</v>
      </c>
      <c r="O59" s="115">
        <v>0</v>
      </c>
      <c r="P59" s="114">
        <f>O59*$B$59</f>
        <v>0</v>
      </c>
      <c r="Q59" s="115">
        <v>0</v>
      </c>
      <c r="R59" s="114">
        <f>Q59*$B$59</f>
        <v>0</v>
      </c>
      <c r="S59" s="115">
        <v>0</v>
      </c>
      <c r="T59" s="114">
        <f>S59*$B$59</f>
        <v>0</v>
      </c>
      <c r="U59" s="115">
        <v>0</v>
      </c>
      <c r="V59" s="114">
        <f>U59*$B$59</f>
        <v>0</v>
      </c>
      <c r="W59" s="113">
        <v>0</v>
      </c>
      <c r="X59" s="114">
        <f>W59*$B$59</f>
        <v>0</v>
      </c>
      <c r="Y59" s="113">
        <v>0</v>
      </c>
      <c r="Z59" s="114">
        <f>Y59*$B$59</f>
        <v>0</v>
      </c>
      <c r="AB59" s="99"/>
    </row>
    <row r="60" spans="1:31" s="1" customFormat="1" ht="15" hidden="1" customHeight="1" x14ac:dyDescent="0.15">
      <c r="A60" s="116"/>
      <c r="B60" s="182"/>
      <c r="C60" s="113">
        <v>0</v>
      </c>
      <c r="D60" s="117">
        <f>C60*$B$60</f>
        <v>0</v>
      </c>
      <c r="E60" s="115">
        <v>0</v>
      </c>
      <c r="F60" s="117">
        <f>E60*$B$60</f>
        <v>0</v>
      </c>
      <c r="G60" s="115">
        <v>0</v>
      </c>
      <c r="H60" s="117">
        <f>G60*$B$60</f>
        <v>0</v>
      </c>
      <c r="I60" s="115">
        <v>0</v>
      </c>
      <c r="J60" s="117">
        <f>I60*$B$60</f>
        <v>0</v>
      </c>
      <c r="K60" s="115">
        <v>0</v>
      </c>
      <c r="L60" s="117">
        <f>K60*$B$60</f>
        <v>0</v>
      </c>
      <c r="M60" s="115">
        <v>0</v>
      </c>
      <c r="N60" s="117">
        <f>M60*$B$60</f>
        <v>0</v>
      </c>
      <c r="O60" s="115">
        <v>0</v>
      </c>
      <c r="P60" s="117">
        <f>O60*$B$60</f>
        <v>0</v>
      </c>
      <c r="Q60" s="115">
        <v>0</v>
      </c>
      <c r="R60" s="117">
        <f>Q60*$B$60</f>
        <v>0</v>
      </c>
      <c r="S60" s="115">
        <v>0</v>
      </c>
      <c r="T60" s="117">
        <f>S60*$B$60</f>
        <v>0</v>
      </c>
      <c r="U60" s="115">
        <v>0</v>
      </c>
      <c r="V60" s="117">
        <f>U60*$B$60</f>
        <v>0</v>
      </c>
      <c r="W60" s="113">
        <v>0</v>
      </c>
      <c r="X60" s="117">
        <f>W60*$B$60</f>
        <v>0</v>
      </c>
      <c r="Y60" s="113">
        <v>0</v>
      </c>
      <c r="Z60" s="117">
        <f>Y60*$B$60</f>
        <v>0</v>
      </c>
      <c r="AB60" s="99"/>
      <c r="AC60" s="123"/>
    </row>
    <row r="61" spans="1:31" s="1" customFormat="1" ht="15" hidden="1" customHeight="1" x14ac:dyDescent="0.15">
      <c r="A61" s="118"/>
      <c r="B61" s="182"/>
      <c r="C61" s="113">
        <v>0</v>
      </c>
      <c r="D61" s="114">
        <f>C61*$B$61</f>
        <v>0</v>
      </c>
      <c r="E61" s="113">
        <v>0</v>
      </c>
      <c r="F61" s="114">
        <f>E61*$B$61</f>
        <v>0</v>
      </c>
      <c r="G61" s="113">
        <v>0</v>
      </c>
      <c r="H61" s="114">
        <f>G61*$B$61</f>
        <v>0</v>
      </c>
      <c r="I61" s="113">
        <v>0</v>
      </c>
      <c r="J61" s="114">
        <f>I61*$B$61</f>
        <v>0</v>
      </c>
      <c r="K61" s="113">
        <v>0</v>
      </c>
      <c r="L61" s="114">
        <f>K61*$B$61</f>
        <v>0</v>
      </c>
      <c r="M61" s="113">
        <v>0</v>
      </c>
      <c r="N61" s="114">
        <f>M61*$B$61</f>
        <v>0</v>
      </c>
      <c r="O61" s="113">
        <v>0</v>
      </c>
      <c r="P61" s="114">
        <f>O61*$B$61</f>
        <v>0</v>
      </c>
      <c r="Q61" s="113">
        <v>0</v>
      </c>
      <c r="R61" s="114">
        <f>Q61*$B$61</f>
        <v>0</v>
      </c>
      <c r="S61" s="113">
        <v>0</v>
      </c>
      <c r="T61" s="114">
        <f>S61*$B$61</f>
        <v>0</v>
      </c>
      <c r="U61" s="113">
        <v>0</v>
      </c>
      <c r="V61" s="114">
        <f>U61*$B$61</f>
        <v>0</v>
      </c>
      <c r="W61" s="113">
        <v>0</v>
      </c>
      <c r="X61" s="114">
        <f>W61*$B$61</f>
        <v>0</v>
      </c>
      <c r="Y61" s="113">
        <v>0</v>
      </c>
      <c r="Z61" s="114">
        <f>Y61*$B$61</f>
        <v>0</v>
      </c>
      <c r="AB61" s="99"/>
      <c r="AC61" s="123"/>
    </row>
    <row r="62" spans="1:31" s="1" customFormat="1" ht="15" hidden="1" customHeight="1" x14ac:dyDescent="0.15">
      <c r="A62" s="119"/>
      <c r="B62" s="182"/>
      <c r="C62" s="113">
        <v>0</v>
      </c>
      <c r="D62" s="117">
        <f>C62*$B$62</f>
        <v>0</v>
      </c>
      <c r="E62" s="113">
        <v>0</v>
      </c>
      <c r="F62" s="117">
        <f>E62*$B$62</f>
        <v>0</v>
      </c>
      <c r="G62" s="113">
        <v>0</v>
      </c>
      <c r="H62" s="117">
        <f>G62*$B$62</f>
        <v>0</v>
      </c>
      <c r="I62" s="113">
        <v>0</v>
      </c>
      <c r="J62" s="117">
        <f>I62*$B$62</f>
        <v>0</v>
      </c>
      <c r="K62" s="113">
        <v>0</v>
      </c>
      <c r="L62" s="117">
        <f>K62*$B$62</f>
        <v>0</v>
      </c>
      <c r="M62" s="113">
        <v>0</v>
      </c>
      <c r="N62" s="117">
        <f>M62*$B$62</f>
        <v>0</v>
      </c>
      <c r="O62" s="113">
        <v>0</v>
      </c>
      <c r="P62" s="117">
        <f>O62*$B$62</f>
        <v>0</v>
      </c>
      <c r="Q62" s="113">
        <v>0</v>
      </c>
      <c r="R62" s="117">
        <f>Q62*$B$62</f>
        <v>0</v>
      </c>
      <c r="S62" s="113">
        <v>0</v>
      </c>
      <c r="T62" s="117">
        <f>S62*$B$62</f>
        <v>0</v>
      </c>
      <c r="U62" s="113">
        <v>0</v>
      </c>
      <c r="V62" s="117">
        <f>U62*$B$62</f>
        <v>0</v>
      </c>
      <c r="W62" s="113">
        <v>0</v>
      </c>
      <c r="X62" s="117">
        <f>W62*$B$62</f>
        <v>0</v>
      </c>
      <c r="Y62" s="113">
        <v>0</v>
      </c>
      <c r="Z62" s="117">
        <f>Y62*$B$62</f>
        <v>0</v>
      </c>
      <c r="AB62" s="99"/>
      <c r="AC62" s="123"/>
    </row>
    <row r="63" spans="1:31" s="1" customFormat="1" ht="15" hidden="1" customHeight="1" x14ac:dyDescent="0.15">
      <c r="A63" s="119"/>
      <c r="B63" s="182"/>
      <c r="C63" s="113">
        <v>0</v>
      </c>
      <c r="D63" s="114">
        <f>C63*$B$63</f>
        <v>0</v>
      </c>
      <c r="E63" s="113">
        <v>0</v>
      </c>
      <c r="F63" s="114">
        <f t="shared" ref="F63:F68" si="6">E63*$B$63</f>
        <v>0</v>
      </c>
      <c r="G63" s="113">
        <v>0</v>
      </c>
      <c r="H63" s="114">
        <f t="shared" ref="H63:H68" si="7">G63*$B$63</f>
        <v>0</v>
      </c>
      <c r="I63" s="113">
        <v>0</v>
      </c>
      <c r="J63" s="114">
        <f t="shared" ref="J63:J68" si="8">I63*$B$63</f>
        <v>0</v>
      </c>
      <c r="K63" s="113">
        <v>0</v>
      </c>
      <c r="L63" s="114">
        <f t="shared" ref="L63:L68" si="9">K63*$B$63</f>
        <v>0</v>
      </c>
      <c r="M63" s="113">
        <v>0</v>
      </c>
      <c r="N63" s="114">
        <f t="shared" ref="N63:N68" si="10">M63*$B$63</f>
        <v>0</v>
      </c>
      <c r="O63" s="113">
        <v>0</v>
      </c>
      <c r="P63" s="114">
        <f t="shared" ref="P63:P68" si="11">O63*$B$63</f>
        <v>0</v>
      </c>
      <c r="Q63" s="113">
        <v>0</v>
      </c>
      <c r="R63" s="114">
        <f t="shared" ref="R63:R68" si="12">Q63*$B$63</f>
        <v>0</v>
      </c>
      <c r="S63" s="113">
        <v>0</v>
      </c>
      <c r="T63" s="114">
        <f t="shared" ref="T63:T68" si="13">S63*$B$63</f>
        <v>0</v>
      </c>
      <c r="U63" s="113">
        <v>0</v>
      </c>
      <c r="V63" s="114">
        <f t="shared" ref="V63:V68" si="14">U63*$B$63</f>
        <v>0</v>
      </c>
      <c r="W63" s="113">
        <v>0</v>
      </c>
      <c r="X63" s="114">
        <f>W63*$B$63</f>
        <v>0</v>
      </c>
      <c r="Y63" s="113">
        <v>0</v>
      </c>
      <c r="Z63" s="114">
        <f>Y63*$B$63</f>
        <v>0</v>
      </c>
      <c r="AB63" s="99"/>
      <c r="AC63" s="123"/>
    </row>
    <row r="64" spans="1:31" s="1" customFormat="1" ht="15" hidden="1" customHeight="1" x14ac:dyDescent="0.15">
      <c r="A64" s="119"/>
      <c r="B64" s="182"/>
      <c r="C64" s="113">
        <v>0</v>
      </c>
      <c r="D64" s="114">
        <f>C64*$B$64</f>
        <v>0</v>
      </c>
      <c r="E64" s="113">
        <v>0</v>
      </c>
      <c r="F64" s="114">
        <f t="shared" si="6"/>
        <v>0</v>
      </c>
      <c r="G64" s="113">
        <v>0</v>
      </c>
      <c r="H64" s="114">
        <f t="shared" si="7"/>
        <v>0</v>
      </c>
      <c r="I64" s="113">
        <v>0</v>
      </c>
      <c r="J64" s="114">
        <f t="shared" si="8"/>
        <v>0</v>
      </c>
      <c r="K64" s="113">
        <v>0</v>
      </c>
      <c r="L64" s="114">
        <f t="shared" si="9"/>
        <v>0</v>
      </c>
      <c r="M64" s="113">
        <v>0</v>
      </c>
      <c r="N64" s="114">
        <f t="shared" si="10"/>
        <v>0</v>
      </c>
      <c r="O64" s="113">
        <v>0</v>
      </c>
      <c r="P64" s="114">
        <f t="shared" si="11"/>
        <v>0</v>
      </c>
      <c r="Q64" s="113">
        <v>0</v>
      </c>
      <c r="R64" s="114">
        <f t="shared" si="12"/>
        <v>0</v>
      </c>
      <c r="S64" s="113">
        <v>0</v>
      </c>
      <c r="T64" s="114">
        <f t="shared" si="13"/>
        <v>0</v>
      </c>
      <c r="U64" s="113">
        <v>0</v>
      </c>
      <c r="V64" s="114">
        <f t="shared" si="14"/>
        <v>0</v>
      </c>
      <c r="W64" s="113">
        <v>0</v>
      </c>
      <c r="X64" s="114">
        <f>W64*$B$63</f>
        <v>0</v>
      </c>
      <c r="Y64" s="113">
        <v>0</v>
      </c>
      <c r="Z64" s="114">
        <f>Y64*$B$63</f>
        <v>0</v>
      </c>
      <c r="AB64" s="99"/>
      <c r="AC64" s="123"/>
    </row>
    <row r="65" spans="1:31" s="1" customFormat="1" ht="15" hidden="1" customHeight="1" x14ac:dyDescent="0.15">
      <c r="A65" s="119"/>
      <c r="B65" s="182"/>
      <c r="C65" s="113">
        <v>0</v>
      </c>
      <c r="D65" s="114">
        <f>C65*$B$65</f>
        <v>0</v>
      </c>
      <c r="E65" s="113">
        <v>0</v>
      </c>
      <c r="F65" s="114">
        <f t="shared" si="6"/>
        <v>0</v>
      </c>
      <c r="G65" s="113">
        <v>0</v>
      </c>
      <c r="H65" s="114">
        <f t="shared" si="7"/>
        <v>0</v>
      </c>
      <c r="I65" s="113">
        <v>0</v>
      </c>
      <c r="J65" s="114">
        <f t="shared" si="8"/>
        <v>0</v>
      </c>
      <c r="K65" s="113">
        <v>0</v>
      </c>
      <c r="L65" s="114">
        <f t="shared" si="9"/>
        <v>0</v>
      </c>
      <c r="M65" s="113">
        <v>0</v>
      </c>
      <c r="N65" s="114">
        <f t="shared" si="10"/>
        <v>0</v>
      </c>
      <c r="O65" s="113">
        <v>0</v>
      </c>
      <c r="P65" s="114">
        <f t="shared" si="11"/>
        <v>0</v>
      </c>
      <c r="Q65" s="113">
        <v>0</v>
      </c>
      <c r="R65" s="114">
        <f t="shared" si="12"/>
        <v>0</v>
      </c>
      <c r="S65" s="113">
        <v>0</v>
      </c>
      <c r="T65" s="114">
        <f t="shared" si="13"/>
        <v>0</v>
      </c>
      <c r="U65" s="113">
        <v>0</v>
      </c>
      <c r="V65" s="114">
        <f t="shared" si="14"/>
        <v>0</v>
      </c>
      <c r="W65" s="113">
        <v>0</v>
      </c>
      <c r="X65" s="114">
        <f>W65*$B$63</f>
        <v>0</v>
      </c>
      <c r="Y65" s="113">
        <v>0</v>
      </c>
      <c r="Z65" s="114">
        <f>Y65*$B$63</f>
        <v>0</v>
      </c>
      <c r="AB65" s="99"/>
      <c r="AC65" s="123"/>
    </row>
    <row r="66" spans="1:31" s="1" customFormat="1" ht="33" customHeight="1" x14ac:dyDescent="0.15">
      <c r="A66" s="112"/>
      <c r="B66" s="182"/>
      <c r="C66" s="113">
        <v>1</v>
      </c>
      <c r="D66" s="114"/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W66*$B$63</f>
        <v>0</v>
      </c>
      <c r="Y66" s="113">
        <v>0</v>
      </c>
      <c r="Z66" s="114">
        <f>Y66*$B$63</f>
        <v>0</v>
      </c>
      <c r="AB66" s="99"/>
      <c r="AC66" s="123"/>
    </row>
    <row r="67" spans="1:31" s="1" customFormat="1" ht="17.25" customHeight="1" x14ac:dyDescent="0.15">
      <c r="A67" s="112"/>
      <c r="B67" s="182"/>
      <c r="C67" s="113">
        <v>0</v>
      </c>
      <c r="D67" s="114">
        <f t="shared" ref="D67" si="15">C67*$B$49</f>
        <v>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>
        <v>0</v>
      </c>
      <c r="X67" s="114">
        <f>W67*B67</f>
        <v>0</v>
      </c>
      <c r="Y67" s="113">
        <v>0</v>
      </c>
      <c r="Z67" s="114">
        <f>Y67*B67</f>
        <v>0</v>
      </c>
      <c r="AB67" s="99"/>
      <c r="AC67" s="123"/>
    </row>
    <row r="68" spans="1:31" s="1" customFormat="1" ht="17.25" hidden="1" customHeight="1" x14ac:dyDescent="0.15">
      <c r="A68" s="112"/>
      <c r="B68" s="182"/>
      <c r="C68" s="113">
        <v>0</v>
      </c>
      <c r="D68" s="114">
        <f t="shared" ref="D68" si="16">C68*$B$50</f>
        <v>0</v>
      </c>
      <c r="E68" s="113">
        <v>0</v>
      </c>
      <c r="F68" s="114">
        <f t="shared" si="6"/>
        <v>0</v>
      </c>
      <c r="G68" s="113">
        <v>0</v>
      </c>
      <c r="H68" s="114">
        <f t="shared" si="7"/>
        <v>0</v>
      </c>
      <c r="I68" s="113">
        <v>0</v>
      </c>
      <c r="J68" s="114">
        <f t="shared" si="8"/>
        <v>0</v>
      </c>
      <c r="K68" s="113">
        <v>0</v>
      </c>
      <c r="L68" s="114">
        <f t="shared" si="9"/>
        <v>0</v>
      </c>
      <c r="M68" s="113">
        <v>0</v>
      </c>
      <c r="N68" s="114">
        <f t="shared" si="10"/>
        <v>0</v>
      </c>
      <c r="O68" s="113">
        <v>0</v>
      </c>
      <c r="P68" s="114">
        <f t="shared" si="11"/>
        <v>0</v>
      </c>
      <c r="Q68" s="113">
        <v>0</v>
      </c>
      <c r="R68" s="114">
        <f t="shared" si="12"/>
        <v>0</v>
      </c>
      <c r="S68" s="113">
        <v>0</v>
      </c>
      <c r="T68" s="114">
        <f t="shared" si="13"/>
        <v>0</v>
      </c>
      <c r="U68" s="113">
        <v>0</v>
      </c>
      <c r="V68" s="114">
        <f t="shared" si="14"/>
        <v>0</v>
      </c>
      <c r="W68" s="113"/>
      <c r="X68" s="114">
        <f>W68*B68</f>
        <v>0</v>
      </c>
      <c r="Y68" s="113">
        <v>0</v>
      </c>
      <c r="Z68" s="114">
        <f>Y68*B68</f>
        <v>0</v>
      </c>
      <c r="AB68" s="99"/>
      <c r="AC68" s="123"/>
    </row>
    <row r="69" spans="1:31" s="1" customFormat="1" ht="13.5" hidden="1" customHeight="1" thickBot="1" x14ac:dyDescent="0.2">
      <c r="A69" s="178"/>
      <c r="B69" s="179"/>
      <c r="C69" s="113">
        <v>0</v>
      </c>
      <c r="D69" s="114">
        <f t="shared" ref="D69" si="17">C69*$B$51</f>
        <v>0</v>
      </c>
      <c r="E69" s="71">
        <v>0</v>
      </c>
      <c r="F69" s="24">
        <f>E69*$B$69</f>
        <v>0</v>
      </c>
      <c r="G69" s="71">
        <v>0</v>
      </c>
      <c r="H69" s="24">
        <f>G69*$B$69</f>
        <v>0</v>
      </c>
      <c r="I69" s="71">
        <v>0</v>
      </c>
      <c r="J69" s="24">
        <f>I69*$B$69</f>
        <v>0</v>
      </c>
      <c r="K69" s="71">
        <v>0</v>
      </c>
      <c r="L69" s="24">
        <f>K69*$B$69</f>
        <v>0</v>
      </c>
      <c r="M69" s="71">
        <v>0</v>
      </c>
      <c r="N69" s="24">
        <f>M69*$B$69</f>
        <v>0</v>
      </c>
      <c r="O69" s="71">
        <v>0</v>
      </c>
      <c r="P69" s="24">
        <f>O69*$B$69</f>
        <v>0</v>
      </c>
      <c r="Q69" s="71">
        <v>0</v>
      </c>
      <c r="R69" s="24">
        <f>Q69*$B$69</f>
        <v>0</v>
      </c>
      <c r="S69" s="71">
        <v>0</v>
      </c>
      <c r="T69" s="24">
        <f>S69*$B$69</f>
        <v>0</v>
      </c>
      <c r="U69" s="71">
        <v>0</v>
      </c>
      <c r="V69" s="24">
        <f>U69*$B$69</f>
        <v>0</v>
      </c>
      <c r="W69" s="71">
        <v>0</v>
      </c>
      <c r="X69" s="24">
        <f>W69*$B$69</f>
        <v>0</v>
      </c>
      <c r="Y69" s="71">
        <v>0</v>
      </c>
      <c r="Z69" s="24">
        <f>Y69*$B$69</f>
        <v>0</v>
      </c>
      <c r="AB69" s="99"/>
      <c r="AC69" s="123"/>
    </row>
    <row r="70" spans="1:31" s="1" customFormat="1" ht="13.5" hidden="1" customHeight="1" thickBot="1" x14ac:dyDescent="0.2">
      <c r="A70" s="178"/>
      <c r="B70" s="179"/>
      <c r="C70" s="113">
        <v>0</v>
      </c>
      <c r="D70" s="114">
        <f t="shared" ref="D70" si="18">C70*$B$52</f>
        <v>0</v>
      </c>
      <c r="E70" s="71">
        <v>0</v>
      </c>
      <c r="F70" s="97">
        <f>E70*$B$70</f>
        <v>0</v>
      </c>
      <c r="G70" s="71">
        <v>0</v>
      </c>
      <c r="H70" s="97">
        <f>G70*$B$70</f>
        <v>0</v>
      </c>
      <c r="I70" s="71">
        <v>0</v>
      </c>
      <c r="J70" s="97">
        <f>I70*$B$70</f>
        <v>0</v>
      </c>
      <c r="K70" s="71">
        <v>0</v>
      </c>
      <c r="L70" s="97">
        <f>K70*$B$70</f>
        <v>0</v>
      </c>
      <c r="M70" s="71">
        <v>0</v>
      </c>
      <c r="N70" s="97">
        <f>M70*$B$70</f>
        <v>0</v>
      </c>
      <c r="O70" s="71">
        <v>0</v>
      </c>
      <c r="P70" s="97">
        <f>O70*$B$70</f>
        <v>0</v>
      </c>
      <c r="Q70" s="71">
        <v>0</v>
      </c>
      <c r="R70" s="97">
        <f>Q70*$B$70</f>
        <v>0</v>
      </c>
      <c r="S70" s="71">
        <v>0</v>
      </c>
      <c r="T70" s="97">
        <f>S70*$B$70</f>
        <v>0</v>
      </c>
      <c r="U70" s="71">
        <v>0</v>
      </c>
      <c r="V70" s="97">
        <f>U70*$B$70</f>
        <v>0</v>
      </c>
      <c r="W70" s="71">
        <v>0</v>
      </c>
      <c r="X70" s="97">
        <f>W70*$B$70</f>
        <v>0</v>
      </c>
      <c r="Y70" s="71">
        <v>0</v>
      </c>
      <c r="Z70" s="97">
        <f>Y70*$B$70</f>
        <v>0</v>
      </c>
      <c r="AB70" s="99"/>
      <c r="AC70" s="123"/>
    </row>
    <row r="71" spans="1:31" s="1" customFormat="1" ht="13.5" hidden="1" customHeight="1" thickBot="1" x14ac:dyDescent="0.2">
      <c r="A71" s="180"/>
      <c r="B71" s="181"/>
      <c r="C71" s="113">
        <v>0</v>
      </c>
      <c r="D71" s="114">
        <f t="shared" ref="D71" si="19">C71*$B$53</f>
        <v>0</v>
      </c>
      <c r="E71" s="71">
        <v>0</v>
      </c>
      <c r="F71" s="24">
        <f>E71*$B$71</f>
        <v>0</v>
      </c>
      <c r="G71" s="71">
        <v>0</v>
      </c>
      <c r="H71" s="24">
        <f>G71*$B$71</f>
        <v>0</v>
      </c>
      <c r="I71" s="71">
        <v>0</v>
      </c>
      <c r="J71" s="24">
        <f>I71*$B$71</f>
        <v>0</v>
      </c>
      <c r="K71" s="71">
        <v>0</v>
      </c>
      <c r="L71" s="24">
        <f>K71*$B$71</f>
        <v>0</v>
      </c>
      <c r="M71" s="71">
        <v>0</v>
      </c>
      <c r="N71" s="24">
        <f>M71*$B$71</f>
        <v>0</v>
      </c>
      <c r="O71" s="71">
        <v>0</v>
      </c>
      <c r="P71" s="24">
        <f>O71*$B$71</f>
        <v>0</v>
      </c>
      <c r="Q71" s="71">
        <v>0</v>
      </c>
      <c r="R71" s="24">
        <f>Q71*$B$71</f>
        <v>0</v>
      </c>
      <c r="S71" s="71">
        <v>0</v>
      </c>
      <c r="T71" s="24">
        <f>S71*$B$71</f>
        <v>0</v>
      </c>
      <c r="U71" s="71">
        <v>0</v>
      </c>
      <c r="V71" s="24">
        <f>U71*$B$71</f>
        <v>0</v>
      </c>
      <c r="W71" s="71">
        <v>0</v>
      </c>
      <c r="X71" s="24">
        <f>W71*$B$71</f>
        <v>0</v>
      </c>
      <c r="Y71" s="71">
        <v>0</v>
      </c>
      <c r="Z71" s="24">
        <f>Y71*$B$71</f>
        <v>0</v>
      </c>
      <c r="AB71" s="99"/>
      <c r="AC71" s="123"/>
    </row>
    <row r="72" spans="1:31" s="1" customFormat="1" ht="13.5" hidden="1" customHeight="1" thickBot="1" x14ac:dyDescent="0.2">
      <c r="A72" s="128"/>
      <c r="B72" s="129"/>
      <c r="C72" s="113">
        <v>0</v>
      </c>
      <c r="D72" s="114">
        <f t="shared" ref="D72:D73" si="20">C72*$B$54</f>
        <v>0</v>
      </c>
      <c r="E72" s="131">
        <v>0</v>
      </c>
      <c r="F72" s="130">
        <f>E72*$B$72</f>
        <v>0</v>
      </c>
      <c r="G72" s="131">
        <v>0</v>
      </c>
      <c r="H72" s="130">
        <f>G72*$B$72</f>
        <v>0</v>
      </c>
      <c r="I72" s="131">
        <v>0</v>
      </c>
      <c r="J72" s="130">
        <f>I72*$B$72</f>
        <v>0</v>
      </c>
      <c r="K72" s="131">
        <v>0</v>
      </c>
      <c r="L72" s="130">
        <f>K72*$B$72</f>
        <v>0</v>
      </c>
      <c r="M72" s="131">
        <v>0</v>
      </c>
      <c r="N72" s="130">
        <f>M72*$B$72</f>
        <v>0</v>
      </c>
      <c r="O72" s="131">
        <v>0</v>
      </c>
      <c r="P72" s="130">
        <f>O72*$B$72</f>
        <v>0</v>
      </c>
      <c r="Q72" s="131">
        <v>0</v>
      </c>
      <c r="R72" s="130">
        <f>Q72*$B$72</f>
        <v>0</v>
      </c>
      <c r="S72" s="131">
        <v>0</v>
      </c>
      <c r="T72" s="130">
        <f>S72*$B$72</f>
        <v>0</v>
      </c>
      <c r="U72" s="131">
        <v>0</v>
      </c>
      <c r="V72" s="130">
        <f>U72*$B$72</f>
        <v>0</v>
      </c>
      <c r="W72" s="76">
        <v>0</v>
      </c>
      <c r="X72" s="130">
        <f>W72*$B$72</f>
        <v>0</v>
      </c>
      <c r="Y72" s="76">
        <v>0</v>
      </c>
      <c r="Z72" s="130">
        <f>Y72*$B$72</f>
        <v>0</v>
      </c>
      <c r="AB72" s="99"/>
      <c r="AC72" s="123"/>
    </row>
    <row r="73" spans="1:31" ht="18.75" hidden="1" customHeight="1" x14ac:dyDescent="0.15">
      <c r="A73" s="112"/>
      <c r="B73" s="182"/>
      <c r="C73" s="113">
        <v>0</v>
      </c>
      <c r="D73" s="114">
        <f t="shared" si="20"/>
        <v>0</v>
      </c>
      <c r="E73" s="115">
        <v>0</v>
      </c>
      <c r="F73" s="114">
        <f>E73*$B$45</f>
        <v>0</v>
      </c>
      <c r="G73" s="115">
        <v>0</v>
      </c>
      <c r="H73" s="114">
        <f>G73*$B$45</f>
        <v>0</v>
      </c>
      <c r="I73" s="115">
        <v>0</v>
      </c>
      <c r="J73" s="114">
        <f>I73*$B$45</f>
        <v>0</v>
      </c>
      <c r="K73" s="115">
        <v>0</v>
      </c>
      <c r="L73" s="114">
        <f>K73*$B$45</f>
        <v>0</v>
      </c>
      <c r="M73" s="115">
        <v>0</v>
      </c>
      <c r="N73" s="114">
        <f>M73*$B$45</f>
        <v>0</v>
      </c>
      <c r="O73" s="115">
        <v>0</v>
      </c>
      <c r="P73" s="114">
        <f>O73*$B$45</f>
        <v>0</v>
      </c>
      <c r="Q73" s="115">
        <v>0</v>
      </c>
      <c r="R73" s="114">
        <f>Q73*$B$45</f>
        <v>0</v>
      </c>
      <c r="S73" s="115">
        <v>0</v>
      </c>
      <c r="T73" s="114">
        <f>S73*$B$45</f>
        <v>0</v>
      </c>
      <c r="U73" s="115">
        <v>0</v>
      </c>
      <c r="V73" s="114">
        <f>U73*$B$45</f>
        <v>0</v>
      </c>
      <c r="W73" s="113">
        <v>0</v>
      </c>
      <c r="X73" s="114">
        <f>W73*$B$45</f>
        <v>0</v>
      </c>
      <c r="Y73" s="113">
        <v>0</v>
      </c>
      <c r="Z73" s="114">
        <f>Y73*$B$45</f>
        <v>0</v>
      </c>
      <c r="AB73" s="99"/>
    </row>
    <row r="74" spans="1:31" ht="18.75" hidden="1" customHeight="1" x14ac:dyDescent="0.15">
      <c r="A74" s="112"/>
      <c r="B74" s="182"/>
      <c r="C74" s="113">
        <v>0</v>
      </c>
      <c r="D74" s="114">
        <f t="shared" ref="D74" si="21">C74*$B$56</f>
        <v>0</v>
      </c>
      <c r="E74" s="115">
        <v>0</v>
      </c>
      <c r="F74" s="114">
        <f>E74*$B$46</f>
        <v>0</v>
      </c>
      <c r="G74" s="115">
        <v>0</v>
      </c>
      <c r="H74" s="114">
        <f>G74*$B$46</f>
        <v>0</v>
      </c>
      <c r="I74" s="115">
        <v>0</v>
      </c>
      <c r="J74" s="114">
        <f>I74*$B$46</f>
        <v>0</v>
      </c>
      <c r="K74" s="115">
        <v>0</v>
      </c>
      <c r="L74" s="114">
        <f>K74*$B$46</f>
        <v>0</v>
      </c>
      <c r="M74" s="115">
        <v>0</v>
      </c>
      <c r="N74" s="114">
        <f>M74*$B$46</f>
        <v>0</v>
      </c>
      <c r="O74" s="115">
        <v>0</v>
      </c>
      <c r="P74" s="114">
        <f>O74*$B$46</f>
        <v>0</v>
      </c>
      <c r="Q74" s="115">
        <v>0</v>
      </c>
      <c r="R74" s="114">
        <f>Q74*$B$45</f>
        <v>0</v>
      </c>
      <c r="S74" s="115">
        <v>0</v>
      </c>
      <c r="T74" s="114">
        <f>S74*$B$45</f>
        <v>0</v>
      </c>
      <c r="U74" s="115">
        <v>0</v>
      </c>
      <c r="V74" s="114">
        <f>U74*$B$45</f>
        <v>0</v>
      </c>
      <c r="W74" s="113">
        <v>0</v>
      </c>
      <c r="X74" s="114">
        <f>W74*$B$46</f>
        <v>0</v>
      </c>
      <c r="Y74" s="113">
        <v>0</v>
      </c>
      <c r="Z74" s="114">
        <f>Y74*$B$46</f>
        <v>0</v>
      </c>
      <c r="AB74" s="99"/>
    </row>
    <row r="75" spans="1:31" ht="18.75" hidden="1" customHeight="1" x14ac:dyDescent="0.15">
      <c r="A75" s="112"/>
      <c r="B75" s="182"/>
      <c r="C75" s="113">
        <v>0</v>
      </c>
      <c r="D75" s="114">
        <f t="shared" ref="D75" si="22">C75*$B$57</f>
        <v>0</v>
      </c>
      <c r="E75" s="115">
        <v>0</v>
      </c>
      <c r="F75" s="114">
        <f>E75*$B$47</f>
        <v>0</v>
      </c>
      <c r="G75" s="115">
        <v>0</v>
      </c>
      <c r="H75" s="114">
        <f>G75*$B$47</f>
        <v>0</v>
      </c>
      <c r="I75" s="115">
        <v>0</v>
      </c>
      <c r="J75" s="114">
        <f>I75*$B$47</f>
        <v>0</v>
      </c>
      <c r="K75" s="115">
        <v>0</v>
      </c>
      <c r="L75" s="114">
        <f>K75*$B$47</f>
        <v>0</v>
      </c>
      <c r="M75" s="115">
        <v>0</v>
      </c>
      <c r="N75" s="114">
        <f>M75*$B$47</f>
        <v>0</v>
      </c>
      <c r="O75" s="115">
        <v>0</v>
      </c>
      <c r="P75" s="114">
        <f>O75*$B$47</f>
        <v>0</v>
      </c>
      <c r="Q75" s="115">
        <v>0</v>
      </c>
      <c r="R75" s="114">
        <f>Q75*$B$47</f>
        <v>0</v>
      </c>
      <c r="S75" s="115">
        <v>0</v>
      </c>
      <c r="T75" s="114">
        <f>S75*$B$47</f>
        <v>0</v>
      </c>
      <c r="U75" s="115">
        <v>0</v>
      </c>
      <c r="V75" s="114">
        <f>U75*$B$47</f>
        <v>0</v>
      </c>
      <c r="W75" s="113">
        <v>0</v>
      </c>
      <c r="X75" s="114">
        <f>W75*$B$47</f>
        <v>0</v>
      </c>
      <c r="Y75" s="113">
        <v>0</v>
      </c>
      <c r="Z75" s="114">
        <f>Y75*$B$47</f>
        <v>0</v>
      </c>
      <c r="AB75" s="99"/>
    </row>
    <row r="76" spans="1:31" ht="18.75" hidden="1" customHeight="1" x14ac:dyDescent="0.15">
      <c r="A76" s="112"/>
      <c r="B76" s="182"/>
      <c r="C76" s="113">
        <v>0</v>
      </c>
      <c r="D76" s="114">
        <f t="shared" ref="D76" si="23">C76*$B$58</f>
        <v>0</v>
      </c>
      <c r="E76" s="115">
        <v>0</v>
      </c>
      <c r="F76" s="114">
        <f>E76*$B$48</f>
        <v>0</v>
      </c>
      <c r="G76" s="115">
        <v>0</v>
      </c>
      <c r="H76" s="114">
        <f>G76*$B$48</f>
        <v>0</v>
      </c>
      <c r="I76" s="115">
        <v>0</v>
      </c>
      <c r="J76" s="114">
        <f>I76*$B$48</f>
        <v>0</v>
      </c>
      <c r="K76" s="115">
        <v>0</v>
      </c>
      <c r="L76" s="114">
        <f>K76*$B$48</f>
        <v>0</v>
      </c>
      <c r="M76" s="115">
        <v>0</v>
      </c>
      <c r="N76" s="114">
        <f>M76*$B$48</f>
        <v>0</v>
      </c>
      <c r="O76" s="115">
        <v>0</v>
      </c>
      <c r="P76" s="114">
        <f>O76*$B$48</f>
        <v>0</v>
      </c>
      <c r="Q76" s="115">
        <v>0</v>
      </c>
      <c r="R76" s="114">
        <f>Q76*$B$48</f>
        <v>0</v>
      </c>
      <c r="S76" s="115">
        <v>0</v>
      </c>
      <c r="T76" s="114">
        <f>S76*$B$48</f>
        <v>0</v>
      </c>
      <c r="U76" s="115">
        <v>0</v>
      </c>
      <c r="V76" s="114">
        <f>U76*$B$48</f>
        <v>0</v>
      </c>
      <c r="W76" s="113">
        <v>1</v>
      </c>
      <c r="X76" s="114">
        <f>W76*$B$48</f>
        <v>0</v>
      </c>
      <c r="Y76" s="113">
        <v>1</v>
      </c>
      <c r="Z76" s="114">
        <f>Y76*$B$48</f>
        <v>0</v>
      </c>
      <c r="AB76" s="99"/>
    </row>
    <row r="77" spans="1:31" ht="14" hidden="1" x14ac:dyDescent="0.15">
      <c r="A77" s="112"/>
      <c r="B77" s="182"/>
      <c r="C77" s="113">
        <v>0</v>
      </c>
      <c r="D77" s="114">
        <f t="shared" ref="D77" si="24">C77*$B$59</f>
        <v>0</v>
      </c>
      <c r="E77" s="115">
        <v>0</v>
      </c>
      <c r="F77" s="114">
        <f>E77*$B$48</f>
        <v>0</v>
      </c>
      <c r="G77" s="115">
        <v>0</v>
      </c>
      <c r="H77" s="114">
        <f>G77*$B$48</f>
        <v>0</v>
      </c>
      <c r="I77" s="115">
        <v>0</v>
      </c>
      <c r="J77" s="114">
        <f>I77*$B$48</f>
        <v>0</v>
      </c>
      <c r="K77" s="115">
        <v>0</v>
      </c>
      <c r="L77" s="114">
        <f>K77*$B$48</f>
        <v>0</v>
      </c>
      <c r="M77" s="115">
        <v>0</v>
      </c>
      <c r="N77" s="114">
        <f>M77*$B$48</f>
        <v>0</v>
      </c>
      <c r="O77" s="115">
        <v>0</v>
      </c>
      <c r="P77" s="114">
        <f>O77*$B$48</f>
        <v>0</v>
      </c>
      <c r="Q77" s="115">
        <v>0</v>
      </c>
      <c r="R77" s="114">
        <f>Q77*$B$48</f>
        <v>0</v>
      </c>
      <c r="S77" s="115">
        <v>0</v>
      </c>
      <c r="T77" s="114">
        <f>S77*$B$48</f>
        <v>0</v>
      </c>
      <c r="U77" s="115">
        <v>0</v>
      </c>
      <c r="V77" s="114">
        <f>U77*$B$48</f>
        <v>0</v>
      </c>
      <c r="W77" s="113">
        <v>0</v>
      </c>
      <c r="X77" s="114">
        <f>W77*$B$48</f>
        <v>0</v>
      </c>
      <c r="Y77" s="113">
        <v>0</v>
      </c>
      <c r="Z77" s="114">
        <f>Y77*$B$48</f>
        <v>0</v>
      </c>
      <c r="AB77" s="99"/>
      <c r="AE77" s="99"/>
    </row>
    <row r="78" spans="1:31" ht="15" hidden="1" customHeight="1" x14ac:dyDescent="0.15">
      <c r="A78" s="112"/>
      <c r="B78" s="182"/>
      <c r="C78" s="113">
        <v>0</v>
      </c>
      <c r="D78" s="117">
        <f t="shared" ref="D78" si="25">C78*$B$60</f>
        <v>0</v>
      </c>
      <c r="E78" s="115">
        <v>0</v>
      </c>
      <c r="F78" s="114">
        <f>E78*$B$50</f>
        <v>0</v>
      </c>
      <c r="G78" s="115">
        <v>0</v>
      </c>
      <c r="H78" s="114">
        <f>G78*$B$50</f>
        <v>0</v>
      </c>
      <c r="I78" s="115">
        <v>0</v>
      </c>
      <c r="J78" s="114">
        <f>I78*$B$50</f>
        <v>0</v>
      </c>
      <c r="K78" s="115">
        <v>0</v>
      </c>
      <c r="L78" s="114">
        <f>K78*$B$50</f>
        <v>0</v>
      </c>
      <c r="M78" s="115">
        <v>0</v>
      </c>
      <c r="N78" s="114">
        <f>M78*$B$50</f>
        <v>0</v>
      </c>
      <c r="O78" s="115">
        <v>0</v>
      </c>
      <c r="P78" s="114">
        <f>O78*$B$50</f>
        <v>0</v>
      </c>
      <c r="Q78" s="115">
        <v>0</v>
      </c>
      <c r="R78" s="114">
        <f>Q78*$B$50</f>
        <v>0</v>
      </c>
      <c r="S78" s="115">
        <v>0</v>
      </c>
      <c r="T78" s="114">
        <f>S78*$B$50</f>
        <v>0</v>
      </c>
      <c r="U78" s="115">
        <v>0</v>
      </c>
      <c r="V78" s="114">
        <f>U78*$B$50</f>
        <v>0</v>
      </c>
      <c r="W78" s="113">
        <v>0</v>
      </c>
      <c r="X78" s="114">
        <f>W78*$B$50</f>
        <v>0</v>
      </c>
      <c r="Y78" s="113">
        <v>0</v>
      </c>
      <c r="Z78" s="114">
        <f>Y78*$B$50</f>
        <v>0</v>
      </c>
      <c r="AB78" s="99"/>
    </row>
    <row r="79" spans="1:31" ht="15" hidden="1" customHeight="1" x14ac:dyDescent="0.15">
      <c r="A79" s="112"/>
      <c r="B79" s="182"/>
      <c r="C79" s="113">
        <v>0</v>
      </c>
      <c r="D79" s="114">
        <f t="shared" ref="D79" si="26">C79*$B$61</f>
        <v>0</v>
      </c>
      <c r="E79" s="115">
        <v>0</v>
      </c>
      <c r="F79" s="114">
        <f>E79*$B$50</f>
        <v>0</v>
      </c>
      <c r="G79" s="115">
        <v>0</v>
      </c>
      <c r="H79" s="114">
        <f>G79*$B$50</f>
        <v>0</v>
      </c>
      <c r="I79" s="115">
        <v>0</v>
      </c>
      <c r="J79" s="114">
        <f>I79*$B$50</f>
        <v>0</v>
      </c>
      <c r="K79" s="115">
        <v>0</v>
      </c>
      <c r="L79" s="114">
        <f>K79*$B$50</f>
        <v>0</v>
      </c>
      <c r="M79" s="115">
        <v>0</v>
      </c>
      <c r="N79" s="114">
        <f>M79*$B$50</f>
        <v>0</v>
      </c>
      <c r="O79" s="115">
        <v>0</v>
      </c>
      <c r="P79" s="114">
        <f>O79*$B$50</f>
        <v>0</v>
      </c>
      <c r="Q79" s="115">
        <v>0</v>
      </c>
      <c r="R79" s="114">
        <f>Q79*$B$50</f>
        <v>0</v>
      </c>
      <c r="S79" s="115">
        <v>0</v>
      </c>
      <c r="T79" s="114">
        <f>S79*$B$50</f>
        <v>0</v>
      </c>
      <c r="U79" s="115">
        <v>0</v>
      </c>
      <c r="V79" s="114">
        <f>U79*$B$50</f>
        <v>0</v>
      </c>
      <c r="W79" s="113">
        <v>0</v>
      </c>
      <c r="X79" s="114">
        <f>W79*$B$50</f>
        <v>0</v>
      </c>
      <c r="Y79" s="113">
        <v>0</v>
      </c>
      <c r="Z79" s="114">
        <f>Y79*$B$50</f>
        <v>0</v>
      </c>
      <c r="AB79" s="99"/>
    </row>
    <row r="80" spans="1:31" ht="15" hidden="1" customHeight="1" x14ac:dyDescent="0.15">
      <c r="A80" s="112"/>
      <c r="B80" s="182"/>
      <c r="C80" s="113">
        <v>0</v>
      </c>
      <c r="D80" s="117">
        <f t="shared" ref="D80" si="27">C80*$B$62</f>
        <v>0</v>
      </c>
      <c r="E80" s="115">
        <v>0</v>
      </c>
      <c r="F80" s="114">
        <f>E80*$B$52</f>
        <v>0</v>
      </c>
      <c r="G80" s="115">
        <v>0</v>
      </c>
      <c r="H80" s="114">
        <f>G80*$B$52</f>
        <v>0</v>
      </c>
      <c r="I80" s="115">
        <v>0</v>
      </c>
      <c r="J80" s="114">
        <f>I80*$B$52</f>
        <v>0</v>
      </c>
      <c r="K80" s="115">
        <v>0</v>
      </c>
      <c r="L80" s="114">
        <f>K80*$B$52</f>
        <v>0</v>
      </c>
      <c r="M80" s="115">
        <v>0</v>
      </c>
      <c r="N80" s="114">
        <f>M80*$B$52</f>
        <v>0</v>
      </c>
      <c r="O80" s="115">
        <v>0</v>
      </c>
      <c r="P80" s="114">
        <f>O80*$B$52</f>
        <v>0</v>
      </c>
      <c r="Q80" s="115">
        <v>0</v>
      </c>
      <c r="R80" s="114">
        <f>Q80*$B$52</f>
        <v>0</v>
      </c>
      <c r="S80" s="115">
        <v>0</v>
      </c>
      <c r="T80" s="114">
        <f>S80*$B$52</f>
        <v>0</v>
      </c>
      <c r="U80" s="115">
        <v>0</v>
      </c>
      <c r="V80" s="114">
        <f>U80*$B$52</f>
        <v>0</v>
      </c>
      <c r="W80" s="113">
        <v>0</v>
      </c>
      <c r="X80" s="114">
        <f>W80*$B$52</f>
        <v>0</v>
      </c>
      <c r="Y80" s="113">
        <v>0</v>
      </c>
      <c r="Z80" s="114">
        <f>Y80*$B$52</f>
        <v>0</v>
      </c>
      <c r="AB80" s="99"/>
    </row>
    <row r="81" spans="1:29" ht="15" hidden="1" customHeight="1" x14ac:dyDescent="0.15">
      <c r="A81" s="116"/>
      <c r="B81" s="182"/>
      <c r="C81" s="113">
        <v>0</v>
      </c>
      <c r="D81" s="114">
        <f t="shared" ref="D81" si="28">C81*$B$63</f>
        <v>0</v>
      </c>
      <c r="E81" s="115">
        <v>0</v>
      </c>
      <c r="F81" s="114">
        <f>E81*$B$52</f>
        <v>0</v>
      </c>
      <c r="G81" s="115">
        <v>0</v>
      </c>
      <c r="H81" s="114">
        <f>G81*$B$52</f>
        <v>0</v>
      </c>
      <c r="I81" s="115">
        <v>0</v>
      </c>
      <c r="J81" s="114">
        <f>I81*$B$52</f>
        <v>0</v>
      </c>
      <c r="K81" s="115">
        <v>0</v>
      </c>
      <c r="L81" s="114">
        <f>K81*$B$52</f>
        <v>0</v>
      </c>
      <c r="M81" s="115">
        <v>0</v>
      </c>
      <c r="N81" s="114">
        <f>M81*$B$52</f>
        <v>0</v>
      </c>
      <c r="O81" s="115">
        <v>0</v>
      </c>
      <c r="P81" s="114">
        <f>O81*$B$52</f>
        <v>0</v>
      </c>
      <c r="Q81" s="115">
        <v>0</v>
      </c>
      <c r="R81" s="114">
        <f>Q81*$B$52</f>
        <v>0</v>
      </c>
      <c r="S81" s="115">
        <v>0</v>
      </c>
      <c r="T81" s="114">
        <f>S81*$B$52</f>
        <v>0</v>
      </c>
      <c r="U81" s="115">
        <v>0</v>
      </c>
      <c r="V81" s="114">
        <f>U81*$B$52</f>
        <v>0</v>
      </c>
      <c r="W81" s="113">
        <v>0</v>
      </c>
      <c r="X81" s="114">
        <f>W81*$B$52</f>
        <v>0</v>
      </c>
      <c r="Y81" s="113">
        <v>0</v>
      </c>
      <c r="Z81" s="114">
        <f>Y81*$B$52</f>
        <v>0</v>
      </c>
      <c r="AB81" s="99"/>
    </row>
    <row r="82" spans="1:29" ht="15" hidden="1" customHeight="1" x14ac:dyDescent="0.15">
      <c r="A82" s="116"/>
      <c r="B82" s="182"/>
      <c r="C82" s="113">
        <v>0</v>
      </c>
      <c r="D82" s="114">
        <f t="shared" ref="D82" si="29">C82*$B$64</f>
        <v>0</v>
      </c>
      <c r="E82" s="115">
        <v>0</v>
      </c>
      <c r="F82" s="114">
        <f>E82*$B$54</f>
        <v>0</v>
      </c>
      <c r="G82" s="115">
        <v>0</v>
      </c>
      <c r="H82" s="114">
        <f>G82*$B$54</f>
        <v>0</v>
      </c>
      <c r="I82" s="115">
        <v>0</v>
      </c>
      <c r="J82" s="114">
        <f>I82*$B$54</f>
        <v>0</v>
      </c>
      <c r="K82" s="115">
        <v>0</v>
      </c>
      <c r="L82" s="114">
        <f>K82*$B$54</f>
        <v>0</v>
      </c>
      <c r="M82" s="115">
        <v>0</v>
      </c>
      <c r="N82" s="114">
        <f>M82*$B$54</f>
        <v>0</v>
      </c>
      <c r="O82" s="115">
        <v>0</v>
      </c>
      <c r="P82" s="114">
        <f>O82*$B$54</f>
        <v>0</v>
      </c>
      <c r="Q82" s="115">
        <v>0</v>
      </c>
      <c r="R82" s="114">
        <f>Q82*$B$54</f>
        <v>0</v>
      </c>
      <c r="S82" s="115">
        <v>0</v>
      </c>
      <c r="T82" s="114">
        <f>S82*$B$54</f>
        <v>0</v>
      </c>
      <c r="U82" s="115">
        <v>0</v>
      </c>
      <c r="V82" s="114">
        <f>U82*$B$54</f>
        <v>0</v>
      </c>
      <c r="W82" s="113">
        <v>0</v>
      </c>
      <c r="X82" s="114">
        <f>W82*$B$54</f>
        <v>0</v>
      </c>
      <c r="Y82" s="113">
        <v>0</v>
      </c>
      <c r="Z82" s="114">
        <f>Y82*$B$54</f>
        <v>0</v>
      </c>
      <c r="AB82" s="99"/>
    </row>
    <row r="83" spans="1:29" ht="15" hidden="1" customHeight="1" x14ac:dyDescent="0.15">
      <c r="A83" s="116"/>
      <c r="B83" s="182"/>
      <c r="C83" s="113">
        <v>0</v>
      </c>
      <c r="D83" s="114">
        <f t="shared" ref="D83" si="30">C83*$B$65</f>
        <v>0</v>
      </c>
      <c r="E83" s="115">
        <v>0</v>
      </c>
      <c r="F83" s="114">
        <f>E83*$B$54</f>
        <v>0</v>
      </c>
      <c r="G83" s="115">
        <v>0</v>
      </c>
      <c r="H83" s="114">
        <f>G83*$B$54</f>
        <v>0</v>
      </c>
      <c r="I83" s="115">
        <v>0</v>
      </c>
      <c r="J83" s="114">
        <f>I83*$B$54</f>
        <v>0</v>
      </c>
      <c r="K83" s="115">
        <v>0</v>
      </c>
      <c r="L83" s="114">
        <f>K83*$B$54</f>
        <v>0</v>
      </c>
      <c r="M83" s="115">
        <v>0</v>
      </c>
      <c r="N83" s="114">
        <f>M83*$B$54</f>
        <v>0</v>
      </c>
      <c r="O83" s="115">
        <v>0</v>
      </c>
      <c r="P83" s="114">
        <f>O83*$B$54</f>
        <v>0</v>
      </c>
      <c r="Q83" s="115">
        <v>0</v>
      </c>
      <c r="R83" s="114">
        <f>Q83*$B$54</f>
        <v>0</v>
      </c>
      <c r="S83" s="115">
        <v>0</v>
      </c>
      <c r="T83" s="114">
        <f>S83*$B$54</f>
        <v>0</v>
      </c>
      <c r="U83" s="115">
        <v>0</v>
      </c>
      <c r="V83" s="114">
        <f>U83*$B$54</f>
        <v>0</v>
      </c>
      <c r="W83" s="113">
        <v>0</v>
      </c>
      <c r="X83" s="114">
        <f>W83*$B$54</f>
        <v>0</v>
      </c>
      <c r="Y83" s="113">
        <v>0</v>
      </c>
      <c r="Z83" s="114">
        <f>Y83*$B$54</f>
        <v>0</v>
      </c>
      <c r="AB83" s="99"/>
    </row>
    <row r="84" spans="1:29" ht="15" hidden="1" customHeight="1" x14ac:dyDescent="0.15">
      <c r="A84" s="116"/>
      <c r="B84" s="182"/>
      <c r="C84" s="113">
        <v>0</v>
      </c>
      <c r="D84" s="114">
        <f t="shared" ref="D84" si="31">C84*$B$68</f>
        <v>0</v>
      </c>
      <c r="E84" s="115">
        <v>0</v>
      </c>
      <c r="F84" s="114">
        <f>E84*$B$52</f>
        <v>0</v>
      </c>
      <c r="G84" s="115">
        <v>0</v>
      </c>
      <c r="H84" s="114">
        <f>G84*$B$52</f>
        <v>0</v>
      </c>
      <c r="I84" s="115">
        <v>0</v>
      </c>
      <c r="J84" s="114">
        <f>I84*$B$52</f>
        <v>0</v>
      </c>
      <c r="K84" s="115">
        <v>0</v>
      </c>
      <c r="L84" s="114">
        <f>K84*$B$52</f>
        <v>0</v>
      </c>
      <c r="M84" s="115">
        <v>0</v>
      </c>
      <c r="N84" s="114">
        <f>M84*$B$52</f>
        <v>0</v>
      </c>
      <c r="O84" s="115">
        <v>0</v>
      </c>
      <c r="P84" s="114">
        <f>O84*$B$52</f>
        <v>0</v>
      </c>
      <c r="Q84" s="115">
        <v>0</v>
      </c>
      <c r="R84" s="114">
        <f>Q84*$B$52</f>
        <v>0</v>
      </c>
      <c r="S84" s="115">
        <v>0</v>
      </c>
      <c r="T84" s="114">
        <f>S84*$B$52</f>
        <v>0</v>
      </c>
      <c r="U84" s="115">
        <v>0</v>
      </c>
      <c r="V84" s="114">
        <f>U84*$B$52</f>
        <v>0</v>
      </c>
      <c r="W84" s="113">
        <v>0</v>
      </c>
      <c r="X84" s="114">
        <f>W84*$B$52</f>
        <v>0</v>
      </c>
      <c r="Y84" s="113">
        <v>0</v>
      </c>
      <c r="Z84" s="114">
        <f>Y84*$B$52</f>
        <v>0</v>
      </c>
      <c r="AB84" s="99"/>
    </row>
    <row r="85" spans="1:29" ht="15" hidden="1" customHeight="1" x14ac:dyDescent="0.15">
      <c r="A85" s="116"/>
      <c r="B85" s="182"/>
      <c r="C85" s="113">
        <v>0</v>
      </c>
      <c r="D85" s="114">
        <f t="shared" ref="D85" si="32">C85*$B$49</f>
        <v>0</v>
      </c>
      <c r="E85" s="115">
        <v>0</v>
      </c>
      <c r="F85" s="114">
        <f>E85*$B$57</f>
        <v>0</v>
      </c>
      <c r="G85" s="115">
        <v>0</v>
      </c>
      <c r="H85" s="114">
        <f>G85*$B$57</f>
        <v>0</v>
      </c>
      <c r="I85" s="115">
        <v>0</v>
      </c>
      <c r="J85" s="114">
        <f>I85*$B$57</f>
        <v>0</v>
      </c>
      <c r="K85" s="115">
        <v>0</v>
      </c>
      <c r="L85" s="114">
        <f>K85*$B$57</f>
        <v>0</v>
      </c>
      <c r="M85" s="115">
        <v>0</v>
      </c>
      <c r="N85" s="114">
        <f>M85*$B$57</f>
        <v>0</v>
      </c>
      <c r="O85" s="115">
        <v>0</v>
      </c>
      <c r="P85" s="114">
        <f>O85*$B$57</f>
        <v>0</v>
      </c>
      <c r="Q85" s="115">
        <v>0</v>
      </c>
      <c r="R85" s="114">
        <f>Q85*$B$57</f>
        <v>0</v>
      </c>
      <c r="S85" s="115">
        <v>0</v>
      </c>
      <c r="T85" s="114">
        <f>S85*$B$57</f>
        <v>0</v>
      </c>
      <c r="U85" s="115">
        <v>0</v>
      </c>
      <c r="V85" s="114">
        <f>U85*$B$57</f>
        <v>0</v>
      </c>
      <c r="W85" s="113">
        <v>0</v>
      </c>
      <c r="X85" s="114">
        <f>W85*$B$57</f>
        <v>0</v>
      </c>
      <c r="Y85" s="113">
        <v>0</v>
      </c>
      <c r="Z85" s="114">
        <f>Y85*$B$57</f>
        <v>0</v>
      </c>
      <c r="AB85" s="99"/>
    </row>
    <row r="86" spans="1:29" ht="15" hidden="1" customHeight="1" x14ac:dyDescent="0.15">
      <c r="A86" s="116"/>
      <c r="B86" s="182"/>
      <c r="C86" s="113">
        <v>0</v>
      </c>
      <c r="D86" s="114">
        <f t="shared" ref="D86" si="33">C86*$B$50</f>
        <v>0</v>
      </c>
      <c r="E86" s="115">
        <v>0</v>
      </c>
      <c r="F86" s="114">
        <f>E86*$B$57</f>
        <v>0</v>
      </c>
      <c r="G86" s="115">
        <v>0</v>
      </c>
      <c r="H86" s="114">
        <f>G86*$B$57</f>
        <v>0</v>
      </c>
      <c r="I86" s="115">
        <v>0</v>
      </c>
      <c r="J86" s="114">
        <f>I86*$B$57</f>
        <v>0</v>
      </c>
      <c r="K86" s="115">
        <v>0</v>
      </c>
      <c r="L86" s="114">
        <f>K86*$B$57</f>
        <v>0</v>
      </c>
      <c r="M86" s="115">
        <v>0</v>
      </c>
      <c r="N86" s="114">
        <f>M86*$B$57</f>
        <v>0</v>
      </c>
      <c r="O86" s="115">
        <v>0</v>
      </c>
      <c r="P86" s="114">
        <f>O86*$B$57</f>
        <v>0</v>
      </c>
      <c r="Q86" s="115">
        <v>0</v>
      </c>
      <c r="R86" s="114">
        <f>Q86*$B$57</f>
        <v>0</v>
      </c>
      <c r="S86" s="115">
        <v>0</v>
      </c>
      <c r="T86" s="114">
        <f>S86*$B$57</f>
        <v>0</v>
      </c>
      <c r="U86" s="115">
        <v>0</v>
      </c>
      <c r="V86" s="114">
        <f>U86*$B$57</f>
        <v>0</v>
      </c>
      <c r="W86" s="113">
        <v>0</v>
      </c>
      <c r="X86" s="114">
        <f>W86*$B$57</f>
        <v>0</v>
      </c>
      <c r="Y86" s="113">
        <v>0</v>
      </c>
      <c r="Z86" s="114">
        <f>Y86*$B$57</f>
        <v>0</v>
      </c>
      <c r="AB86" s="99"/>
    </row>
    <row r="87" spans="1:29" ht="15" hidden="1" customHeight="1" x14ac:dyDescent="0.15">
      <c r="A87" s="116"/>
      <c r="B87" s="182"/>
      <c r="C87" s="113">
        <v>0</v>
      </c>
      <c r="D87" s="114">
        <f t="shared" ref="D87" si="34">C87*$B$51</f>
        <v>0</v>
      </c>
      <c r="E87" s="115">
        <v>0</v>
      </c>
      <c r="F87" s="114">
        <f>E87*$B$59</f>
        <v>0</v>
      </c>
      <c r="G87" s="115">
        <v>0</v>
      </c>
      <c r="H87" s="114">
        <f>G87*$B$59</f>
        <v>0</v>
      </c>
      <c r="I87" s="115">
        <v>0</v>
      </c>
      <c r="J87" s="114">
        <f>I87*$B$59</f>
        <v>0</v>
      </c>
      <c r="K87" s="115">
        <v>0</v>
      </c>
      <c r="L87" s="114">
        <f>K87*$B$59</f>
        <v>0</v>
      </c>
      <c r="M87" s="115">
        <v>0</v>
      </c>
      <c r="N87" s="114">
        <f>M87*$B$59</f>
        <v>0</v>
      </c>
      <c r="O87" s="115">
        <v>0</v>
      </c>
      <c r="P87" s="114">
        <f>O87*$B$59</f>
        <v>0</v>
      </c>
      <c r="Q87" s="115">
        <v>0</v>
      </c>
      <c r="R87" s="114">
        <f>Q87*$B$59</f>
        <v>0</v>
      </c>
      <c r="S87" s="115">
        <v>0</v>
      </c>
      <c r="T87" s="114">
        <f>S87*$B$59</f>
        <v>0</v>
      </c>
      <c r="U87" s="115">
        <v>0</v>
      </c>
      <c r="V87" s="114">
        <f>U87*$B$59</f>
        <v>0</v>
      </c>
      <c r="W87" s="113">
        <v>0</v>
      </c>
      <c r="X87" s="114">
        <f>W87*$B$59</f>
        <v>0</v>
      </c>
      <c r="Y87" s="113">
        <v>0</v>
      </c>
      <c r="Z87" s="114">
        <f>Y87*$B$59</f>
        <v>0</v>
      </c>
      <c r="AB87" s="99"/>
    </row>
    <row r="88" spans="1:29" s="1" customFormat="1" ht="15" hidden="1" customHeight="1" x14ac:dyDescent="0.15">
      <c r="A88" s="116"/>
      <c r="B88" s="182"/>
      <c r="C88" s="113">
        <v>0</v>
      </c>
      <c r="D88" s="114">
        <f t="shared" ref="D88" si="35">C88*$B$52</f>
        <v>0</v>
      </c>
      <c r="E88" s="115">
        <v>0</v>
      </c>
      <c r="F88" s="117">
        <f>E88*$B$60</f>
        <v>0</v>
      </c>
      <c r="G88" s="115">
        <v>0</v>
      </c>
      <c r="H88" s="117">
        <f>G88*$B$60</f>
        <v>0</v>
      </c>
      <c r="I88" s="115">
        <v>0</v>
      </c>
      <c r="J88" s="117">
        <f>I88*$B$60</f>
        <v>0</v>
      </c>
      <c r="K88" s="115">
        <v>0</v>
      </c>
      <c r="L88" s="117">
        <f>K88*$B$60</f>
        <v>0</v>
      </c>
      <c r="M88" s="115">
        <v>0</v>
      </c>
      <c r="N88" s="117">
        <f>M88*$B$60</f>
        <v>0</v>
      </c>
      <c r="O88" s="115">
        <v>0</v>
      </c>
      <c r="P88" s="117">
        <f>O88*$B$60</f>
        <v>0</v>
      </c>
      <c r="Q88" s="115">
        <v>0</v>
      </c>
      <c r="R88" s="117">
        <f>Q88*$B$60</f>
        <v>0</v>
      </c>
      <c r="S88" s="115">
        <v>0</v>
      </c>
      <c r="T88" s="117">
        <f>S88*$B$60</f>
        <v>0</v>
      </c>
      <c r="U88" s="115">
        <v>0</v>
      </c>
      <c r="V88" s="117">
        <f>U88*$B$60</f>
        <v>0</v>
      </c>
      <c r="W88" s="113">
        <v>0</v>
      </c>
      <c r="X88" s="117">
        <f>W88*$B$60</f>
        <v>0</v>
      </c>
      <c r="Y88" s="113">
        <v>0</v>
      </c>
      <c r="Z88" s="117">
        <f>Y88*$B$60</f>
        <v>0</v>
      </c>
      <c r="AB88" s="99"/>
      <c r="AC88" s="123"/>
    </row>
    <row r="89" spans="1:29" s="1" customFormat="1" ht="15" hidden="1" customHeight="1" x14ac:dyDescent="0.15">
      <c r="A89" s="118"/>
      <c r="B89" s="182"/>
      <c r="C89" s="113">
        <v>0</v>
      </c>
      <c r="D89" s="114">
        <f t="shared" ref="D89" si="36">C89*$B$53</f>
        <v>0</v>
      </c>
      <c r="E89" s="113">
        <v>0</v>
      </c>
      <c r="F89" s="114">
        <f>E89*$B$61</f>
        <v>0</v>
      </c>
      <c r="G89" s="113">
        <v>0</v>
      </c>
      <c r="H89" s="114">
        <f>G89*$B$61</f>
        <v>0</v>
      </c>
      <c r="I89" s="113">
        <v>0</v>
      </c>
      <c r="J89" s="114">
        <f>I89*$B$61</f>
        <v>0</v>
      </c>
      <c r="K89" s="113">
        <v>0</v>
      </c>
      <c r="L89" s="114">
        <f>K89*$B$61</f>
        <v>0</v>
      </c>
      <c r="M89" s="113">
        <v>0</v>
      </c>
      <c r="N89" s="114">
        <f>M89*$B$61</f>
        <v>0</v>
      </c>
      <c r="O89" s="113">
        <v>0</v>
      </c>
      <c r="P89" s="114">
        <f>O89*$B$61</f>
        <v>0</v>
      </c>
      <c r="Q89" s="113">
        <v>0</v>
      </c>
      <c r="R89" s="114">
        <f>Q89*$B$61</f>
        <v>0</v>
      </c>
      <c r="S89" s="113">
        <v>0</v>
      </c>
      <c r="T89" s="114">
        <f>S89*$B$61</f>
        <v>0</v>
      </c>
      <c r="U89" s="113">
        <v>0</v>
      </c>
      <c r="V89" s="114">
        <f>U89*$B$61</f>
        <v>0</v>
      </c>
      <c r="W89" s="113">
        <v>0</v>
      </c>
      <c r="X89" s="114">
        <f>W89*$B$61</f>
        <v>0</v>
      </c>
      <c r="Y89" s="113">
        <v>0</v>
      </c>
      <c r="Z89" s="114">
        <f>Y89*$B$61</f>
        <v>0</v>
      </c>
      <c r="AB89" s="99"/>
      <c r="AC89" s="123"/>
    </row>
    <row r="90" spans="1:29" s="1" customFormat="1" ht="15" hidden="1" customHeight="1" x14ac:dyDescent="0.15">
      <c r="A90" s="119"/>
      <c r="B90" s="182"/>
      <c r="C90" s="113">
        <v>0</v>
      </c>
      <c r="D90" s="114">
        <f t="shared" ref="D90:D91" si="37">C90*$B$54</f>
        <v>0</v>
      </c>
      <c r="E90" s="113">
        <v>0</v>
      </c>
      <c r="F90" s="117">
        <f>E90*$B$62</f>
        <v>0</v>
      </c>
      <c r="G90" s="113">
        <v>0</v>
      </c>
      <c r="H90" s="117">
        <f>G90*$B$62</f>
        <v>0</v>
      </c>
      <c r="I90" s="113">
        <v>0</v>
      </c>
      <c r="J90" s="117">
        <f>I90*$B$62</f>
        <v>0</v>
      </c>
      <c r="K90" s="113">
        <v>0</v>
      </c>
      <c r="L90" s="117">
        <f>K90*$B$62</f>
        <v>0</v>
      </c>
      <c r="M90" s="113">
        <v>0</v>
      </c>
      <c r="N90" s="117">
        <f>M90*$B$62</f>
        <v>0</v>
      </c>
      <c r="O90" s="113">
        <v>0</v>
      </c>
      <c r="P90" s="117">
        <f>O90*$B$62</f>
        <v>0</v>
      </c>
      <c r="Q90" s="113">
        <v>0</v>
      </c>
      <c r="R90" s="117">
        <f>Q90*$B$62</f>
        <v>0</v>
      </c>
      <c r="S90" s="113">
        <v>0</v>
      </c>
      <c r="T90" s="117">
        <f>S90*$B$62</f>
        <v>0</v>
      </c>
      <c r="U90" s="113">
        <v>0</v>
      </c>
      <c r="V90" s="117">
        <f>U90*$B$62</f>
        <v>0</v>
      </c>
      <c r="W90" s="113">
        <v>0</v>
      </c>
      <c r="X90" s="117">
        <f>W90*$B$62</f>
        <v>0</v>
      </c>
      <c r="Y90" s="113">
        <v>0</v>
      </c>
      <c r="Z90" s="117">
        <f>Y90*$B$62</f>
        <v>0</v>
      </c>
      <c r="AB90" s="99"/>
      <c r="AC90" s="123"/>
    </row>
    <row r="91" spans="1:29" s="1" customFormat="1" ht="15" hidden="1" customHeight="1" x14ac:dyDescent="0.15">
      <c r="A91" s="119"/>
      <c r="B91" s="182"/>
      <c r="C91" s="113">
        <v>0</v>
      </c>
      <c r="D91" s="114">
        <f t="shared" si="37"/>
        <v>0</v>
      </c>
      <c r="E91" s="113">
        <v>0</v>
      </c>
      <c r="F91" s="114">
        <f t="shared" ref="F91:F94" si="38">E91*$B$63</f>
        <v>0</v>
      </c>
      <c r="G91" s="113">
        <v>0</v>
      </c>
      <c r="H91" s="114">
        <f t="shared" ref="H91:H94" si="39">G91*$B$63</f>
        <v>0</v>
      </c>
      <c r="I91" s="113">
        <v>0</v>
      </c>
      <c r="J91" s="114">
        <f t="shared" ref="J91:J94" si="40">I91*$B$63</f>
        <v>0</v>
      </c>
      <c r="K91" s="113">
        <v>0</v>
      </c>
      <c r="L91" s="114">
        <f t="shared" ref="L91:L94" si="41">K91*$B$63</f>
        <v>0</v>
      </c>
      <c r="M91" s="113">
        <v>0</v>
      </c>
      <c r="N91" s="114">
        <f t="shared" ref="N91:N94" si="42">M91*$B$63</f>
        <v>0</v>
      </c>
      <c r="O91" s="113">
        <v>0</v>
      </c>
      <c r="P91" s="114">
        <f t="shared" ref="P91:P94" si="43">O91*$B$63</f>
        <v>0</v>
      </c>
      <c r="Q91" s="113">
        <v>0</v>
      </c>
      <c r="R91" s="114">
        <f t="shared" ref="R91:R94" si="44">Q91*$B$63</f>
        <v>0</v>
      </c>
      <c r="S91" s="113">
        <v>0</v>
      </c>
      <c r="T91" s="114">
        <f t="shared" ref="T91:T94" si="45">S91*$B$63</f>
        <v>0</v>
      </c>
      <c r="U91" s="113">
        <v>0</v>
      </c>
      <c r="V91" s="114">
        <f t="shared" ref="V91:V94" si="46">U91*$B$63</f>
        <v>0</v>
      </c>
      <c r="W91" s="113">
        <v>0</v>
      </c>
      <c r="X91" s="114">
        <f>W91*$B$63</f>
        <v>0</v>
      </c>
      <c r="Y91" s="113">
        <v>0</v>
      </c>
      <c r="Z91" s="114">
        <f>Y91*$B$63</f>
        <v>0</v>
      </c>
      <c r="AB91" s="99"/>
      <c r="AC91" s="123"/>
    </row>
    <row r="92" spans="1:29" s="1" customFormat="1" ht="15" hidden="1" customHeight="1" x14ac:dyDescent="0.15">
      <c r="A92" s="119"/>
      <c r="B92" s="182"/>
      <c r="C92" s="113">
        <v>0</v>
      </c>
      <c r="D92" s="114">
        <f t="shared" ref="D92" si="47">C92*$B$56</f>
        <v>0</v>
      </c>
      <c r="E92" s="113">
        <v>0</v>
      </c>
      <c r="F92" s="114">
        <f t="shared" si="38"/>
        <v>0</v>
      </c>
      <c r="G92" s="113">
        <v>0</v>
      </c>
      <c r="H92" s="114">
        <f t="shared" si="39"/>
        <v>0</v>
      </c>
      <c r="I92" s="113">
        <v>0</v>
      </c>
      <c r="J92" s="114">
        <f t="shared" si="40"/>
        <v>0</v>
      </c>
      <c r="K92" s="113">
        <v>0</v>
      </c>
      <c r="L92" s="114">
        <f t="shared" si="41"/>
        <v>0</v>
      </c>
      <c r="M92" s="113">
        <v>0</v>
      </c>
      <c r="N92" s="114">
        <f t="shared" si="42"/>
        <v>0</v>
      </c>
      <c r="O92" s="113">
        <v>0</v>
      </c>
      <c r="P92" s="114">
        <f t="shared" si="43"/>
        <v>0</v>
      </c>
      <c r="Q92" s="113">
        <v>0</v>
      </c>
      <c r="R92" s="114">
        <f t="shared" si="44"/>
        <v>0</v>
      </c>
      <c r="S92" s="113">
        <v>0</v>
      </c>
      <c r="T92" s="114">
        <f t="shared" si="45"/>
        <v>0</v>
      </c>
      <c r="U92" s="113">
        <v>0</v>
      </c>
      <c r="V92" s="114">
        <f t="shared" si="46"/>
        <v>0</v>
      </c>
      <c r="W92" s="113">
        <v>0</v>
      </c>
      <c r="X92" s="114">
        <f>W92*$B$63</f>
        <v>0</v>
      </c>
      <c r="Y92" s="113">
        <v>0</v>
      </c>
      <c r="Z92" s="114">
        <f>Y92*$B$63</f>
        <v>0</v>
      </c>
      <c r="AB92" s="99"/>
      <c r="AC92" s="123"/>
    </row>
    <row r="93" spans="1:29" s="1" customFormat="1" ht="15" hidden="1" customHeight="1" x14ac:dyDescent="0.15">
      <c r="A93" s="119"/>
      <c r="B93" s="182"/>
      <c r="C93" s="113">
        <v>0</v>
      </c>
      <c r="D93" s="114">
        <f t="shared" ref="D93" si="48">C93*$B$57</f>
        <v>0</v>
      </c>
      <c r="E93" s="113">
        <v>0</v>
      </c>
      <c r="F93" s="114">
        <f t="shared" si="38"/>
        <v>0</v>
      </c>
      <c r="G93" s="113">
        <v>0</v>
      </c>
      <c r="H93" s="114">
        <f t="shared" si="39"/>
        <v>0</v>
      </c>
      <c r="I93" s="113">
        <v>0</v>
      </c>
      <c r="J93" s="114">
        <f t="shared" si="40"/>
        <v>0</v>
      </c>
      <c r="K93" s="113">
        <v>0</v>
      </c>
      <c r="L93" s="114">
        <f t="shared" si="41"/>
        <v>0</v>
      </c>
      <c r="M93" s="113">
        <v>0</v>
      </c>
      <c r="N93" s="114">
        <f t="shared" si="42"/>
        <v>0</v>
      </c>
      <c r="O93" s="113">
        <v>0</v>
      </c>
      <c r="P93" s="114">
        <f t="shared" si="43"/>
        <v>0</v>
      </c>
      <c r="Q93" s="113">
        <v>0</v>
      </c>
      <c r="R93" s="114">
        <f t="shared" si="44"/>
        <v>0</v>
      </c>
      <c r="S93" s="113">
        <v>0</v>
      </c>
      <c r="T93" s="114">
        <f t="shared" si="45"/>
        <v>0</v>
      </c>
      <c r="U93" s="113">
        <v>0</v>
      </c>
      <c r="V93" s="114">
        <f t="shared" si="46"/>
        <v>0</v>
      </c>
      <c r="W93" s="113">
        <v>0</v>
      </c>
      <c r="X93" s="114">
        <f>W93*$B$63</f>
        <v>0</v>
      </c>
      <c r="Y93" s="113">
        <v>0</v>
      </c>
      <c r="Z93" s="114">
        <f>Y93*$B$63</f>
        <v>0</v>
      </c>
      <c r="AB93" s="99"/>
      <c r="AC93" s="123"/>
    </row>
    <row r="94" spans="1:29" s="1" customFormat="1" ht="15" hidden="1" customHeight="1" x14ac:dyDescent="0.15">
      <c r="A94" s="112"/>
      <c r="B94" s="182"/>
      <c r="C94" s="113">
        <v>0</v>
      </c>
      <c r="D94" s="114">
        <f t="shared" ref="D94" si="49">C94*$B$58</f>
        <v>0</v>
      </c>
      <c r="E94" s="113">
        <v>0</v>
      </c>
      <c r="F94" s="114">
        <f t="shared" si="38"/>
        <v>0</v>
      </c>
      <c r="G94" s="113">
        <v>0</v>
      </c>
      <c r="H94" s="114">
        <f t="shared" si="39"/>
        <v>0</v>
      </c>
      <c r="I94" s="113">
        <v>0</v>
      </c>
      <c r="J94" s="114">
        <f t="shared" si="40"/>
        <v>0</v>
      </c>
      <c r="K94" s="113">
        <v>0</v>
      </c>
      <c r="L94" s="114">
        <f t="shared" si="41"/>
        <v>0</v>
      </c>
      <c r="M94" s="113">
        <v>0</v>
      </c>
      <c r="N94" s="114">
        <f t="shared" si="42"/>
        <v>0</v>
      </c>
      <c r="O94" s="113">
        <v>0</v>
      </c>
      <c r="P94" s="114">
        <f t="shared" si="43"/>
        <v>0</v>
      </c>
      <c r="Q94" s="113">
        <v>0</v>
      </c>
      <c r="R94" s="114">
        <f t="shared" si="44"/>
        <v>0</v>
      </c>
      <c r="S94" s="113">
        <v>0</v>
      </c>
      <c r="T94" s="114">
        <f t="shared" si="45"/>
        <v>0</v>
      </c>
      <c r="U94" s="113">
        <v>0</v>
      </c>
      <c r="V94" s="114">
        <f t="shared" si="46"/>
        <v>0</v>
      </c>
      <c r="W94" s="113">
        <v>0</v>
      </c>
      <c r="X94" s="114">
        <f>W94*$B$63</f>
        <v>0</v>
      </c>
      <c r="Y94" s="113">
        <v>0</v>
      </c>
      <c r="Z94" s="114">
        <f>Y94*$B$63</f>
        <v>0</v>
      </c>
      <c r="AB94" s="99"/>
      <c r="AC94" s="123"/>
    </row>
    <row r="95" spans="1:29" s="1" customFormat="1" ht="30" hidden="1" customHeight="1" x14ac:dyDescent="0.15">
      <c r="A95" s="112" t="s">
        <v>45</v>
      </c>
      <c r="B95" s="182"/>
      <c r="C95" s="113">
        <v>0</v>
      </c>
      <c r="D95" s="114">
        <f>C95*$B$68</f>
        <v>0</v>
      </c>
      <c r="E95" s="113">
        <v>0</v>
      </c>
      <c r="F95" s="114">
        <f>E95*$B$63</f>
        <v>0</v>
      </c>
      <c r="G95" s="113">
        <v>0</v>
      </c>
      <c r="H95" s="114">
        <f>G95*$B$63</f>
        <v>0</v>
      </c>
      <c r="I95" s="113">
        <v>0</v>
      </c>
      <c r="J95" s="114">
        <f>I95*$B$63</f>
        <v>0</v>
      </c>
      <c r="K95" s="113">
        <v>0</v>
      </c>
      <c r="L95" s="114">
        <f>K95*$B$63</f>
        <v>0</v>
      </c>
      <c r="M95" s="113">
        <v>0</v>
      </c>
      <c r="N95" s="114">
        <f>M95*$B$63</f>
        <v>0</v>
      </c>
      <c r="O95" s="113">
        <v>0</v>
      </c>
      <c r="P95" s="114">
        <f>O95*$B$63</f>
        <v>0</v>
      </c>
      <c r="Q95" s="113">
        <v>0</v>
      </c>
      <c r="R95" s="114">
        <f>Q95*$B$63</f>
        <v>0</v>
      </c>
      <c r="S95" s="113">
        <v>0</v>
      </c>
      <c r="T95" s="114">
        <f>S95*$B$63</f>
        <v>0</v>
      </c>
      <c r="U95" s="113">
        <v>0</v>
      </c>
      <c r="V95" s="114">
        <f>U95*$B$63</f>
        <v>0</v>
      </c>
      <c r="W95" s="113">
        <v>0</v>
      </c>
      <c r="X95" s="114">
        <f>W95*B95</f>
        <v>0</v>
      </c>
      <c r="Y95" s="113"/>
      <c r="Z95" s="114">
        <f>Y95*B95</f>
        <v>0</v>
      </c>
      <c r="AB95" s="99"/>
      <c r="AC95" s="123"/>
    </row>
    <row r="96" spans="1:29" s="1" customFormat="1" ht="17.25" customHeight="1" thickBot="1" x14ac:dyDescent="0.2">
      <c r="A96" s="112"/>
      <c r="B96" s="182"/>
      <c r="C96" s="113">
        <v>0</v>
      </c>
      <c r="D96" s="114">
        <f>C96*$B$68</f>
        <v>0</v>
      </c>
      <c r="E96" s="113">
        <v>0</v>
      </c>
      <c r="F96" s="114">
        <f>E96*$B$63</f>
        <v>0</v>
      </c>
      <c r="G96" s="113">
        <v>0</v>
      </c>
      <c r="H96" s="114">
        <f>G96*$B$63</f>
        <v>0</v>
      </c>
      <c r="I96" s="113">
        <v>0</v>
      </c>
      <c r="J96" s="114">
        <f>I96*$B$63</f>
        <v>0</v>
      </c>
      <c r="K96" s="113">
        <v>0</v>
      </c>
      <c r="L96" s="114">
        <f>K96*$B$63</f>
        <v>0</v>
      </c>
      <c r="M96" s="113">
        <v>0</v>
      </c>
      <c r="N96" s="114">
        <f>M96*$B$63</f>
        <v>0</v>
      </c>
      <c r="O96" s="113">
        <v>0</v>
      </c>
      <c r="P96" s="114">
        <f>O96*$B$63</f>
        <v>0</v>
      </c>
      <c r="Q96" s="113">
        <v>0</v>
      </c>
      <c r="R96" s="114">
        <f>Q96*$B$63</f>
        <v>0</v>
      </c>
      <c r="S96" s="113">
        <v>0</v>
      </c>
      <c r="T96" s="114">
        <f>S96*$B$63</f>
        <v>0</v>
      </c>
      <c r="U96" s="113">
        <v>0</v>
      </c>
      <c r="V96" s="114">
        <f>U96*$B$63</f>
        <v>0</v>
      </c>
      <c r="W96" s="113"/>
      <c r="X96" s="114">
        <f>W96*B96</f>
        <v>0</v>
      </c>
      <c r="Y96" s="113">
        <v>0</v>
      </c>
      <c r="Z96" s="114">
        <f>Y96*B96</f>
        <v>0</v>
      </c>
      <c r="AB96" s="99"/>
      <c r="AC96" s="123"/>
    </row>
    <row r="97" spans="1:28" ht="14" x14ac:dyDescent="0.15">
      <c r="A97" s="134" t="s">
        <v>13</v>
      </c>
      <c r="B97" s="135"/>
      <c r="C97" s="120"/>
      <c r="D97" s="121">
        <f>SUM(D28:D96)</f>
        <v>1550</v>
      </c>
      <c r="E97" s="120"/>
      <c r="F97" s="121" t="e">
        <f>SUM(F26:F72)</f>
        <v>#REF!</v>
      </c>
      <c r="G97" s="120"/>
      <c r="H97" s="121" t="e">
        <f>SUM(H26:H72)</f>
        <v>#REF!</v>
      </c>
      <c r="I97" s="120"/>
      <c r="J97" s="121" t="e">
        <f>SUM(J26:J72)</f>
        <v>#REF!</v>
      </c>
      <c r="K97" s="120"/>
      <c r="L97" s="121" t="e">
        <f>SUM(L26:L72)</f>
        <v>#REF!</v>
      </c>
      <c r="M97" s="120"/>
      <c r="N97" s="121" t="e">
        <f>SUM(N26:N72)</f>
        <v>#REF!</v>
      </c>
      <c r="O97" s="120"/>
      <c r="P97" s="121" t="e">
        <f>SUM(P26:P72)</f>
        <v>#REF!</v>
      </c>
      <c r="Q97" s="120"/>
      <c r="R97" s="121" t="e">
        <f>SUM(R26:R72)</f>
        <v>#REF!</v>
      </c>
      <c r="S97" s="120"/>
      <c r="T97" s="121" t="e">
        <f>SUM(T26:T72)</f>
        <v>#REF!</v>
      </c>
      <c r="U97" s="120"/>
      <c r="V97" s="121" t="e">
        <f>SUM(V26:V72)</f>
        <v>#REF!</v>
      </c>
      <c r="W97" s="120"/>
      <c r="X97" s="121">
        <f>SUM(X28:X96)</f>
        <v>0</v>
      </c>
      <c r="Y97" s="120"/>
      <c r="Z97" s="121">
        <f>SUM(Z28:Z96)</f>
        <v>0</v>
      </c>
      <c r="AB97" s="183"/>
    </row>
    <row r="98" spans="1:28" ht="14" x14ac:dyDescent="0.15">
      <c r="A98" s="136" t="s">
        <v>14</v>
      </c>
      <c r="B98" s="132"/>
      <c r="C98" s="113"/>
      <c r="D98" s="114">
        <f>D97+D25</f>
        <v>1879.59358</v>
      </c>
      <c r="E98" s="113"/>
      <c r="F98" s="114" t="e">
        <f>SUM(F97,F25)</f>
        <v>#REF!</v>
      </c>
      <c r="G98" s="113"/>
      <c r="H98" s="114" t="e">
        <f>SUM(H97,H25)</f>
        <v>#REF!</v>
      </c>
      <c r="I98" s="113"/>
      <c r="J98" s="114" t="e">
        <f>SUM(J97,J25)</f>
        <v>#REF!</v>
      </c>
      <c r="K98" s="113"/>
      <c r="L98" s="114" t="e">
        <f>SUM(L97,L25)</f>
        <v>#REF!</v>
      </c>
      <c r="M98" s="113"/>
      <c r="N98" s="114" t="e">
        <f>SUM(N97,N25)</f>
        <v>#REF!</v>
      </c>
      <c r="O98" s="113"/>
      <c r="P98" s="114" t="e">
        <f>SUM(P97,P25)</f>
        <v>#REF!</v>
      </c>
      <c r="Q98" s="113"/>
      <c r="R98" s="114" t="e">
        <f>SUM(R97,R25)</f>
        <v>#REF!</v>
      </c>
      <c r="S98" s="113"/>
      <c r="T98" s="114" t="e">
        <f>SUM(T97,T25)</f>
        <v>#REF!</v>
      </c>
      <c r="U98" s="113"/>
      <c r="V98" s="114" t="e">
        <f>SUM(V97,V25)</f>
        <v>#REF!</v>
      </c>
      <c r="W98" s="114" t="s">
        <v>0</v>
      </c>
      <c r="X98" s="114">
        <f>X97+X25</f>
        <v>0</v>
      </c>
      <c r="Y98" s="114" t="s">
        <v>0</v>
      </c>
      <c r="Z98" s="114">
        <f>Z97+Z25</f>
        <v>32.214399999999998</v>
      </c>
      <c r="AB98" s="183"/>
    </row>
    <row r="99" spans="1:28" ht="15" thickBot="1" x14ac:dyDescent="0.2">
      <c r="A99" s="137" t="s">
        <v>15</v>
      </c>
      <c r="B99" s="138">
        <v>9.7000000000000003E-2</v>
      </c>
      <c r="C99" s="126"/>
      <c r="D99" s="127">
        <f>D98*$B$99</f>
        <v>182.32057725999999</v>
      </c>
      <c r="E99" s="126"/>
      <c r="F99" s="127" t="e">
        <f>F98*$B$99</f>
        <v>#REF!</v>
      </c>
      <c r="G99" s="126"/>
      <c r="H99" s="127" t="e">
        <f>H98*$B$99</f>
        <v>#REF!</v>
      </c>
      <c r="I99" s="126"/>
      <c r="J99" s="127" t="e">
        <f>J98*$B$99</f>
        <v>#REF!</v>
      </c>
      <c r="K99" s="126"/>
      <c r="L99" s="127" t="e">
        <f>L98*$B$99</f>
        <v>#REF!</v>
      </c>
      <c r="M99" s="126"/>
      <c r="N99" s="127" t="e">
        <f>N98*$B$99</f>
        <v>#REF!</v>
      </c>
      <c r="O99" s="126"/>
      <c r="P99" s="127" t="e">
        <f>P98*$B$99</f>
        <v>#REF!</v>
      </c>
      <c r="Q99" s="126"/>
      <c r="R99" s="127" t="e">
        <f>R98*$B$99</f>
        <v>#REF!</v>
      </c>
      <c r="S99" s="126"/>
      <c r="T99" s="127" t="e">
        <f>T98*$B$99</f>
        <v>#REF!</v>
      </c>
      <c r="U99" s="126"/>
      <c r="V99" s="127" t="e">
        <f>V98*$B$99</f>
        <v>#REF!</v>
      </c>
      <c r="W99" s="126"/>
      <c r="X99" s="127">
        <f>X98*$B$99</f>
        <v>0</v>
      </c>
      <c r="Y99" s="126"/>
      <c r="Z99" s="127">
        <f>Z98*$B$99</f>
        <v>3.1247967999999999</v>
      </c>
      <c r="AB99" s="183"/>
    </row>
    <row r="100" spans="1:28" ht="14" x14ac:dyDescent="0.15">
      <c r="A100" s="134" t="s">
        <v>16</v>
      </c>
      <c r="B100" s="151"/>
      <c r="C100" s="120"/>
      <c r="D100" s="121">
        <f>D98+D99</f>
        <v>2061.9141572600001</v>
      </c>
      <c r="E100" s="120"/>
      <c r="F100" s="121" t="e">
        <f>F98+F99</f>
        <v>#REF!</v>
      </c>
      <c r="G100" s="120"/>
      <c r="H100" s="121" t="e">
        <f>H98+H99</f>
        <v>#REF!</v>
      </c>
      <c r="I100" s="120"/>
      <c r="J100" s="121" t="e">
        <f>J98+J99</f>
        <v>#REF!</v>
      </c>
      <c r="K100" s="120"/>
      <c r="L100" s="121" t="e">
        <f>L98+L99</f>
        <v>#REF!</v>
      </c>
      <c r="M100" s="120"/>
      <c r="N100" s="121" t="e">
        <f>N98+N99</f>
        <v>#REF!</v>
      </c>
      <c r="O100" s="120"/>
      <c r="P100" s="121" t="e">
        <f>P98+P99</f>
        <v>#REF!</v>
      </c>
      <c r="Q100" s="120"/>
      <c r="R100" s="121" t="e">
        <f>R98+R99</f>
        <v>#REF!</v>
      </c>
      <c r="S100" s="120"/>
      <c r="T100" s="121" t="e">
        <f>T98+T99</f>
        <v>#REF!</v>
      </c>
      <c r="U100" s="120"/>
      <c r="V100" s="121" t="e">
        <f>V98+V99</f>
        <v>#REF!</v>
      </c>
      <c r="W100" s="120"/>
      <c r="X100" s="121">
        <f>X98+X99</f>
        <v>0</v>
      </c>
      <c r="Y100" s="120"/>
      <c r="Z100" s="121">
        <f>Z98+Z99</f>
        <v>35.339196799999996</v>
      </c>
      <c r="AA100" s="2"/>
      <c r="AB100" s="183"/>
    </row>
    <row r="101" spans="1:28" ht="15.75" hidden="1" customHeight="1" thickBot="1" x14ac:dyDescent="0.2">
      <c r="A101" s="152"/>
      <c r="B101" s="139"/>
      <c r="C101" s="140"/>
      <c r="D101" s="141"/>
      <c r="E101" s="140"/>
      <c r="F101" s="141"/>
      <c r="G101" s="140"/>
      <c r="H101" s="141"/>
      <c r="I101" s="140"/>
      <c r="J101" s="141"/>
      <c r="K101" s="140"/>
      <c r="L101" s="141"/>
      <c r="M101" s="140"/>
      <c r="N101" s="141"/>
      <c r="O101" s="140"/>
      <c r="P101" s="141"/>
      <c r="Q101" s="140"/>
      <c r="R101" s="141"/>
      <c r="S101" s="140"/>
      <c r="T101" s="141"/>
      <c r="U101" s="140"/>
      <c r="V101" s="141"/>
      <c r="W101" s="140"/>
      <c r="X101" s="141"/>
      <c r="Y101" s="140"/>
      <c r="Z101" s="141"/>
      <c r="AB101" s="183"/>
    </row>
    <row r="102" spans="1:28" ht="15" hidden="1" customHeight="1" x14ac:dyDescent="0.15">
      <c r="A102" s="136" t="s">
        <v>34</v>
      </c>
      <c r="B102" s="133">
        <v>0</v>
      </c>
      <c r="C102" s="113"/>
      <c r="D102" s="114">
        <f>D100*$B$102</f>
        <v>0</v>
      </c>
      <c r="E102" s="113"/>
      <c r="F102" s="114" t="e">
        <f>F100*$B$102</f>
        <v>#REF!</v>
      </c>
      <c r="G102" s="113"/>
      <c r="H102" s="114" t="e">
        <f>H100*$B$102</f>
        <v>#REF!</v>
      </c>
      <c r="I102" s="113"/>
      <c r="J102" s="114" t="e">
        <f>J100*$B$102</f>
        <v>#REF!</v>
      </c>
      <c r="K102" s="113"/>
      <c r="L102" s="114" t="e">
        <f>L100*$B$102</f>
        <v>#REF!</v>
      </c>
      <c r="M102" s="113"/>
      <c r="N102" s="114" t="e">
        <f>N100*$B$102</f>
        <v>#REF!</v>
      </c>
      <c r="O102" s="113"/>
      <c r="P102" s="114" t="e">
        <f>P100*$B$102</f>
        <v>#REF!</v>
      </c>
      <c r="Q102" s="113"/>
      <c r="R102" s="114" t="e">
        <f>R100*$B$102</f>
        <v>#REF!</v>
      </c>
      <c r="S102" s="113"/>
      <c r="T102" s="114" t="e">
        <f>T100*$B$102</f>
        <v>#REF!</v>
      </c>
      <c r="U102" s="113"/>
      <c r="V102" s="114" t="e">
        <f>V100*$B$102</f>
        <v>#REF!</v>
      </c>
      <c r="W102" s="113"/>
      <c r="X102" s="114">
        <f>X100*$B$102</f>
        <v>0</v>
      </c>
      <c r="Y102" s="113"/>
      <c r="Z102" s="114">
        <f>Z100*$B$102</f>
        <v>0</v>
      </c>
      <c r="AB102" s="183"/>
    </row>
    <row r="103" spans="1:28" ht="15" hidden="1" customHeight="1" x14ac:dyDescent="0.15">
      <c r="A103" s="136"/>
      <c r="B103" s="132"/>
      <c r="C103" s="113"/>
      <c r="D103" s="114"/>
      <c r="E103" s="113"/>
      <c r="F103" s="114"/>
      <c r="G103" s="113"/>
      <c r="H103" s="114"/>
      <c r="I103" s="113"/>
      <c r="J103" s="114"/>
      <c r="K103" s="113"/>
      <c r="L103" s="114"/>
      <c r="M103" s="113"/>
      <c r="N103" s="114"/>
      <c r="O103" s="113"/>
      <c r="P103" s="114"/>
      <c r="Q103" s="113"/>
      <c r="R103" s="114"/>
      <c r="S103" s="113"/>
      <c r="T103" s="114"/>
      <c r="U103" s="113"/>
      <c r="V103" s="114"/>
      <c r="W103" s="113"/>
      <c r="X103" s="114"/>
      <c r="Y103" s="113"/>
      <c r="Z103" s="114"/>
      <c r="AB103" s="183"/>
    </row>
    <row r="104" spans="1:28" ht="15.75" hidden="1" customHeight="1" thickBot="1" x14ac:dyDescent="0.2">
      <c r="A104" s="136" t="s">
        <v>17</v>
      </c>
      <c r="B104" s="132" t="s">
        <v>0</v>
      </c>
      <c r="C104" s="113"/>
      <c r="D104" s="142">
        <f>SUM(D100:D102)</f>
        <v>2061.9141572600001</v>
      </c>
      <c r="E104" s="143"/>
      <c r="F104" s="142" t="e">
        <f>SUM(F100:F102)</f>
        <v>#REF!</v>
      </c>
      <c r="G104" s="143"/>
      <c r="H104" s="142" t="e">
        <f>SUM(H100:H102)</f>
        <v>#REF!</v>
      </c>
      <c r="I104" s="143"/>
      <c r="J104" s="142" t="e">
        <f>SUM(J100:J102)</f>
        <v>#REF!</v>
      </c>
      <c r="K104" s="143"/>
      <c r="L104" s="142" t="e">
        <f>SUM(L100:L102)</f>
        <v>#REF!</v>
      </c>
      <c r="M104" s="143"/>
      <c r="N104" s="142" t="e">
        <f>SUM(N100:N102)</f>
        <v>#REF!</v>
      </c>
      <c r="O104" s="143"/>
      <c r="P104" s="142" t="e">
        <f>SUM(P100:P102)</f>
        <v>#REF!</v>
      </c>
      <c r="Q104" s="143"/>
      <c r="R104" s="142" t="e">
        <f>SUM(R100:R102)</f>
        <v>#REF!</v>
      </c>
      <c r="S104" s="143"/>
      <c r="T104" s="142" t="e">
        <f>SUM(T100:T102)</f>
        <v>#REF!</v>
      </c>
      <c r="U104" s="143"/>
      <c r="V104" s="142" t="e">
        <f>SUM(V100:V102)</f>
        <v>#REF!</v>
      </c>
      <c r="W104" s="143"/>
      <c r="X104" s="142">
        <f>SUM(X100:X102)</f>
        <v>0</v>
      </c>
      <c r="Y104" s="143"/>
      <c r="Z104" s="142">
        <f>SUM(Z100:Z102)</f>
        <v>35.339196799999996</v>
      </c>
      <c r="AB104" s="183"/>
    </row>
    <row r="105" spans="1:28" ht="15.75" hidden="1" customHeight="1" thickBot="1" x14ac:dyDescent="0.2">
      <c r="A105" s="153"/>
      <c r="B105" s="144"/>
      <c r="C105" s="144"/>
      <c r="D105" s="145"/>
      <c r="E105" s="144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4"/>
      <c r="X105" s="145"/>
      <c r="Y105" s="144"/>
      <c r="Z105" s="145"/>
      <c r="AB105" s="183"/>
    </row>
    <row r="106" spans="1:28" ht="15" hidden="1" customHeight="1" x14ac:dyDescent="0.15">
      <c r="A106" s="153" t="s">
        <v>35</v>
      </c>
      <c r="B106" s="147">
        <v>0</v>
      </c>
      <c r="C106" s="144"/>
      <c r="D106" s="145">
        <f>D104*$B$106</f>
        <v>0</v>
      </c>
      <c r="E106" s="144"/>
      <c r="F106" s="145" t="e">
        <f>F104*$B$106</f>
        <v>#REF!</v>
      </c>
      <c r="G106" s="146"/>
      <c r="H106" s="145" t="e">
        <f>H104*$B$106</f>
        <v>#REF!</v>
      </c>
      <c r="I106" s="146"/>
      <c r="J106" s="145" t="e">
        <f>J104*$B$106</f>
        <v>#REF!</v>
      </c>
      <c r="K106" s="146"/>
      <c r="L106" s="145" t="e">
        <f>L104*$B$106</f>
        <v>#REF!</v>
      </c>
      <c r="M106" s="146"/>
      <c r="N106" s="145" t="e">
        <f>N104*$B$106</f>
        <v>#REF!</v>
      </c>
      <c r="O106" s="146"/>
      <c r="P106" s="145" t="e">
        <f>P104*$B$106</f>
        <v>#REF!</v>
      </c>
      <c r="Q106" s="146"/>
      <c r="R106" s="145" t="e">
        <f>R104*$B$106</f>
        <v>#REF!</v>
      </c>
      <c r="S106" s="146"/>
      <c r="T106" s="145" t="e">
        <f>T104*$B$106</f>
        <v>#REF!</v>
      </c>
      <c r="U106" s="146"/>
      <c r="V106" s="145" t="e">
        <f>V104*$B$106</f>
        <v>#REF!</v>
      </c>
      <c r="W106" s="144"/>
      <c r="X106" s="145">
        <f>X104*$B$106</f>
        <v>0</v>
      </c>
      <c r="Y106" s="144"/>
      <c r="Z106" s="145">
        <f>Z104*$B$106</f>
        <v>0</v>
      </c>
      <c r="AB106" s="183"/>
    </row>
    <row r="107" spans="1:28" ht="15" hidden="1" customHeight="1" x14ac:dyDescent="0.15">
      <c r="A107" s="153"/>
      <c r="B107" s="144"/>
      <c r="C107" s="144"/>
      <c r="D107" s="145"/>
      <c r="E107" s="144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4"/>
      <c r="X107" s="145"/>
      <c r="Y107" s="144"/>
      <c r="Z107" s="145"/>
      <c r="AB107" s="183"/>
    </row>
    <row r="108" spans="1:28" ht="15" hidden="1" customHeight="1" x14ac:dyDescent="0.15">
      <c r="A108" s="154" t="s">
        <v>20</v>
      </c>
      <c r="B108" s="147">
        <v>0</v>
      </c>
      <c r="C108" s="144"/>
      <c r="D108" s="145">
        <f>D104*$B$108</f>
        <v>0</v>
      </c>
      <c r="E108" s="149"/>
      <c r="F108" s="145" t="e">
        <f>F104*$B$108</f>
        <v>#REF!</v>
      </c>
      <c r="G108" s="149"/>
      <c r="H108" s="145" t="e">
        <f>H104*$B$108</f>
        <v>#REF!</v>
      </c>
      <c r="I108" s="149"/>
      <c r="J108" s="145" t="e">
        <f>J104*$B$108</f>
        <v>#REF!</v>
      </c>
      <c r="K108" s="149"/>
      <c r="L108" s="145" t="e">
        <f>L104*$B$108</f>
        <v>#REF!</v>
      </c>
      <c r="M108" s="149"/>
      <c r="N108" s="145" t="e">
        <f>N104*$B$108</f>
        <v>#REF!</v>
      </c>
      <c r="O108" s="149"/>
      <c r="P108" s="145" t="e">
        <f>P104*$B$108</f>
        <v>#REF!</v>
      </c>
      <c r="Q108" s="149"/>
      <c r="R108" s="145" t="e">
        <f>R104*$B$108</f>
        <v>#REF!</v>
      </c>
      <c r="S108" s="149"/>
      <c r="T108" s="145" t="e">
        <f>T104*$B$108</f>
        <v>#REF!</v>
      </c>
      <c r="U108" s="145"/>
      <c r="V108" s="145" t="e">
        <f t="shared" ref="V108" si="50">V104*$B$108</f>
        <v>#REF!</v>
      </c>
      <c r="W108" s="149"/>
      <c r="X108" s="145">
        <f>X104*$B$108</f>
        <v>0</v>
      </c>
      <c r="Y108" s="149"/>
      <c r="Z108" s="145">
        <f>Z104*$B$108</f>
        <v>0</v>
      </c>
      <c r="AB108" s="183"/>
    </row>
    <row r="109" spans="1:28" ht="15" hidden="1" customHeight="1" x14ac:dyDescent="0.15">
      <c r="A109" s="154"/>
      <c r="B109" s="148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B109" s="183"/>
    </row>
    <row r="110" spans="1:28" ht="14" x14ac:dyDescent="0.15">
      <c r="A110" s="155" t="s">
        <v>31</v>
      </c>
      <c r="B110" s="150">
        <v>0.1</v>
      </c>
      <c r="C110" s="144"/>
      <c r="D110" s="170">
        <f>D100*B110</f>
        <v>206.19141572600003</v>
      </c>
      <c r="E110" s="171"/>
      <c r="F110" s="170" t="e">
        <f>SUM(F108,F106,F104,)</f>
        <v>#REF!</v>
      </c>
      <c r="G110" s="171"/>
      <c r="H110" s="170" t="e">
        <f>SUM(H108,H106,H104,)</f>
        <v>#REF!</v>
      </c>
      <c r="I110" s="171"/>
      <c r="J110" s="170" t="e">
        <f>SUM(J108,J106,J104,)</f>
        <v>#REF!</v>
      </c>
      <c r="K110" s="171"/>
      <c r="L110" s="170" t="e">
        <f>SUM(L108,L106,L104,)</f>
        <v>#REF!</v>
      </c>
      <c r="M110" s="171"/>
      <c r="N110" s="170" t="e">
        <f>SUM(N108,N106,N104,)</f>
        <v>#REF!</v>
      </c>
      <c r="O110" s="171"/>
      <c r="P110" s="170" t="e">
        <f>SUM(P108,P106,P104,)</f>
        <v>#REF!</v>
      </c>
      <c r="Q110" s="171"/>
      <c r="R110" s="170" t="e">
        <f>SUM(R108,R106,R104,)</f>
        <v>#REF!</v>
      </c>
      <c r="S110" s="171"/>
      <c r="T110" s="170" t="e">
        <f>SUM(T108,T106,T104,)</f>
        <v>#REF!</v>
      </c>
      <c r="U110" s="170"/>
      <c r="V110" s="170" t="e">
        <f>SUM(V108,V106,V104,)</f>
        <v>#REF!</v>
      </c>
      <c r="W110" s="171"/>
      <c r="X110" s="170">
        <f>X100*B110</f>
        <v>0</v>
      </c>
      <c r="Y110" s="171"/>
      <c r="Z110" s="170">
        <f>Z100*B110</f>
        <v>3.5339196799999999</v>
      </c>
      <c r="AB110" s="183"/>
    </row>
    <row r="111" spans="1:28" ht="15" thickBot="1" x14ac:dyDescent="0.2">
      <c r="A111" s="156" t="s">
        <v>32</v>
      </c>
      <c r="B111" s="157"/>
      <c r="C111" s="157"/>
      <c r="D111" s="158">
        <f>D110+D100</f>
        <v>2268.105572986</v>
      </c>
      <c r="E111" s="157"/>
      <c r="F111" s="157"/>
      <c r="G111" s="157"/>
      <c r="H111" s="157"/>
      <c r="I111" s="157"/>
      <c r="J111" s="157"/>
      <c r="K111" s="157"/>
      <c r="L111" s="157"/>
      <c r="M111" s="158"/>
      <c r="N111" s="157"/>
      <c r="O111" s="157"/>
      <c r="P111" s="157"/>
      <c r="Q111" s="157"/>
      <c r="R111" s="157"/>
      <c r="S111" s="157"/>
      <c r="T111" s="157"/>
      <c r="U111" s="157"/>
      <c r="V111" s="157"/>
      <c r="W111" s="159"/>
      <c r="X111" s="158">
        <f>X110+X100</f>
        <v>0</v>
      </c>
      <c r="Y111" s="159"/>
      <c r="Z111" s="158">
        <f>Z110+Z100</f>
        <v>38.873116479999993</v>
      </c>
      <c r="AB111" s="183"/>
    </row>
    <row r="112" spans="1:28" ht="14" x14ac:dyDescent="0.15">
      <c r="A112" s="160" t="s">
        <v>30</v>
      </c>
      <c r="B112" s="161"/>
      <c r="C112" s="162"/>
      <c r="D112" s="163">
        <f>1*D115</f>
        <v>0</v>
      </c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3"/>
      <c r="S112" s="163"/>
      <c r="T112" s="163"/>
      <c r="U112" s="163"/>
      <c r="V112" s="163"/>
      <c r="W112" s="162"/>
      <c r="X112" s="163">
        <f>X111*X115</f>
        <v>0</v>
      </c>
      <c r="Y112" s="162"/>
      <c r="Z112" s="163">
        <f>Z111*Z115</f>
        <v>0.38873116479999992</v>
      </c>
      <c r="AB112" s="183"/>
    </row>
    <row r="113" spans="1:29" ht="15" thickBot="1" x14ac:dyDescent="0.2">
      <c r="A113" s="164" t="s">
        <v>33</v>
      </c>
      <c r="B113" s="165"/>
      <c r="C113" s="166"/>
      <c r="D113" s="167">
        <f>D112+D111</f>
        <v>2268.105572986</v>
      </c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7"/>
      <c r="S113" s="167"/>
      <c r="T113" s="167"/>
      <c r="U113" s="167"/>
      <c r="V113" s="167"/>
      <c r="W113" s="166"/>
      <c r="X113" s="167">
        <f>X112+X111</f>
        <v>0</v>
      </c>
      <c r="Y113" s="167"/>
      <c r="Z113" s="167">
        <f t="shared" ref="Z113" si="51">Z112+Z111</f>
        <v>39.261847644799992</v>
      </c>
      <c r="AB113" s="183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99"/>
    </row>
    <row r="115" spans="1:29" ht="14" x14ac:dyDescent="0.15">
      <c r="A115" s="98"/>
      <c r="B115" s="3"/>
      <c r="C115" s="98"/>
      <c r="D115" s="100"/>
      <c r="E115" s="98"/>
      <c r="F115" s="98"/>
      <c r="G115" s="98"/>
      <c r="H115" s="98"/>
      <c r="I115" s="98"/>
      <c r="J115" s="9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98"/>
      <c r="X115" s="100"/>
      <c r="Y115" s="98"/>
      <c r="Z115" s="100">
        <v>0.01</v>
      </c>
      <c r="AB115" s="183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99"/>
      <c r="AC116" s="125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02"/>
    </row>
    <row r="118" spans="1:29" ht="14" x14ac:dyDescent="0.15">
      <c r="A118" s="3"/>
      <c r="B118" s="184"/>
      <c r="C118" s="3"/>
      <c r="D118" s="1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99"/>
    </row>
    <row r="119" spans="1:29" ht="14" x14ac:dyDescent="0.15">
      <c r="A119" s="3"/>
      <c r="B119" s="184"/>
      <c r="C119" s="3"/>
      <c r="D119" s="1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24"/>
    </row>
    <row r="120" spans="1:29" ht="14" x14ac:dyDescent="0.15">
      <c r="A120" s="3"/>
      <c r="B120" s="184"/>
      <c r="C120" s="3"/>
      <c r="D120" s="1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24"/>
    </row>
    <row r="121" spans="1:29" ht="14" x14ac:dyDescent="0.15">
      <c r="A121" s="3"/>
      <c r="B121" s="184"/>
      <c r="C121" s="3"/>
      <c r="D121" s="1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184"/>
      <c r="C122" s="3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184"/>
      <c r="C123" s="3"/>
      <c r="D123" s="1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184"/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184"/>
      <c r="C125" s="3"/>
      <c r="D125" s="1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22"/>
      <c r="D126" s="122"/>
    </row>
    <row r="127" spans="1:29" x14ac:dyDescent="0.15">
      <c r="B127" s="122"/>
      <c r="D127" s="122"/>
    </row>
    <row r="128" spans="1:29" x14ac:dyDescent="0.15">
      <c r="D128" s="122"/>
    </row>
    <row r="129" spans="4:26" x14ac:dyDescent="0.15">
      <c r="D129" s="122"/>
    </row>
    <row r="130" spans="4:26" x14ac:dyDescent="0.15">
      <c r="D130" s="122"/>
    </row>
    <row r="131" spans="4:26" x14ac:dyDescent="0.15">
      <c r="D131" s="122"/>
      <c r="Z131" s="99"/>
    </row>
    <row r="132" spans="4:26" x14ac:dyDescent="0.15">
      <c r="D132" s="122"/>
    </row>
    <row r="133" spans="4:26" x14ac:dyDescent="0.15">
      <c r="D133" s="122"/>
    </row>
    <row r="134" spans="4:26" x14ac:dyDescent="0.15">
      <c r="D134" s="122"/>
    </row>
    <row r="135" spans="4:26" x14ac:dyDescent="0.15">
      <c r="D135" s="122"/>
    </row>
    <row r="136" spans="4:26" x14ac:dyDescent="0.15">
      <c r="D136" s="122"/>
    </row>
    <row r="137" spans="4:26" x14ac:dyDescent="0.15">
      <c r="D137" s="122"/>
    </row>
    <row r="138" spans="4:26" x14ac:dyDescent="0.15">
      <c r="D138" s="122"/>
    </row>
    <row r="139" spans="4:26" x14ac:dyDescent="0.15">
      <c r="D139" s="122"/>
    </row>
    <row r="140" spans="4:26" x14ac:dyDescent="0.15">
      <c r="D140" s="122"/>
    </row>
    <row r="141" spans="4:26" x14ac:dyDescent="0.15">
      <c r="D141" s="122"/>
    </row>
    <row r="142" spans="4:26" x14ac:dyDescent="0.15">
      <c r="D142" s="122"/>
    </row>
    <row r="143" spans="4:26" x14ac:dyDescent="0.15">
      <c r="D143" s="122"/>
    </row>
    <row r="144" spans="4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  <row r="149" spans="4:4" x14ac:dyDescent="0.15">
      <c r="D149" s="122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93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E931-D696-6245-9B8D-BFA6AD9769E0}">
  <sheetPr>
    <pageSetUpPr fitToPage="1"/>
  </sheetPr>
  <dimension ref="A1:AE149"/>
  <sheetViews>
    <sheetView tabSelected="1" topLeftCell="A11" zoomScaleNormal="100" workbookViewId="0">
      <selection activeCell="D114" sqref="D114:D116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22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197" t="s">
        <v>97</v>
      </c>
      <c r="B2" s="7"/>
      <c r="C2" s="193" t="s">
        <v>75</v>
      </c>
      <c r="D2" s="194"/>
      <c r="E2" s="193" t="s">
        <v>22</v>
      </c>
      <c r="F2" s="194"/>
      <c r="G2" s="193" t="s">
        <v>23</v>
      </c>
      <c r="H2" s="194"/>
      <c r="I2" s="193" t="s">
        <v>24</v>
      </c>
      <c r="J2" s="194"/>
      <c r="K2" s="193" t="s">
        <v>25</v>
      </c>
      <c r="L2" s="194"/>
      <c r="M2" s="193" t="s">
        <v>26</v>
      </c>
      <c r="N2" s="194"/>
      <c r="O2" s="193" t="s">
        <v>27</v>
      </c>
      <c r="P2" s="194"/>
      <c r="Q2" s="193" t="s">
        <v>28</v>
      </c>
      <c r="R2" s="194"/>
      <c r="S2" s="193" t="s">
        <v>29</v>
      </c>
      <c r="T2" s="194"/>
      <c r="U2" s="193" t="s">
        <v>21</v>
      </c>
      <c r="V2" s="194"/>
      <c r="W2" s="193" t="s">
        <v>40</v>
      </c>
      <c r="X2" s="194"/>
      <c r="Y2" s="193" t="s">
        <v>41</v>
      </c>
      <c r="Z2" s="194"/>
    </row>
    <row r="3" spans="1:28" ht="45.75" customHeight="1" thickBot="1" x14ac:dyDescent="0.2">
      <c r="A3" s="198"/>
      <c r="B3" s="8" t="s">
        <v>0</v>
      </c>
      <c r="C3" s="195"/>
      <c r="D3" s="196"/>
      <c r="E3" s="195"/>
      <c r="F3" s="196"/>
      <c r="G3" s="195"/>
      <c r="H3" s="196"/>
      <c r="I3" s="195"/>
      <c r="J3" s="196"/>
      <c r="K3" s="195"/>
      <c r="L3" s="196"/>
      <c r="M3" s="195"/>
      <c r="N3" s="196"/>
      <c r="O3" s="195"/>
      <c r="P3" s="196"/>
      <c r="Q3" s="195"/>
      <c r="R3" s="196"/>
      <c r="S3" s="195"/>
      <c r="T3" s="196"/>
      <c r="U3" s="195"/>
      <c r="V3" s="196"/>
      <c r="W3" s="195"/>
      <c r="X3" s="196"/>
      <c r="Y3" s="195"/>
      <c r="Z3" s="196"/>
    </row>
    <row r="4" spans="1:28" ht="19" thickBot="1" x14ac:dyDescent="0.2">
      <c r="A4" s="192">
        <f>D113</f>
        <v>5710.8386528159999</v>
      </c>
      <c r="B4" s="8" t="s">
        <v>0</v>
      </c>
      <c r="C4" s="195"/>
      <c r="D4" s="196"/>
      <c r="E4" s="195"/>
      <c r="F4" s="196"/>
      <c r="G4" s="195"/>
      <c r="H4" s="196"/>
      <c r="I4" s="195"/>
      <c r="J4" s="196"/>
      <c r="K4" s="195"/>
      <c r="L4" s="196"/>
      <c r="M4" s="195"/>
      <c r="N4" s="196"/>
      <c r="O4" s="195"/>
      <c r="P4" s="196"/>
      <c r="Q4" s="195"/>
      <c r="R4" s="196"/>
      <c r="S4" s="195"/>
      <c r="T4" s="196"/>
      <c r="U4" s="195"/>
      <c r="V4" s="196"/>
      <c r="W4" s="195"/>
      <c r="X4" s="196"/>
      <c r="Y4" s="195"/>
      <c r="Z4" s="196"/>
    </row>
    <row r="5" spans="1:28" ht="21.75" customHeight="1" thickBot="1" x14ac:dyDescent="0.2">
      <c r="A5" s="9"/>
      <c r="B5" s="8" t="s">
        <v>0</v>
      </c>
      <c r="C5" s="195"/>
      <c r="D5" s="196"/>
      <c r="E5" s="195"/>
      <c r="F5" s="196"/>
      <c r="G5" s="195"/>
      <c r="H5" s="196"/>
      <c r="I5" s="195"/>
      <c r="J5" s="196"/>
      <c r="K5" s="195"/>
      <c r="L5" s="196"/>
      <c r="M5" s="195"/>
      <c r="N5" s="196"/>
      <c r="O5" s="195"/>
      <c r="P5" s="196"/>
      <c r="Q5" s="195"/>
      <c r="R5" s="196"/>
      <c r="S5" s="195"/>
      <c r="T5" s="196"/>
      <c r="U5" s="195"/>
      <c r="V5" s="196"/>
      <c r="W5" s="195"/>
      <c r="X5" s="196"/>
      <c r="Y5" s="195"/>
      <c r="Z5" s="196"/>
    </row>
    <row r="6" spans="1:28" ht="15" thickBot="1" x14ac:dyDescent="0.2">
      <c r="A6" s="10" t="s">
        <v>76</v>
      </c>
      <c r="B6" s="11" t="s">
        <v>0</v>
      </c>
      <c r="C6" s="199" t="s">
        <v>18</v>
      </c>
      <c r="D6" s="200"/>
      <c r="E6" s="199" t="s">
        <v>18</v>
      </c>
      <c r="F6" s="200"/>
      <c r="G6" s="199" t="s">
        <v>18</v>
      </c>
      <c r="H6" s="200"/>
      <c r="I6" s="201" t="s">
        <v>18</v>
      </c>
      <c r="J6" s="200"/>
      <c r="K6" s="201" t="s">
        <v>18</v>
      </c>
      <c r="L6" s="200"/>
      <c r="M6" s="199" t="s">
        <v>18</v>
      </c>
      <c r="N6" s="200"/>
      <c r="O6" s="199" t="s">
        <v>18</v>
      </c>
      <c r="P6" s="200"/>
      <c r="Q6" s="199" t="s">
        <v>18</v>
      </c>
      <c r="R6" s="200"/>
      <c r="S6" s="199" t="s">
        <v>18</v>
      </c>
      <c r="T6" s="200"/>
      <c r="U6" s="199" t="s">
        <v>18</v>
      </c>
      <c r="V6" s="200"/>
      <c r="W6" s="199" t="s">
        <v>18</v>
      </c>
      <c r="X6" s="200"/>
      <c r="Y6" s="199" t="s">
        <v>18</v>
      </c>
      <c r="Z6" s="200"/>
    </row>
    <row r="7" spans="1:28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8" ht="21" thickBot="1" x14ac:dyDescent="0.25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  <c r="AB8" s="190" t="s">
        <v>46</v>
      </c>
    </row>
    <row r="9" spans="1:28" ht="14" x14ac:dyDescent="0.15">
      <c r="A9" s="21" t="s">
        <v>47</v>
      </c>
      <c r="B9" s="22">
        <v>37</v>
      </c>
      <c r="C9" s="23">
        <v>3</v>
      </c>
      <c r="D9" s="24">
        <f>C9*$B$9</f>
        <v>111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  <c r="AB9" s="102"/>
    </row>
    <row r="10" spans="1:28" ht="22.25" customHeight="1" x14ac:dyDescent="0.15">
      <c r="A10" s="25" t="s">
        <v>36</v>
      </c>
      <c r="B10" s="189">
        <v>28.85</v>
      </c>
      <c r="C10" s="23">
        <v>4</v>
      </c>
      <c r="D10" s="24">
        <f>C10*$B$10</f>
        <v>115.4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  <c r="AB10" s="186"/>
    </row>
    <row r="11" spans="1:28" ht="14" x14ac:dyDescent="0.15">
      <c r="A11" s="25" t="s">
        <v>38</v>
      </c>
      <c r="B11" s="26">
        <v>23</v>
      </c>
      <c r="C11" s="23"/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  <c r="AB11" s="102"/>
    </row>
    <row r="12" spans="1:28" ht="14" x14ac:dyDescent="0.15">
      <c r="A12" s="27" t="s">
        <v>62</v>
      </c>
      <c r="B12" s="26">
        <v>16</v>
      </c>
      <c r="C12" s="28">
        <v>3</v>
      </c>
      <c r="D12" s="24">
        <f>C12*$B$12</f>
        <v>48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32</v>
      </c>
      <c r="AB12" s="102"/>
    </row>
    <row r="13" spans="1:28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  <c r="AB13" s="187"/>
    </row>
    <row r="14" spans="1:28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8" ht="14" x14ac:dyDescent="0.15">
      <c r="A15" s="37" t="s">
        <v>48</v>
      </c>
      <c r="B15" s="26">
        <v>35</v>
      </c>
      <c r="C15" s="23">
        <v>0</v>
      </c>
      <c r="D15" s="38">
        <f>B15*C15</f>
        <v>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</row>
    <row r="16" spans="1:28" ht="14" x14ac:dyDescent="0.15">
      <c r="A16" s="37" t="s">
        <v>57</v>
      </c>
      <c r="B16" s="26">
        <v>28</v>
      </c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</row>
    <row r="17" spans="1:28" ht="14" x14ac:dyDescent="0.15">
      <c r="A17" s="37" t="s">
        <v>58</v>
      </c>
      <c r="B17" s="26">
        <v>23</v>
      </c>
      <c r="C17" s="23">
        <v>0</v>
      </c>
      <c r="D17" s="38">
        <f t="shared" si="0"/>
        <v>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</row>
    <row r="18" spans="1:28" ht="14" x14ac:dyDescent="0.15">
      <c r="A18" s="37" t="s">
        <v>70</v>
      </c>
      <c r="B18" s="26">
        <v>28</v>
      </c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</row>
    <row r="19" spans="1:28" ht="14" x14ac:dyDescent="0.15">
      <c r="A19" s="37" t="s">
        <v>7</v>
      </c>
      <c r="B19" s="26">
        <v>28</v>
      </c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  <c r="AB19" s="102"/>
    </row>
    <row r="20" spans="1:28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8" ht="14" x14ac:dyDescent="0.15">
      <c r="A21" s="45" t="s">
        <v>8</v>
      </c>
      <c r="B21" s="26"/>
      <c r="C21" s="46">
        <f t="shared" ref="C21:D21" si="1">SUM(C9:C20)</f>
        <v>10</v>
      </c>
      <c r="D21" s="48">
        <f t="shared" si="1"/>
        <v>274.39999999999998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32</v>
      </c>
      <c r="AB21" s="99"/>
    </row>
    <row r="22" spans="1:28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  <c r="AB22" s="99"/>
    </row>
    <row r="23" spans="1:28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1.8384799999999999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0.21440000000000001</v>
      </c>
      <c r="AB23" s="99"/>
    </row>
    <row r="24" spans="1:28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  <c r="AB24" s="99"/>
    </row>
    <row r="25" spans="1:28" ht="15" thickBot="1" x14ac:dyDescent="0.2">
      <c r="A25" s="61" t="s">
        <v>9</v>
      </c>
      <c r="B25" s="62"/>
      <c r="C25" s="63">
        <f>SUM(C21:C21)</f>
        <v>10</v>
      </c>
      <c r="D25" s="64">
        <f>SUM(D21:D21, D23)</f>
        <v>276.23847999999998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32.214399999999998</v>
      </c>
      <c r="AB25" s="99"/>
    </row>
    <row r="26" spans="1:28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  <c r="AB26" s="99"/>
    </row>
    <row r="27" spans="1:28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  <c r="AB27" s="99"/>
    </row>
    <row r="28" spans="1:28" ht="14" x14ac:dyDescent="0.15">
      <c r="A28" s="72" t="s">
        <v>74</v>
      </c>
      <c r="B28" s="73">
        <v>0</v>
      </c>
      <c r="C28" s="71">
        <v>1</v>
      </c>
      <c r="D28" s="38">
        <f>C28*$B$28</f>
        <v>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  <c r="AB28" s="168"/>
    </row>
    <row r="29" spans="1:28" ht="14" x14ac:dyDescent="0.15">
      <c r="A29" s="72" t="s">
        <v>64</v>
      </c>
      <c r="B29" s="73">
        <v>0</v>
      </c>
      <c r="C29" s="71">
        <v>4</v>
      </c>
      <c r="D29" s="38">
        <f>C29*B29</f>
        <v>0</v>
      </c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  <c r="AB29" s="168"/>
    </row>
    <row r="30" spans="1:28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  <c r="AB30" s="99"/>
    </row>
    <row r="31" spans="1:28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  <c r="AB31" s="99"/>
    </row>
    <row r="32" spans="1:28" ht="16" hidden="1" thickBot="1" x14ac:dyDescent="0.2">
      <c r="A32" s="103" t="s">
        <v>42</v>
      </c>
      <c r="B32" s="188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  <c r="AB32" s="185"/>
    </row>
    <row r="33" spans="1:28" ht="16" hidden="1" thickBot="1" x14ac:dyDescent="0.2">
      <c r="A33" s="103" t="s">
        <v>52</v>
      </c>
      <c r="B33" s="188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  <c r="AB33" s="185"/>
    </row>
    <row r="34" spans="1:28" ht="15" hidden="1" thickBot="1" x14ac:dyDescent="0.2">
      <c r="A34" s="104" t="s">
        <v>54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  <c r="AB34" s="99"/>
    </row>
    <row r="35" spans="1:28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  <c r="AB35" s="99"/>
    </row>
    <row r="36" spans="1:28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  <c r="AB36" s="99"/>
    </row>
    <row r="37" spans="1:28" ht="30.75" hidden="1" customHeight="1" thickBot="1" x14ac:dyDescent="0.2">
      <c r="A37" s="106" t="s">
        <v>50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  <c r="AB37" s="99"/>
    </row>
    <row r="38" spans="1:28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  <c r="AB38" s="99"/>
    </row>
    <row r="39" spans="1:28" ht="14" x14ac:dyDescent="0.15">
      <c r="A39" s="172"/>
      <c r="B39" s="173"/>
      <c r="C39" s="174"/>
      <c r="D39" s="175"/>
      <c r="E39" s="176"/>
      <c r="F39" s="175"/>
      <c r="G39" s="176"/>
      <c r="H39" s="175"/>
      <c r="I39" s="176"/>
      <c r="J39" s="175"/>
      <c r="K39" s="176"/>
      <c r="L39" s="175"/>
      <c r="M39" s="176"/>
      <c r="N39" s="175"/>
      <c r="O39" s="176"/>
      <c r="P39" s="175"/>
      <c r="Q39" s="176"/>
      <c r="R39" s="175"/>
      <c r="S39" s="176"/>
      <c r="T39" s="175"/>
      <c r="U39" s="176"/>
      <c r="V39" s="175"/>
      <c r="W39" s="176"/>
      <c r="X39" s="175"/>
      <c r="Y39" s="176"/>
      <c r="Z39" s="175"/>
      <c r="AB39" s="177"/>
    </row>
    <row r="40" spans="1:28" ht="15" x14ac:dyDescent="0.15">
      <c r="A40" s="89" t="s">
        <v>93</v>
      </c>
      <c r="B40" s="90">
        <v>400</v>
      </c>
      <c r="C40" s="71">
        <v>1</v>
      </c>
      <c r="D40" s="38">
        <f>C40*$B$40</f>
        <v>400</v>
      </c>
      <c r="E40" s="71">
        <v>0</v>
      </c>
      <c r="F40" s="38">
        <f>E40*$B$40</f>
        <v>0</v>
      </c>
      <c r="G40" s="71">
        <v>0</v>
      </c>
      <c r="H40" s="38">
        <f>G40*$B$40</f>
        <v>0</v>
      </c>
      <c r="I40" s="71">
        <v>0</v>
      </c>
      <c r="J40" s="38">
        <f>I40*$B$40</f>
        <v>0</v>
      </c>
      <c r="K40" s="71">
        <v>0</v>
      </c>
      <c r="L40" s="38">
        <f>K40*$B$40</f>
        <v>0</v>
      </c>
      <c r="M40" s="71">
        <v>0</v>
      </c>
      <c r="N40" s="38">
        <f>M40*$B$40</f>
        <v>0</v>
      </c>
      <c r="O40" s="71">
        <v>0</v>
      </c>
      <c r="P40" s="38">
        <f>O40*$B$40</f>
        <v>0</v>
      </c>
      <c r="Q40" s="71">
        <v>0</v>
      </c>
      <c r="R40" s="38">
        <f>Q40*$B$40</f>
        <v>0</v>
      </c>
      <c r="S40" s="71">
        <v>0</v>
      </c>
      <c r="T40" s="38">
        <f>S40*$B$40</f>
        <v>0</v>
      </c>
      <c r="U40" s="71">
        <v>0</v>
      </c>
      <c r="V40" s="38">
        <f>U40*$B$40</f>
        <v>0</v>
      </c>
      <c r="W40" s="71">
        <v>0</v>
      </c>
      <c r="X40" s="24">
        <f>W40*B40</f>
        <v>0</v>
      </c>
      <c r="Y40" s="71">
        <v>0</v>
      </c>
      <c r="Z40" s="38">
        <f>Y40*$B$40</f>
        <v>0</v>
      </c>
      <c r="AB40" s="169"/>
    </row>
    <row r="41" spans="1:28" ht="14" x14ac:dyDescent="0.15">
      <c r="A41" s="191"/>
      <c r="B41" s="90">
        <v>0</v>
      </c>
      <c r="C41" s="71">
        <v>1</v>
      </c>
      <c r="D41" s="38">
        <f>C41*B41</f>
        <v>0</v>
      </c>
      <c r="E41" s="71">
        <v>0</v>
      </c>
      <c r="F41" s="38">
        <f>E41*$B$40</f>
        <v>0</v>
      </c>
      <c r="G41" s="71">
        <v>0</v>
      </c>
      <c r="H41" s="38">
        <f>G41*$B$40</f>
        <v>0</v>
      </c>
      <c r="I41" s="71">
        <v>0</v>
      </c>
      <c r="J41" s="38">
        <f>I41*$B$40</f>
        <v>0</v>
      </c>
      <c r="K41" s="71">
        <v>0</v>
      </c>
      <c r="L41" s="38">
        <f>K41*$B$40</f>
        <v>0</v>
      </c>
      <c r="M41" s="71">
        <v>0</v>
      </c>
      <c r="N41" s="38">
        <f>M41*$B$40</f>
        <v>0</v>
      </c>
      <c r="O41" s="71">
        <v>0</v>
      </c>
      <c r="P41" s="38">
        <f>O41*$B$40</f>
        <v>0</v>
      </c>
      <c r="Q41" s="71">
        <v>0</v>
      </c>
      <c r="R41" s="38">
        <f>Q41*$B$40</f>
        <v>0</v>
      </c>
      <c r="S41" s="71">
        <v>0</v>
      </c>
      <c r="T41" s="38">
        <f>S41*$B$40</f>
        <v>0</v>
      </c>
      <c r="U41" s="71">
        <v>0</v>
      </c>
      <c r="V41" s="38">
        <f>U41*$B$40</f>
        <v>0</v>
      </c>
      <c r="W41" s="71">
        <v>0</v>
      </c>
      <c r="X41" s="24">
        <f>W41*B41</f>
        <v>0</v>
      </c>
      <c r="Y41" s="71">
        <v>0</v>
      </c>
      <c r="Z41" s="38">
        <f>Y41*$B$40</f>
        <v>0</v>
      </c>
      <c r="AB41" s="169"/>
    </row>
    <row r="42" spans="1:28" ht="15" thickBot="1" x14ac:dyDescent="0.2">
      <c r="A42" s="91"/>
      <c r="B42" s="92"/>
      <c r="C42" s="71"/>
      <c r="D42" s="38"/>
      <c r="E42" s="71"/>
      <c r="F42" s="38"/>
      <c r="G42" s="71"/>
      <c r="H42" s="38"/>
      <c r="I42" s="71"/>
      <c r="J42" s="38"/>
      <c r="K42" s="71"/>
      <c r="L42" s="38"/>
      <c r="M42" s="71"/>
      <c r="N42" s="38"/>
      <c r="O42" s="71"/>
      <c r="P42" s="38"/>
      <c r="Q42" s="71"/>
      <c r="R42" s="38"/>
      <c r="S42" s="71"/>
      <c r="T42" s="38"/>
      <c r="U42" s="71"/>
      <c r="V42" s="38"/>
      <c r="W42" s="71"/>
      <c r="X42" s="38"/>
      <c r="Y42" s="71"/>
      <c r="Z42" s="38"/>
      <c r="AB42" s="99"/>
    </row>
    <row r="43" spans="1:28" ht="13.5" hidden="1" customHeight="1" thickBot="1" x14ac:dyDescent="0.2">
      <c r="A43" s="93"/>
      <c r="B43" s="94">
        <v>0</v>
      </c>
      <c r="C43" s="76">
        <v>0</v>
      </c>
      <c r="D43" s="95">
        <f>+C43*B43</f>
        <v>0</v>
      </c>
      <c r="E43" s="76">
        <v>0</v>
      </c>
      <c r="F43" s="42">
        <f>SUM($B43*E43)</f>
        <v>0</v>
      </c>
      <c r="G43" s="96">
        <v>0</v>
      </c>
      <c r="H43" s="42">
        <f>SUM($B43*G43)</f>
        <v>0</v>
      </c>
      <c r="I43" s="96">
        <v>0</v>
      </c>
      <c r="J43" s="42">
        <f>SUM($B43*I43)</f>
        <v>0</v>
      </c>
      <c r="K43" s="96">
        <v>0</v>
      </c>
      <c r="L43" s="42">
        <f>SUM($B43*K43)</f>
        <v>0</v>
      </c>
      <c r="M43" s="96">
        <v>0</v>
      </c>
      <c r="N43" s="42">
        <f>SUM($B43*M43)</f>
        <v>0</v>
      </c>
      <c r="O43" s="96">
        <v>0</v>
      </c>
      <c r="P43" s="42">
        <f>SUM($B43*O43)</f>
        <v>0</v>
      </c>
      <c r="Q43" s="96">
        <v>0</v>
      </c>
      <c r="R43" s="42">
        <f>SUM($B43*Q43)</f>
        <v>0</v>
      </c>
      <c r="S43" s="96">
        <v>0</v>
      </c>
      <c r="T43" s="42">
        <f>SUM($B43*S43)</f>
        <v>0</v>
      </c>
      <c r="U43" s="96">
        <v>0</v>
      </c>
      <c r="V43" s="42">
        <f>SUM($B43*U43)</f>
        <v>0</v>
      </c>
      <c r="W43" s="76">
        <v>0</v>
      </c>
      <c r="X43" s="95">
        <f>+W43*R43</f>
        <v>0</v>
      </c>
      <c r="Y43" s="76">
        <v>0</v>
      </c>
      <c r="Z43" s="95">
        <f>+Y43*T43</f>
        <v>0</v>
      </c>
      <c r="AB43" s="99"/>
    </row>
    <row r="44" spans="1:28" ht="14" x14ac:dyDescent="0.15">
      <c r="A44" s="107" t="s">
        <v>39</v>
      </c>
      <c r="B44" s="108"/>
      <c r="C44" s="109"/>
      <c r="D44" s="110"/>
      <c r="E44" s="109"/>
      <c r="F44" s="110"/>
      <c r="G44" s="111"/>
      <c r="H44" s="110"/>
      <c r="I44" s="111"/>
      <c r="J44" s="110"/>
      <c r="K44" s="111"/>
      <c r="L44" s="110"/>
      <c r="M44" s="111"/>
      <c r="N44" s="110"/>
      <c r="O44" s="111"/>
      <c r="P44" s="110"/>
      <c r="Q44" s="111"/>
      <c r="R44" s="110"/>
      <c r="S44" s="111"/>
      <c r="T44" s="110"/>
      <c r="U44" s="111"/>
      <c r="V44" s="110"/>
      <c r="W44" s="109"/>
      <c r="X44" s="110"/>
      <c r="Y44" s="109"/>
      <c r="Z44" s="110"/>
      <c r="AB44" s="99"/>
    </row>
    <row r="45" spans="1:28" ht="18.75" customHeight="1" x14ac:dyDescent="0.15">
      <c r="A45" s="112" t="s">
        <v>94</v>
      </c>
      <c r="B45" s="182"/>
      <c r="C45" s="113">
        <v>1</v>
      </c>
      <c r="D45" s="114">
        <f>C45*$B$45</f>
        <v>0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Q45*$B$45</f>
        <v>0</v>
      </c>
      <c r="S45" s="115">
        <v>0</v>
      </c>
      <c r="T45" s="114">
        <f>S45*$B$45</f>
        <v>0</v>
      </c>
      <c r="U45" s="115">
        <v>0</v>
      </c>
      <c r="V45" s="114">
        <f>U45*$B$45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  <c r="AB45" s="99"/>
    </row>
    <row r="46" spans="1:28" ht="18.75" hidden="1" customHeight="1" x14ac:dyDescent="0.15">
      <c r="A46" s="112"/>
      <c r="B46" s="182"/>
      <c r="C46" s="113">
        <v>1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Q46*$B$45</f>
        <v>0</v>
      </c>
      <c r="S46" s="115">
        <v>0</v>
      </c>
      <c r="T46" s="114">
        <f>S46*$B$45</f>
        <v>0</v>
      </c>
      <c r="U46" s="115">
        <v>0</v>
      </c>
      <c r="V46" s="114">
        <f>U46*$B$45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  <c r="AB46" s="99"/>
    </row>
    <row r="47" spans="1:28" ht="18.75" hidden="1" customHeight="1" x14ac:dyDescent="0.15">
      <c r="A47" s="112"/>
      <c r="B47" s="182"/>
      <c r="C47" s="113">
        <v>0</v>
      </c>
      <c r="D47" s="114">
        <f>C47*B47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0</v>
      </c>
      <c r="X47" s="114">
        <f>W47*$B$47</f>
        <v>0</v>
      </c>
      <c r="Y47" s="113">
        <v>0</v>
      </c>
      <c r="Z47" s="114">
        <f>Y47*$B$47</f>
        <v>0</v>
      </c>
      <c r="AB47" s="99"/>
    </row>
    <row r="48" spans="1:28" ht="18.75" hidden="1" customHeight="1" x14ac:dyDescent="0.15">
      <c r="A48" s="112"/>
      <c r="B48" s="182"/>
      <c r="C48" s="113">
        <v>0</v>
      </c>
      <c r="D48" s="114">
        <f>C48*$B$48</f>
        <v>0</v>
      </c>
      <c r="E48" s="115">
        <v>0</v>
      </c>
      <c r="F48" s="114">
        <f>E48*$B$48</f>
        <v>0</v>
      </c>
      <c r="G48" s="115">
        <v>0</v>
      </c>
      <c r="H48" s="114">
        <f>G48*$B$48</f>
        <v>0</v>
      </c>
      <c r="I48" s="115">
        <v>0</v>
      </c>
      <c r="J48" s="114">
        <f>I48*$B$48</f>
        <v>0</v>
      </c>
      <c r="K48" s="115">
        <v>0</v>
      </c>
      <c r="L48" s="114">
        <f>K48*$B$48</f>
        <v>0</v>
      </c>
      <c r="M48" s="115">
        <v>0</v>
      </c>
      <c r="N48" s="114">
        <f>M48*$B$48</f>
        <v>0</v>
      </c>
      <c r="O48" s="115">
        <v>0</v>
      </c>
      <c r="P48" s="114">
        <f>O48*$B$48</f>
        <v>0</v>
      </c>
      <c r="Q48" s="115">
        <v>0</v>
      </c>
      <c r="R48" s="114">
        <f>Q48*$B$48</f>
        <v>0</v>
      </c>
      <c r="S48" s="115">
        <v>0</v>
      </c>
      <c r="T48" s="114">
        <f>S48*$B$48</f>
        <v>0</v>
      </c>
      <c r="U48" s="115">
        <v>0</v>
      </c>
      <c r="V48" s="114">
        <f>U48*$B$48</f>
        <v>0</v>
      </c>
      <c r="W48" s="113">
        <v>1</v>
      </c>
      <c r="X48" s="114">
        <f>W48*$B$48</f>
        <v>0</v>
      </c>
      <c r="Y48" s="113">
        <v>1</v>
      </c>
      <c r="Z48" s="114">
        <f>Y48*$B$48</f>
        <v>0</v>
      </c>
      <c r="AB48" s="99"/>
    </row>
    <row r="49" spans="1:31" ht="15" x14ac:dyDescent="0.15">
      <c r="A49" s="112" t="s">
        <v>95</v>
      </c>
      <c r="B49" s="182">
        <v>4056.37</v>
      </c>
      <c r="C49" s="113">
        <v>1</v>
      </c>
      <c r="D49" s="114">
        <f>C49*$B$49</f>
        <v>4056.37</v>
      </c>
      <c r="E49" s="115">
        <v>0</v>
      </c>
      <c r="F49" s="114">
        <f>E49*$B$48</f>
        <v>0</v>
      </c>
      <c r="G49" s="115">
        <v>0</v>
      </c>
      <c r="H49" s="114">
        <f>G49*$B$48</f>
        <v>0</v>
      </c>
      <c r="I49" s="115">
        <v>0</v>
      </c>
      <c r="J49" s="114">
        <f>I49*$B$48</f>
        <v>0</v>
      </c>
      <c r="K49" s="115">
        <v>0</v>
      </c>
      <c r="L49" s="114">
        <f>K49*$B$48</f>
        <v>0</v>
      </c>
      <c r="M49" s="115">
        <v>0</v>
      </c>
      <c r="N49" s="114">
        <f>M49*$B$48</f>
        <v>0</v>
      </c>
      <c r="O49" s="115">
        <v>0</v>
      </c>
      <c r="P49" s="114">
        <f>O49*$B$48</f>
        <v>0</v>
      </c>
      <c r="Q49" s="115">
        <v>0</v>
      </c>
      <c r="R49" s="114">
        <f>Q49*$B$48</f>
        <v>0</v>
      </c>
      <c r="S49" s="115">
        <v>0</v>
      </c>
      <c r="T49" s="114">
        <f>S49*$B$48</f>
        <v>0</v>
      </c>
      <c r="U49" s="115">
        <v>0</v>
      </c>
      <c r="V49" s="114">
        <f>U49*$B$48</f>
        <v>0</v>
      </c>
      <c r="W49" s="113">
        <v>0</v>
      </c>
      <c r="X49" s="114">
        <f>W49*$B$48</f>
        <v>0</v>
      </c>
      <c r="Y49" s="113">
        <v>0</v>
      </c>
      <c r="Z49" s="114">
        <f>Y49*$B$48</f>
        <v>0</v>
      </c>
      <c r="AB49" s="168" t="s">
        <v>99</v>
      </c>
      <c r="AE49" s="99"/>
    </row>
    <row r="50" spans="1:31" ht="15" hidden="1" customHeight="1" x14ac:dyDescent="0.15">
      <c r="A50" s="112"/>
      <c r="B50" s="182"/>
      <c r="C50" s="113">
        <v>0</v>
      </c>
      <c r="D50" s="114">
        <f>C50*$B$50</f>
        <v>0</v>
      </c>
      <c r="E50" s="115">
        <v>0</v>
      </c>
      <c r="F50" s="114">
        <f>E50*$B$50</f>
        <v>0</v>
      </c>
      <c r="G50" s="115">
        <v>0</v>
      </c>
      <c r="H50" s="114">
        <f>G50*$B$50</f>
        <v>0</v>
      </c>
      <c r="I50" s="115">
        <v>0</v>
      </c>
      <c r="J50" s="114">
        <f>I50*$B$50</f>
        <v>0</v>
      </c>
      <c r="K50" s="115">
        <v>0</v>
      </c>
      <c r="L50" s="114">
        <f>K50*$B$50</f>
        <v>0</v>
      </c>
      <c r="M50" s="115">
        <v>0</v>
      </c>
      <c r="N50" s="114">
        <f>M50*$B$50</f>
        <v>0</v>
      </c>
      <c r="O50" s="115">
        <v>0</v>
      </c>
      <c r="P50" s="114">
        <f>O50*$B$50</f>
        <v>0</v>
      </c>
      <c r="Q50" s="115">
        <v>0</v>
      </c>
      <c r="R50" s="114">
        <f>Q50*$B$50</f>
        <v>0</v>
      </c>
      <c r="S50" s="115">
        <v>0</v>
      </c>
      <c r="T50" s="114">
        <f>S50*$B$50</f>
        <v>0</v>
      </c>
      <c r="U50" s="115">
        <v>0</v>
      </c>
      <c r="V50" s="114">
        <f>U50*$B$50</f>
        <v>0</v>
      </c>
      <c r="W50" s="113">
        <v>0</v>
      </c>
      <c r="X50" s="114">
        <f>W50*$B$50</f>
        <v>0</v>
      </c>
      <c r="Y50" s="113">
        <v>0</v>
      </c>
      <c r="Z50" s="114">
        <f>Y50*$B$50</f>
        <v>0</v>
      </c>
      <c r="AB50" s="99"/>
    </row>
    <row r="51" spans="1:31" ht="15" hidden="1" customHeight="1" x14ac:dyDescent="0.15">
      <c r="A51" s="112"/>
      <c r="B51" s="182"/>
      <c r="C51" s="113">
        <v>0</v>
      </c>
      <c r="D51" s="114">
        <f>C51*$B$51</f>
        <v>0</v>
      </c>
      <c r="E51" s="115">
        <v>0</v>
      </c>
      <c r="F51" s="114">
        <f>E51*$B$50</f>
        <v>0</v>
      </c>
      <c r="G51" s="115">
        <v>0</v>
      </c>
      <c r="H51" s="114">
        <f>G51*$B$50</f>
        <v>0</v>
      </c>
      <c r="I51" s="115">
        <v>0</v>
      </c>
      <c r="J51" s="114">
        <f>I51*$B$50</f>
        <v>0</v>
      </c>
      <c r="K51" s="115">
        <v>0</v>
      </c>
      <c r="L51" s="114">
        <f>K51*$B$50</f>
        <v>0</v>
      </c>
      <c r="M51" s="115">
        <v>0</v>
      </c>
      <c r="N51" s="114">
        <f>M51*$B$50</f>
        <v>0</v>
      </c>
      <c r="O51" s="115">
        <v>0</v>
      </c>
      <c r="P51" s="114">
        <f>O51*$B$50</f>
        <v>0</v>
      </c>
      <c r="Q51" s="115">
        <v>0</v>
      </c>
      <c r="R51" s="114">
        <f>Q51*$B$50</f>
        <v>0</v>
      </c>
      <c r="S51" s="115">
        <v>0</v>
      </c>
      <c r="T51" s="114">
        <f>S51*$B$50</f>
        <v>0</v>
      </c>
      <c r="U51" s="115">
        <v>0</v>
      </c>
      <c r="V51" s="114">
        <f>U51*$B$50</f>
        <v>0</v>
      </c>
      <c r="W51" s="113">
        <v>0</v>
      </c>
      <c r="X51" s="114">
        <f>W51*$B$50</f>
        <v>0</v>
      </c>
      <c r="Y51" s="113">
        <v>0</v>
      </c>
      <c r="Z51" s="114">
        <f>Y51*$B$50</f>
        <v>0</v>
      </c>
      <c r="AB51" s="99"/>
    </row>
    <row r="52" spans="1:31" ht="15" hidden="1" customHeight="1" x14ac:dyDescent="0.15">
      <c r="A52" s="112"/>
      <c r="B52" s="182"/>
      <c r="C52" s="113">
        <v>0</v>
      </c>
      <c r="D52" s="114">
        <f>C52*$B$52</f>
        <v>0</v>
      </c>
      <c r="E52" s="115">
        <v>0</v>
      </c>
      <c r="F52" s="114">
        <f>E52*$B$52</f>
        <v>0</v>
      </c>
      <c r="G52" s="115">
        <v>0</v>
      </c>
      <c r="H52" s="114">
        <f>G52*$B$52</f>
        <v>0</v>
      </c>
      <c r="I52" s="115">
        <v>0</v>
      </c>
      <c r="J52" s="114">
        <f>I52*$B$52</f>
        <v>0</v>
      </c>
      <c r="K52" s="115">
        <v>0</v>
      </c>
      <c r="L52" s="114">
        <f>K52*$B$52</f>
        <v>0</v>
      </c>
      <c r="M52" s="115">
        <v>0</v>
      </c>
      <c r="N52" s="114">
        <f>M52*$B$52</f>
        <v>0</v>
      </c>
      <c r="O52" s="115">
        <v>0</v>
      </c>
      <c r="P52" s="114">
        <f>O52*$B$52</f>
        <v>0</v>
      </c>
      <c r="Q52" s="115">
        <v>0</v>
      </c>
      <c r="R52" s="114">
        <f>Q52*$B$52</f>
        <v>0</v>
      </c>
      <c r="S52" s="115">
        <v>0</v>
      </c>
      <c r="T52" s="114">
        <f>S52*$B$52</f>
        <v>0</v>
      </c>
      <c r="U52" s="115">
        <v>0</v>
      </c>
      <c r="V52" s="114">
        <f>U52*$B$52</f>
        <v>0</v>
      </c>
      <c r="W52" s="113">
        <v>0</v>
      </c>
      <c r="X52" s="114">
        <f>W52*$B$52</f>
        <v>0</v>
      </c>
      <c r="Y52" s="113">
        <v>0</v>
      </c>
      <c r="Z52" s="114">
        <f>Y52*$B$52</f>
        <v>0</v>
      </c>
      <c r="AB52" s="99"/>
    </row>
    <row r="53" spans="1:31" ht="15" hidden="1" customHeight="1" x14ac:dyDescent="0.15">
      <c r="A53" s="116"/>
      <c r="B53" s="182"/>
      <c r="C53" s="113">
        <v>0</v>
      </c>
      <c r="D53" s="114">
        <f>C53*$B$53</f>
        <v>0</v>
      </c>
      <c r="E53" s="115">
        <v>0</v>
      </c>
      <c r="F53" s="114">
        <f>E53*$B$52</f>
        <v>0</v>
      </c>
      <c r="G53" s="115">
        <v>0</v>
      </c>
      <c r="H53" s="114">
        <f>G53*$B$52</f>
        <v>0</v>
      </c>
      <c r="I53" s="115">
        <v>0</v>
      </c>
      <c r="J53" s="114">
        <f>I53*$B$52</f>
        <v>0</v>
      </c>
      <c r="K53" s="115">
        <v>0</v>
      </c>
      <c r="L53" s="114">
        <f>K53*$B$52</f>
        <v>0</v>
      </c>
      <c r="M53" s="115">
        <v>0</v>
      </c>
      <c r="N53" s="114">
        <f>M53*$B$52</f>
        <v>0</v>
      </c>
      <c r="O53" s="115">
        <v>0</v>
      </c>
      <c r="P53" s="114">
        <f>O53*$B$52</f>
        <v>0</v>
      </c>
      <c r="Q53" s="115">
        <v>0</v>
      </c>
      <c r="R53" s="114">
        <f>Q53*$B$52</f>
        <v>0</v>
      </c>
      <c r="S53" s="115">
        <v>0</v>
      </c>
      <c r="T53" s="114">
        <f>S53*$B$52</f>
        <v>0</v>
      </c>
      <c r="U53" s="115">
        <v>0</v>
      </c>
      <c r="V53" s="114">
        <f>U53*$B$52</f>
        <v>0</v>
      </c>
      <c r="W53" s="113">
        <v>0</v>
      </c>
      <c r="X53" s="114">
        <f>W53*$B$52</f>
        <v>0</v>
      </c>
      <c r="Y53" s="113">
        <v>0</v>
      </c>
      <c r="Z53" s="114">
        <f>Y53*$B$52</f>
        <v>0</v>
      </c>
      <c r="AB53" s="99"/>
    </row>
    <row r="54" spans="1:31" ht="15" hidden="1" customHeight="1" x14ac:dyDescent="0.15">
      <c r="A54" s="116"/>
      <c r="B54" s="182"/>
      <c r="C54" s="113">
        <v>0</v>
      </c>
      <c r="D54" s="114">
        <f>C54*$B$54</f>
        <v>0</v>
      </c>
      <c r="E54" s="115">
        <v>0</v>
      </c>
      <c r="F54" s="114">
        <f>E54*$B$54</f>
        <v>0</v>
      </c>
      <c r="G54" s="115">
        <v>0</v>
      </c>
      <c r="H54" s="114">
        <f>G54*$B$54</f>
        <v>0</v>
      </c>
      <c r="I54" s="115">
        <v>0</v>
      </c>
      <c r="J54" s="114">
        <f>I54*$B$54</f>
        <v>0</v>
      </c>
      <c r="K54" s="115">
        <v>0</v>
      </c>
      <c r="L54" s="114">
        <f>K54*$B$54</f>
        <v>0</v>
      </c>
      <c r="M54" s="115">
        <v>0</v>
      </c>
      <c r="N54" s="114">
        <f>M54*$B$54</f>
        <v>0</v>
      </c>
      <c r="O54" s="115">
        <v>0</v>
      </c>
      <c r="P54" s="114">
        <f>O54*$B$54</f>
        <v>0</v>
      </c>
      <c r="Q54" s="115">
        <v>0</v>
      </c>
      <c r="R54" s="114">
        <f>Q54*$B$54</f>
        <v>0</v>
      </c>
      <c r="S54" s="115">
        <v>0</v>
      </c>
      <c r="T54" s="114">
        <f>S54*$B$54</f>
        <v>0</v>
      </c>
      <c r="U54" s="115">
        <v>0</v>
      </c>
      <c r="V54" s="114">
        <f>U54*$B$54</f>
        <v>0</v>
      </c>
      <c r="W54" s="113">
        <v>0</v>
      </c>
      <c r="X54" s="114">
        <f>W54*$B$54</f>
        <v>0</v>
      </c>
      <c r="Y54" s="113">
        <v>0</v>
      </c>
      <c r="Z54" s="114">
        <f>Y54*$B$54</f>
        <v>0</v>
      </c>
      <c r="AB54" s="99"/>
    </row>
    <row r="55" spans="1:31" ht="15" hidden="1" customHeight="1" x14ac:dyDescent="0.15">
      <c r="A55" s="116"/>
      <c r="B55" s="182"/>
      <c r="C55" s="113">
        <v>0</v>
      </c>
      <c r="D55" s="114">
        <f>C55*$B$54</f>
        <v>0</v>
      </c>
      <c r="E55" s="115">
        <v>0</v>
      </c>
      <c r="F55" s="114">
        <f>E55*$B$54</f>
        <v>0</v>
      </c>
      <c r="G55" s="115">
        <v>0</v>
      </c>
      <c r="H55" s="114">
        <f>G55*$B$54</f>
        <v>0</v>
      </c>
      <c r="I55" s="115">
        <v>0</v>
      </c>
      <c r="J55" s="114">
        <f>I55*$B$54</f>
        <v>0</v>
      </c>
      <c r="K55" s="115">
        <v>0</v>
      </c>
      <c r="L55" s="114">
        <f>K55*$B$54</f>
        <v>0</v>
      </c>
      <c r="M55" s="115">
        <v>0</v>
      </c>
      <c r="N55" s="114">
        <f>M55*$B$54</f>
        <v>0</v>
      </c>
      <c r="O55" s="115">
        <v>0</v>
      </c>
      <c r="P55" s="114">
        <f>O55*$B$54</f>
        <v>0</v>
      </c>
      <c r="Q55" s="115">
        <v>0</v>
      </c>
      <c r="R55" s="114">
        <f>Q55*$B$54</f>
        <v>0</v>
      </c>
      <c r="S55" s="115">
        <v>0</v>
      </c>
      <c r="T55" s="114">
        <f>S55*$B$54</f>
        <v>0</v>
      </c>
      <c r="U55" s="115">
        <v>0</v>
      </c>
      <c r="V55" s="114">
        <f>U55*$B$54</f>
        <v>0</v>
      </c>
      <c r="W55" s="113">
        <v>0</v>
      </c>
      <c r="X55" s="114">
        <f>W55*$B$54</f>
        <v>0</v>
      </c>
      <c r="Y55" s="113">
        <v>0</v>
      </c>
      <c r="Z55" s="114">
        <f>Y55*$B$54</f>
        <v>0</v>
      </c>
      <c r="AB55" s="99"/>
    </row>
    <row r="56" spans="1:31" ht="15" hidden="1" customHeight="1" x14ac:dyDescent="0.15">
      <c r="A56" s="116"/>
      <c r="B56" s="182"/>
      <c r="C56" s="113">
        <v>0</v>
      </c>
      <c r="D56" s="114">
        <f>C56*$B$56</f>
        <v>0</v>
      </c>
      <c r="E56" s="115">
        <v>0</v>
      </c>
      <c r="F56" s="114">
        <f>E56*$B$52</f>
        <v>0</v>
      </c>
      <c r="G56" s="115">
        <v>0</v>
      </c>
      <c r="H56" s="114">
        <f>G56*$B$52</f>
        <v>0</v>
      </c>
      <c r="I56" s="115">
        <v>0</v>
      </c>
      <c r="J56" s="114">
        <f>I56*$B$52</f>
        <v>0</v>
      </c>
      <c r="K56" s="115">
        <v>0</v>
      </c>
      <c r="L56" s="114">
        <f>K56*$B$52</f>
        <v>0</v>
      </c>
      <c r="M56" s="115">
        <v>0</v>
      </c>
      <c r="N56" s="114">
        <f>M56*$B$52</f>
        <v>0</v>
      </c>
      <c r="O56" s="115">
        <v>0</v>
      </c>
      <c r="P56" s="114">
        <f>O56*$B$52</f>
        <v>0</v>
      </c>
      <c r="Q56" s="115">
        <v>0</v>
      </c>
      <c r="R56" s="114">
        <f>Q56*$B$52</f>
        <v>0</v>
      </c>
      <c r="S56" s="115">
        <v>0</v>
      </c>
      <c r="T56" s="114">
        <f>S56*$B$52</f>
        <v>0</v>
      </c>
      <c r="U56" s="115">
        <v>0</v>
      </c>
      <c r="V56" s="114">
        <f>U56*$B$52</f>
        <v>0</v>
      </c>
      <c r="W56" s="113">
        <v>0</v>
      </c>
      <c r="X56" s="114">
        <f>W56*$B$52</f>
        <v>0</v>
      </c>
      <c r="Y56" s="113">
        <v>0</v>
      </c>
      <c r="Z56" s="114">
        <f>Y56*$B$52</f>
        <v>0</v>
      </c>
      <c r="AB56" s="99"/>
    </row>
    <row r="57" spans="1:31" ht="15" hidden="1" customHeight="1" x14ac:dyDescent="0.15">
      <c r="A57" s="116"/>
      <c r="B57" s="182"/>
      <c r="C57" s="113">
        <v>0</v>
      </c>
      <c r="D57" s="114">
        <f>C57*$B$57</f>
        <v>0</v>
      </c>
      <c r="E57" s="115">
        <v>0</v>
      </c>
      <c r="F57" s="114">
        <f>E57*$B$57</f>
        <v>0</v>
      </c>
      <c r="G57" s="115">
        <v>0</v>
      </c>
      <c r="H57" s="114">
        <f>G57*$B$57</f>
        <v>0</v>
      </c>
      <c r="I57" s="115">
        <v>0</v>
      </c>
      <c r="J57" s="114">
        <f>I57*$B$57</f>
        <v>0</v>
      </c>
      <c r="K57" s="115">
        <v>0</v>
      </c>
      <c r="L57" s="114">
        <f>K57*$B$57</f>
        <v>0</v>
      </c>
      <c r="M57" s="115">
        <v>0</v>
      </c>
      <c r="N57" s="114">
        <f>M57*$B$57</f>
        <v>0</v>
      </c>
      <c r="O57" s="115">
        <v>0</v>
      </c>
      <c r="P57" s="114">
        <f>O57*$B$57</f>
        <v>0</v>
      </c>
      <c r="Q57" s="115">
        <v>0</v>
      </c>
      <c r="R57" s="114">
        <f>Q57*$B$57</f>
        <v>0</v>
      </c>
      <c r="S57" s="115">
        <v>0</v>
      </c>
      <c r="T57" s="114">
        <f>S57*$B$57</f>
        <v>0</v>
      </c>
      <c r="U57" s="115">
        <v>0</v>
      </c>
      <c r="V57" s="114">
        <f>U57*$B$57</f>
        <v>0</v>
      </c>
      <c r="W57" s="113">
        <v>0</v>
      </c>
      <c r="X57" s="114">
        <f>W57*$B$57</f>
        <v>0</v>
      </c>
      <c r="Y57" s="113">
        <v>0</v>
      </c>
      <c r="Z57" s="114">
        <f>Y57*$B$57</f>
        <v>0</v>
      </c>
      <c r="AB57" s="99"/>
    </row>
    <row r="58" spans="1:31" ht="15" hidden="1" customHeight="1" x14ac:dyDescent="0.15">
      <c r="A58" s="116"/>
      <c r="B58" s="182"/>
      <c r="C58" s="113">
        <v>0</v>
      </c>
      <c r="D58" s="114">
        <f>C58*$B$58</f>
        <v>0</v>
      </c>
      <c r="E58" s="115">
        <v>0</v>
      </c>
      <c r="F58" s="114">
        <f>E58*$B$57</f>
        <v>0</v>
      </c>
      <c r="G58" s="115">
        <v>0</v>
      </c>
      <c r="H58" s="114">
        <f>G58*$B$57</f>
        <v>0</v>
      </c>
      <c r="I58" s="115">
        <v>0</v>
      </c>
      <c r="J58" s="114">
        <f>I58*$B$57</f>
        <v>0</v>
      </c>
      <c r="K58" s="115">
        <v>0</v>
      </c>
      <c r="L58" s="114">
        <f>K58*$B$57</f>
        <v>0</v>
      </c>
      <c r="M58" s="115">
        <v>0</v>
      </c>
      <c r="N58" s="114">
        <f>M58*$B$57</f>
        <v>0</v>
      </c>
      <c r="O58" s="115">
        <v>0</v>
      </c>
      <c r="P58" s="114">
        <f>O58*$B$57</f>
        <v>0</v>
      </c>
      <c r="Q58" s="115">
        <v>0</v>
      </c>
      <c r="R58" s="114">
        <f>Q58*$B$57</f>
        <v>0</v>
      </c>
      <c r="S58" s="115">
        <v>0</v>
      </c>
      <c r="T58" s="114">
        <f>S58*$B$57</f>
        <v>0</v>
      </c>
      <c r="U58" s="115">
        <v>0</v>
      </c>
      <c r="V58" s="114">
        <f>U58*$B$57</f>
        <v>0</v>
      </c>
      <c r="W58" s="113">
        <v>0</v>
      </c>
      <c r="X58" s="114">
        <f>W58*$B$57</f>
        <v>0</v>
      </c>
      <c r="Y58" s="113">
        <v>0</v>
      </c>
      <c r="Z58" s="114">
        <f>Y58*$B$57</f>
        <v>0</v>
      </c>
      <c r="AB58" s="99"/>
    </row>
    <row r="59" spans="1:31" ht="15" hidden="1" customHeight="1" x14ac:dyDescent="0.15">
      <c r="A59" s="116"/>
      <c r="B59" s="182"/>
      <c r="C59" s="113">
        <v>0</v>
      </c>
      <c r="D59" s="114">
        <f>C59*$B$59</f>
        <v>0</v>
      </c>
      <c r="E59" s="115">
        <v>0</v>
      </c>
      <c r="F59" s="114">
        <f>E59*$B$59</f>
        <v>0</v>
      </c>
      <c r="G59" s="115">
        <v>0</v>
      </c>
      <c r="H59" s="114">
        <f>G59*$B$59</f>
        <v>0</v>
      </c>
      <c r="I59" s="115">
        <v>0</v>
      </c>
      <c r="J59" s="114">
        <f>I59*$B$59</f>
        <v>0</v>
      </c>
      <c r="K59" s="115">
        <v>0</v>
      </c>
      <c r="L59" s="114">
        <f>K59*$B$59</f>
        <v>0</v>
      </c>
      <c r="M59" s="115">
        <v>0</v>
      </c>
      <c r="N59" s="114">
        <f>M59*$B$59</f>
        <v>0</v>
      </c>
      <c r="O59" s="115">
        <v>0</v>
      </c>
      <c r="P59" s="114">
        <f>O59*$B$59</f>
        <v>0</v>
      </c>
      <c r="Q59" s="115">
        <v>0</v>
      </c>
      <c r="R59" s="114">
        <f>Q59*$B$59</f>
        <v>0</v>
      </c>
      <c r="S59" s="115">
        <v>0</v>
      </c>
      <c r="T59" s="114">
        <f>S59*$B$59</f>
        <v>0</v>
      </c>
      <c r="U59" s="115">
        <v>0</v>
      </c>
      <c r="V59" s="114">
        <f>U59*$B$59</f>
        <v>0</v>
      </c>
      <c r="W59" s="113">
        <v>0</v>
      </c>
      <c r="X59" s="114">
        <f>W59*$B$59</f>
        <v>0</v>
      </c>
      <c r="Y59" s="113">
        <v>0</v>
      </c>
      <c r="Z59" s="114">
        <f>Y59*$B$59</f>
        <v>0</v>
      </c>
      <c r="AB59" s="99"/>
    </row>
    <row r="60" spans="1:31" s="1" customFormat="1" ht="15" hidden="1" customHeight="1" x14ac:dyDescent="0.15">
      <c r="A60" s="116"/>
      <c r="B60" s="182"/>
      <c r="C60" s="113">
        <v>0</v>
      </c>
      <c r="D60" s="117">
        <f>C60*$B$60</f>
        <v>0</v>
      </c>
      <c r="E60" s="115">
        <v>0</v>
      </c>
      <c r="F60" s="117">
        <f>E60*$B$60</f>
        <v>0</v>
      </c>
      <c r="G60" s="115">
        <v>0</v>
      </c>
      <c r="H60" s="117">
        <f>G60*$B$60</f>
        <v>0</v>
      </c>
      <c r="I60" s="115">
        <v>0</v>
      </c>
      <c r="J60" s="117">
        <f>I60*$B$60</f>
        <v>0</v>
      </c>
      <c r="K60" s="115">
        <v>0</v>
      </c>
      <c r="L60" s="117">
        <f>K60*$B$60</f>
        <v>0</v>
      </c>
      <c r="M60" s="115">
        <v>0</v>
      </c>
      <c r="N60" s="117">
        <f>M60*$B$60</f>
        <v>0</v>
      </c>
      <c r="O60" s="115">
        <v>0</v>
      </c>
      <c r="P60" s="117">
        <f>O60*$B$60</f>
        <v>0</v>
      </c>
      <c r="Q60" s="115">
        <v>0</v>
      </c>
      <c r="R60" s="117">
        <f>Q60*$B$60</f>
        <v>0</v>
      </c>
      <c r="S60" s="115">
        <v>0</v>
      </c>
      <c r="T60" s="117">
        <f>S60*$B$60</f>
        <v>0</v>
      </c>
      <c r="U60" s="115">
        <v>0</v>
      </c>
      <c r="V60" s="117">
        <f>U60*$B$60</f>
        <v>0</v>
      </c>
      <c r="W60" s="113">
        <v>0</v>
      </c>
      <c r="X60" s="117">
        <f>W60*$B$60</f>
        <v>0</v>
      </c>
      <c r="Y60" s="113">
        <v>0</v>
      </c>
      <c r="Z60" s="117">
        <f>Y60*$B$60</f>
        <v>0</v>
      </c>
      <c r="AB60" s="99"/>
      <c r="AC60" s="123"/>
    </row>
    <row r="61" spans="1:31" s="1" customFormat="1" ht="15" hidden="1" customHeight="1" x14ac:dyDescent="0.15">
      <c r="A61" s="118"/>
      <c r="B61" s="182"/>
      <c r="C61" s="113">
        <v>0</v>
      </c>
      <c r="D61" s="114">
        <f>C61*$B$61</f>
        <v>0</v>
      </c>
      <c r="E61" s="113">
        <v>0</v>
      </c>
      <c r="F61" s="114">
        <f>E61*$B$61</f>
        <v>0</v>
      </c>
      <c r="G61" s="113">
        <v>0</v>
      </c>
      <c r="H61" s="114">
        <f>G61*$B$61</f>
        <v>0</v>
      </c>
      <c r="I61" s="113">
        <v>0</v>
      </c>
      <c r="J61" s="114">
        <f>I61*$B$61</f>
        <v>0</v>
      </c>
      <c r="K61" s="113">
        <v>0</v>
      </c>
      <c r="L61" s="114">
        <f>K61*$B$61</f>
        <v>0</v>
      </c>
      <c r="M61" s="113">
        <v>0</v>
      </c>
      <c r="N61" s="114">
        <f>M61*$B$61</f>
        <v>0</v>
      </c>
      <c r="O61" s="113">
        <v>0</v>
      </c>
      <c r="P61" s="114">
        <f>O61*$B$61</f>
        <v>0</v>
      </c>
      <c r="Q61" s="113">
        <v>0</v>
      </c>
      <c r="R61" s="114">
        <f>Q61*$B$61</f>
        <v>0</v>
      </c>
      <c r="S61" s="113">
        <v>0</v>
      </c>
      <c r="T61" s="114">
        <f>S61*$B$61</f>
        <v>0</v>
      </c>
      <c r="U61" s="113">
        <v>0</v>
      </c>
      <c r="V61" s="114">
        <f>U61*$B$61</f>
        <v>0</v>
      </c>
      <c r="W61" s="113">
        <v>0</v>
      </c>
      <c r="X61" s="114">
        <f>W61*$B$61</f>
        <v>0</v>
      </c>
      <c r="Y61" s="113">
        <v>0</v>
      </c>
      <c r="Z61" s="114">
        <f>Y61*$B$61</f>
        <v>0</v>
      </c>
      <c r="AB61" s="99"/>
      <c r="AC61" s="123"/>
    </row>
    <row r="62" spans="1:31" s="1" customFormat="1" ht="15" hidden="1" customHeight="1" x14ac:dyDescent="0.15">
      <c r="A62" s="119"/>
      <c r="B62" s="182"/>
      <c r="C62" s="113">
        <v>0</v>
      </c>
      <c r="D62" s="117">
        <f>C62*$B$62</f>
        <v>0</v>
      </c>
      <c r="E62" s="113">
        <v>0</v>
      </c>
      <c r="F62" s="117">
        <f>E62*$B$62</f>
        <v>0</v>
      </c>
      <c r="G62" s="113">
        <v>0</v>
      </c>
      <c r="H62" s="117">
        <f>G62*$B$62</f>
        <v>0</v>
      </c>
      <c r="I62" s="113">
        <v>0</v>
      </c>
      <c r="J62" s="117">
        <f>I62*$B$62</f>
        <v>0</v>
      </c>
      <c r="K62" s="113">
        <v>0</v>
      </c>
      <c r="L62" s="117">
        <f>K62*$B$62</f>
        <v>0</v>
      </c>
      <c r="M62" s="113">
        <v>0</v>
      </c>
      <c r="N62" s="117">
        <f>M62*$B$62</f>
        <v>0</v>
      </c>
      <c r="O62" s="113">
        <v>0</v>
      </c>
      <c r="P62" s="117">
        <f>O62*$B$62</f>
        <v>0</v>
      </c>
      <c r="Q62" s="113">
        <v>0</v>
      </c>
      <c r="R62" s="117">
        <f>Q62*$B$62</f>
        <v>0</v>
      </c>
      <c r="S62" s="113">
        <v>0</v>
      </c>
      <c r="T62" s="117">
        <f>S62*$B$62</f>
        <v>0</v>
      </c>
      <c r="U62" s="113">
        <v>0</v>
      </c>
      <c r="V62" s="117">
        <f>U62*$B$62</f>
        <v>0</v>
      </c>
      <c r="W62" s="113">
        <v>0</v>
      </c>
      <c r="X62" s="117">
        <f>W62*$B$62</f>
        <v>0</v>
      </c>
      <c r="Y62" s="113">
        <v>0</v>
      </c>
      <c r="Z62" s="117">
        <f>Y62*$B$62</f>
        <v>0</v>
      </c>
      <c r="AB62" s="99"/>
      <c r="AC62" s="123"/>
    </row>
    <row r="63" spans="1:31" s="1" customFormat="1" ht="15" hidden="1" customHeight="1" x14ac:dyDescent="0.15">
      <c r="A63" s="119"/>
      <c r="B63" s="182"/>
      <c r="C63" s="113">
        <v>0</v>
      </c>
      <c r="D63" s="114">
        <f>C63*$B$63</f>
        <v>0</v>
      </c>
      <c r="E63" s="113">
        <v>0</v>
      </c>
      <c r="F63" s="114">
        <f t="shared" ref="F63:F68" si="6">E63*$B$63</f>
        <v>0</v>
      </c>
      <c r="G63" s="113">
        <v>0</v>
      </c>
      <c r="H63" s="114">
        <f t="shared" ref="H63:H68" si="7">G63*$B$63</f>
        <v>0</v>
      </c>
      <c r="I63" s="113">
        <v>0</v>
      </c>
      <c r="J63" s="114">
        <f t="shared" ref="J63:J68" si="8">I63*$B$63</f>
        <v>0</v>
      </c>
      <c r="K63" s="113">
        <v>0</v>
      </c>
      <c r="L63" s="114">
        <f t="shared" ref="L63:L68" si="9">K63*$B$63</f>
        <v>0</v>
      </c>
      <c r="M63" s="113">
        <v>0</v>
      </c>
      <c r="N63" s="114">
        <f t="shared" ref="N63:N68" si="10">M63*$B$63</f>
        <v>0</v>
      </c>
      <c r="O63" s="113">
        <v>0</v>
      </c>
      <c r="P63" s="114">
        <f t="shared" ref="P63:P68" si="11">O63*$B$63</f>
        <v>0</v>
      </c>
      <c r="Q63" s="113">
        <v>0</v>
      </c>
      <c r="R63" s="114">
        <f t="shared" ref="R63:R68" si="12">Q63*$B$63</f>
        <v>0</v>
      </c>
      <c r="S63" s="113">
        <v>0</v>
      </c>
      <c r="T63" s="114">
        <f t="shared" ref="T63:T68" si="13">S63*$B$63</f>
        <v>0</v>
      </c>
      <c r="U63" s="113">
        <v>0</v>
      </c>
      <c r="V63" s="114">
        <f t="shared" ref="V63:V68" si="14">U63*$B$63</f>
        <v>0</v>
      </c>
      <c r="W63" s="113">
        <v>0</v>
      </c>
      <c r="X63" s="114">
        <f>W63*$B$63</f>
        <v>0</v>
      </c>
      <c r="Y63" s="113">
        <v>0</v>
      </c>
      <c r="Z63" s="114">
        <f>Y63*$B$63</f>
        <v>0</v>
      </c>
      <c r="AB63" s="99"/>
      <c r="AC63" s="123"/>
    </row>
    <row r="64" spans="1:31" s="1" customFormat="1" ht="15" hidden="1" customHeight="1" x14ac:dyDescent="0.15">
      <c r="A64" s="119"/>
      <c r="B64" s="182"/>
      <c r="C64" s="113">
        <v>0</v>
      </c>
      <c r="D64" s="114">
        <f>C64*$B$64</f>
        <v>0</v>
      </c>
      <c r="E64" s="113">
        <v>0</v>
      </c>
      <c r="F64" s="114">
        <f t="shared" si="6"/>
        <v>0</v>
      </c>
      <c r="G64" s="113">
        <v>0</v>
      </c>
      <c r="H64" s="114">
        <f t="shared" si="7"/>
        <v>0</v>
      </c>
      <c r="I64" s="113">
        <v>0</v>
      </c>
      <c r="J64" s="114">
        <f t="shared" si="8"/>
        <v>0</v>
      </c>
      <c r="K64" s="113">
        <v>0</v>
      </c>
      <c r="L64" s="114">
        <f t="shared" si="9"/>
        <v>0</v>
      </c>
      <c r="M64" s="113">
        <v>0</v>
      </c>
      <c r="N64" s="114">
        <f t="shared" si="10"/>
        <v>0</v>
      </c>
      <c r="O64" s="113">
        <v>0</v>
      </c>
      <c r="P64" s="114">
        <f t="shared" si="11"/>
        <v>0</v>
      </c>
      <c r="Q64" s="113">
        <v>0</v>
      </c>
      <c r="R64" s="114">
        <f t="shared" si="12"/>
        <v>0</v>
      </c>
      <c r="S64" s="113">
        <v>0</v>
      </c>
      <c r="T64" s="114">
        <f t="shared" si="13"/>
        <v>0</v>
      </c>
      <c r="U64" s="113">
        <v>0</v>
      </c>
      <c r="V64" s="114">
        <f t="shared" si="14"/>
        <v>0</v>
      </c>
      <c r="W64" s="113">
        <v>0</v>
      </c>
      <c r="X64" s="114">
        <f>W64*$B$63</f>
        <v>0</v>
      </c>
      <c r="Y64" s="113">
        <v>0</v>
      </c>
      <c r="Z64" s="114">
        <f>Y64*$B$63</f>
        <v>0</v>
      </c>
      <c r="AB64" s="99"/>
      <c r="AC64" s="123"/>
    </row>
    <row r="65" spans="1:31" s="1" customFormat="1" ht="15" hidden="1" customHeight="1" x14ac:dyDescent="0.15">
      <c r="A65" s="119"/>
      <c r="B65" s="182"/>
      <c r="C65" s="113">
        <v>0</v>
      </c>
      <c r="D65" s="114">
        <f>C65*$B$65</f>
        <v>0</v>
      </c>
      <c r="E65" s="113">
        <v>0</v>
      </c>
      <c r="F65" s="114">
        <f t="shared" si="6"/>
        <v>0</v>
      </c>
      <c r="G65" s="113">
        <v>0</v>
      </c>
      <c r="H65" s="114">
        <f t="shared" si="7"/>
        <v>0</v>
      </c>
      <c r="I65" s="113">
        <v>0</v>
      </c>
      <c r="J65" s="114">
        <f t="shared" si="8"/>
        <v>0</v>
      </c>
      <c r="K65" s="113">
        <v>0</v>
      </c>
      <c r="L65" s="114">
        <f t="shared" si="9"/>
        <v>0</v>
      </c>
      <c r="M65" s="113">
        <v>0</v>
      </c>
      <c r="N65" s="114">
        <f t="shared" si="10"/>
        <v>0</v>
      </c>
      <c r="O65" s="113">
        <v>0</v>
      </c>
      <c r="P65" s="114">
        <f t="shared" si="11"/>
        <v>0</v>
      </c>
      <c r="Q65" s="113">
        <v>0</v>
      </c>
      <c r="R65" s="114">
        <f t="shared" si="12"/>
        <v>0</v>
      </c>
      <c r="S65" s="113">
        <v>0</v>
      </c>
      <c r="T65" s="114">
        <f t="shared" si="13"/>
        <v>0</v>
      </c>
      <c r="U65" s="113">
        <v>0</v>
      </c>
      <c r="V65" s="114">
        <f t="shared" si="14"/>
        <v>0</v>
      </c>
      <c r="W65" s="113">
        <v>0</v>
      </c>
      <c r="X65" s="114">
        <f>W65*$B$63</f>
        <v>0</v>
      </c>
      <c r="Y65" s="113">
        <v>0</v>
      </c>
      <c r="Z65" s="114">
        <f>Y65*$B$63</f>
        <v>0</v>
      </c>
      <c r="AB65" s="99"/>
      <c r="AC65" s="123"/>
    </row>
    <row r="66" spans="1:31" s="1" customFormat="1" ht="33" customHeight="1" x14ac:dyDescent="0.15">
      <c r="A66" s="112"/>
      <c r="B66" s="182"/>
      <c r="C66" s="113">
        <v>1</v>
      </c>
      <c r="D66" s="114"/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W66*$B$63</f>
        <v>0</v>
      </c>
      <c r="Y66" s="113">
        <v>0</v>
      </c>
      <c r="Z66" s="114">
        <f>Y66*$B$63</f>
        <v>0</v>
      </c>
      <c r="AB66" s="99"/>
      <c r="AC66" s="123"/>
    </row>
    <row r="67" spans="1:31" s="1" customFormat="1" ht="17.25" customHeight="1" x14ac:dyDescent="0.15">
      <c r="A67" s="112"/>
      <c r="B67" s="182"/>
      <c r="C67" s="113">
        <v>0</v>
      </c>
      <c r="D67" s="114">
        <f t="shared" ref="D67" si="15">C67*$B$49</f>
        <v>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>
        <v>0</v>
      </c>
      <c r="X67" s="114">
        <f>W67*B67</f>
        <v>0</v>
      </c>
      <c r="Y67" s="113">
        <v>0</v>
      </c>
      <c r="Z67" s="114">
        <f>Y67*B67</f>
        <v>0</v>
      </c>
      <c r="AB67" s="99"/>
      <c r="AC67" s="123"/>
    </row>
    <row r="68" spans="1:31" s="1" customFormat="1" ht="17.25" hidden="1" customHeight="1" x14ac:dyDescent="0.15">
      <c r="A68" s="112"/>
      <c r="B68" s="182"/>
      <c r="C68" s="113">
        <v>0</v>
      </c>
      <c r="D68" s="114">
        <f t="shared" ref="D68" si="16">C68*$B$50</f>
        <v>0</v>
      </c>
      <c r="E68" s="113">
        <v>0</v>
      </c>
      <c r="F68" s="114">
        <f t="shared" si="6"/>
        <v>0</v>
      </c>
      <c r="G68" s="113">
        <v>0</v>
      </c>
      <c r="H68" s="114">
        <f t="shared" si="7"/>
        <v>0</v>
      </c>
      <c r="I68" s="113">
        <v>0</v>
      </c>
      <c r="J68" s="114">
        <f t="shared" si="8"/>
        <v>0</v>
      </c>
      <c r="K68" s="113">
        <v>0</v>
      </c>
      <c r="L68" s="114">
        <f t="shared" si="9"/>
        <v>0</v>
      </c>
      <c r="M68" s="113">
        <v>0</v>
      </c>
      <c r="N68" s="114">
        <f t="shared" si="10"/>
        <v>0</v>
      </c>
      <c r="O68" s="113">
        <v>0</v>
      </c>
      <c r="P68" s="114">
        <f t="shared" si="11"/>
        <v>0</v>
      </c>
      <c r="Q68" s="113">
        <v>0</v>
      </c>
      <c r="R68" s="114">
        <f t="shared" si="12"/>
        <v>0</v>
      </c>
      <c r="S68" s="113">
        <v>0</v>
      </c>
      <c r="T68" s="114">
        <f t="shared" si="13"/>
        <v>0</v>
      </c>
      <c r="U68" s="113">
        <v>0</v>
      </c>
      <c r="V68" s="114">
        <f t="shared" si="14"/>
        <v>0</v>
      </c>
      <c r="W68" s="113"/>
      <c r="X68" s="114">
        <f>W68*B68</f>
        <v>0</v>
      </c>
      <c r="Y68" s="113">
        <v>0</v>
      </c>
      <c r="Z68" s="114">
        <f>Y68*B68</f>
        <v>0</v>
      </c>
      <c r="AB68" s="99"/>
      <c r="AC68" s="123"/>
    </row>
    <row r="69" spans="1:31" s="1" customFormat="1" ht="13.5" hidden="1" customHeight="1" thickBot="1" x14ac:dyDescent="0.2">
      <c r="A69" s="178"/>
      <c r="B69" s="179"/>
      <c r="C69" s="113">
        <v>0</v>
      </c>
      <c r="D69" s="114">
        <f t="shared" ref="D69" si="17">C69*$B$51</f>
        <v>0</v>
      </c>
      <c r="E69" s="71">
        <v>0</v>
      </c>
      <c r="F69" s="24">
        <f>E69*$B$69</f>
        <v>0</v>
      </c>
      <c r="G69" s="71">
        <v>0</v>
      </c>
      <c r="H69" s="24">
        <f>G69*$B$69</f>
        <v>0</v>
      </c>
      <c r="I69" s="71">
        <v>0</v>
      </c>
      <c r="J69" s="24">
        <f>I69*$B$69</f>
        <v>0</v>
      </c>
      <c r="K69" s="71">
        <v>0</v>
      </c>
      <c r="L69" s="24">
        <f>K69*$B$69</f>
        <v>0</v>
      </c>
      <c r="M69" s="71">
        <v>0</v>
      </c>
      <c r="N69" s="24">
        <f>M69*$B$69</f>
        <v>0</v>
      </c>
      <c r="O69" s="71">
        <v>0</v>
      </c>
      <c r="P69" s="24">
        <f>O69*$B$69</f>
        <v>0</v>
      </c>
      <c r="Q69" s="71">
        <v>0</v>
      </c>
      <c r="R69" s="24">
        <f>Q69*$B$69</f>
        <v>0</v>
      </c>
      <c r="S69" s="71">
        <v>0</v>
      </c>
      <c r="T69" s="24">
        <f>S69*$B$69</f>
        <v>0</v>
      </c>
      <c r="U69" s="71">
        <v>0</v>
      </c>
      <c r="V69" s="24">
        <f>U69*$B$69</f>
        <v>0</v>
      </c>
      <c r="W69" s="71">
        <v>0</v>
      </c>
      <c r="X69" s="24">
        <f>W69*$B$69</f>
        <v>0</v>
      </c>
      <c r="Y69" s="71">
        <v>0</v>
      </c>
      <c r="Z69" s="24">
        <f>Y69*$B$69</f>
        <v>0</v>
      </c>
      <c r="AB69" s="99"/>
      <c r="AC69" s="123"/>
    </row>
    <row r="70" spans="1:31" s="1" customFormat="1" ht="13.5" hidden="1" customHeight="1" thickBot="1" x14ac:dyDescent="0.2">
      <c r="A70" s="178"/>
      <c r="B70" s="179"/>
      <c r="C70" s="113">
        <v>0</v>
      </c>
      <c r="D70" s="114">
        <f t="shared" ref="D70" si="18">C70*$B$52</f>
        <v>0</v>
      </c>
      <c r="E70" s="71">
        <v>0</v>
      </c>
      <c r="F70" s="97">
        <f>E70*$B$70</f>
        <v>0</v>
      </c>
      <c r="G70" s="71">
        <v>0</v>
      </c>
      <c r="H70" s="97">
        <f>G70*$B$70</f>
        <v>0</v>
      </c>
      <c r="I70" s="71">
        <v>0</v>
      </c>
      <c r="J70" s="97">
        <f>I70*$B$70</f>
        <v>0</v>
      </c>
      <c r="K70" s="71">
        <v>0</v>
      </c>
      <c r="L70" s="97">
        <f>K70*$B$70</f>
        <v>0</v>
      </c>
      <c r="M70" s="71">
        <v>0</v>
      </c>
      <c r="N70" s="97">
        <f>M70*$B$70</f>
        <v>0</v>
      </c>
      <c r="O70" s="71">
        <v>0</v>
      </c>
      <c r="P70" s="97">
        <f>O70*$B$70</f>
        <v>0</v>
      </c>
      <c r="Q70" s="71">
        <v>0</v>
      </c>
      <c r="R70" s="97">
        <f>Q70*$B$70</f>
        <v>0</v>
      </c>
      <c r="S70" s="71">
        <v>0</v>
      </c>
      <c r="T70" s="97">
        <f>S70*$B$70</f>
        <v>0</v>
      </c>
      <c r="U70" s="71">
        <v>0</v>
      </c>
      <c r="V70" s="97">
        <f>U70*$B$70</f>
        <v>0</v>
      </c>
      <c r="W70" s="71">
        <v>0</v>
      </c>
      <c r="X70" s="97">
        <f>W70*$B$70</f>
        <v>0</v>
      </c>
      <c r="Y70" s="71">
        <v>0</v>
      </c>
      <c r="Z70" s="97">
        <f>Y70*$B$70</f>
        <v>0</v>
      </c>
      <c r="AB70" s="99"/>
      <c r="AC70" s="123"/>
    </row>
    <row r="71" spans="1:31" s="1" customFormat="1" ht="13.5" hidden="1" customHeight="1" thickBot="1" x14ac:dyDescent="0.2">
      <c r="A71" s="180"/>
      <c r="B71" s="181"/>
      <c r="C71" s="113">
        <v>0</v>
      </c>
      <c r="D71" s="114">
        <f t="shared" ref="D71" si="19">C71*$B$53</f>
        <v>0</v>
      </c>
      <c r="E71" s="71">
        <v>0</v>
      </c>
      <c r="F71" s="24">
        <f>E71*$B$71</f>
        <v>0</v>
      </c>
      <c r="G71" s="71">
        <v>0</v>
      </c>
      <c r="H71" s="24">
        <f>G71*$B$71</f>
        <v>0</v>
      </c>
      <c r="I71" s="71">
        <v>0</v>
      </c>
      <c r="J71" s="24">
        <f>I71*$B$71</f>
        <v>0</v>
      </c>
      <c r="K71" s="71">
        <v>0</v>
      </c>
      <c r="L71" s="24">
        <f>K71*$B$71</f>
        <v>0</v>
      </c>
      <c r="M71" s="71">
        <v>0</v>
      </c>
      <c r="N71" s="24">
        <f>M71*$B$71</f>
        <v>0</v>
      </c>
      <c r="O71" s="71">
        <v>0</v>
      </c>
      <c r="P71" s="24">
        <f>O71*$B$71</f>
        <v>0</v>
      </c>
      <c r="Q71" s="71">
        <v>0</v>
      </c>
      <c r="R71" s="24">
        <f>Q71*$B$71</f>
        <v>0</v>
      </c>
      <c r="S71" s="71">
        <v>0</v>
      </c>
      <c r="T71" s="24">
        <f>S71*$B$71</f>
        <v>0</v>
      </c>
      <c r="U71" s="71">
        <v>0</v>
      </c>
      <c r="V71" s="24">
        <f>U71*$B$71</f>
        <v>0</v>
      </c>
      <c r="W71" s="71">
        <v>0</v>
      </c>
      <c r="X71" s="24">
        <f>W71*$B$71</f>
        <v>0</v>
      </c>
      <c r="Y71" s="71">
        <v>0</v>
      </c>
      <c r="Z71" s="24">
        <f>Y71*$B$71</f>
        <v>0</v>
      </c>
      <c r="AB71" s="99"/>
      <c r="AC71" s="123"/>
    </row>
    <row r="72" spans="1:31" s="1" customFormat="1" ht="13.5" hidden="1" customHeight="1" thickBot="1" x14ac:dyDescent="0.2">
      <c r="A72" s="128"/>
      <c r="B72" s="129"/>
      <c r="C72" s="113">
        <v>0</v>
      </c>
      <c r="D72" s="114">
        <f t="shared" ref="D72:D73" si="20">C72*$B$54</f>
        <v>0</v>
      </c>
      <c r="E72" s="131">
        <v>0</v>
      </c>
      <c r="F72" s="130">
        <f>E72*$B$72</f>
        <v>0</v>
      </c>
      <c r="G72" s="131">
        <v>0</v>
      </c>
      <c r="H72" s="130">
        <f>G72*$B$72</f>
        <v>0</v>
      </c>
      <c r="I72" s="131">
        <v>0</v>
      </c>
      <c r="J72" s="130">
        <f>I72*$B$72</f>
        <v>0</v>
      </c>
      <c r="K72" s="131">
        <v>0</v>
      </c>
      <c r="L72" s="130">
        <f>K72*$B$72</f>
        <v>0</v>
      </c>
      <c r="M72" s="131">
        <v>0</v>
      </c>
      <c r="N72" s="130">
        <f>M72*$B$72</f>
        <v>0</v>
      </c>
      <c r="O72" s="131">
        <v>0</v>
      </c>
      <c r="P72" s="130">
        <f>O72*$B$72</f>
        <v>0</v>
      </c>
      <c r="Q72" s="131">
        <v>0</v>
      </c>
      <c r="R72" s="130">
        <f>Q72*$B$72</f>
        <v>0</v>
      </c>
      <c r="S72" s="131">
        <v>0</v>
      </c>
      <c r="T72" s="130">
        <f>S72*$B$72</f>
        <v>0</v>
      </c>
      <c r="U72" s="131">
        <v>0</v>
      </c>
      <c r="V72" s="130">
        <f>U72*$B$72</f>
        <v>0</v>
      </c>
      <c r="W72" s="76">
        <v>0</v>
      </c>
      <c r="X72" s="130">
        <f>W72*$B$72</f>
        <v>0</v>
      </c>
      <c r="Y72" s="76">
        <v>0</v>
      </c>
      <c r="Z72" s="130">
        <f>Y72*$B$72</f>
        <v>0</v>
      </c>
      <c r="AB72" s="99"/>
      <c r="AC72" s="123"/>
    </row>
    <row r="73" spans="1:31" ht="18.75" hidden="1" customHeight="1" x14ac:dyDescent="0.15">
      <c r="A73" s="112"/>
      <c r="B73" s="182"/>
      <c r="C73" s="113">
        <v>0</v>
      </c>
      <c r="D73" s="114">
        <f t="shared" si="20"/>
        <v>0</v>
      </c>
      <c r="E73" s="115">
        <v>0</v>
      </c>
      <c r="F73" s="114">
        <f>E73*$B$45</f>
        <v>0</v>
      </c>
      <c r="G73" s="115">
        <v>0</v>
      </c>
      <c r="H73" s="114">
        <f>G73*$B$45</f>
        <v>0</v>
      </c>
      <c r="I73" s="115">
        <v>0</v>
      </c>
      <c r="J73" s="114">
        <f>I73*$B$45</f>
        <v>0</v>
      </c>
      <c r="K73" s="115">
        <v>0</v>
      </c>
      <c r="L73" s="114">
        <f>K73*$B$45</f>
        <v>0</v>
      </c>
      <c r="M73" s="115">
        <v>0</v>
      </c>
      <c r="N73" s="114">
        <f>M73*$B$45</f>
        <v>0</v>
      </c>
      <c r="O73" s="115">
        <v>0</v>
      </c>
      <c r="P73" s="114">
        <f>O73*$B$45</f>
        <v>0</v>
      </c>
      <c r="Q73" s="115">
        <v>0</v>
      </c>
      <c r="R73" s="114">
        <f>Q73*$B$45</f>
        <v>0</v>
      </c>
      <c r="S73" s="115">
        <v>0</v>
      </c>
      <c r="T73" s="114">
        <f>S73*$B$45</f>
        <v>0</v>
      </c>
      <c r="U73" s="115">
        <v>0</v>
      </c>
      <c r="V73" s="114">
        <f>U73*$B$45</f>
        <v>0</v>
      </c>
      <c r="W73" s="113">
        <v>0</v>
      </c>
      <c r="X73" s="114">
        <f>W73*$B$45</f>
        <v>0</v>
      </c>
      <c r="Y73" s="113">
        <v>0</v>
      </c>
      <c r="Z73" s="114">
        <f>Y73*$B$45</f>
        <v>0</v>
      </c>
      <c r="AB73" s="99"/>
    </row>
    <row r="74" spans="1:31" ht="18.75" hidden="1" customHeight="1" x14ac:dyDescent="0.15">
      <c r="A74" s="112"/>
      <c r="B74" s="182"/>
      <c r="C74" s="113">
        <v>0</v>
      </c>
      <c r="D74" s="114">
        <f t="shared" ref="D74" si="21">C74*$B$56</f>
        <v>0</v>
      </c>
      <c r="E74" s="115">
        <v>0</v>
      </c>
      <c r="F74" s="114">
        <f>E74*$B$46</f>
        <v>0</v>
      </c>
      <c r="G74" s="115">
        <v>0</v>
      </c>
      <c r="H74" s="114">
        <f>G74*$B$46</f>
        <v>0</v>
      </c>
      <c r="I74" s="115">
        <v>0</v>
      </c>
      <c r="J74" s="114">
        <f>I74*$B$46</f>
        <v>0</v>
      </c>
      <c r="K74" s="115">
        <v>0</v>
      </c>
      <c r="L74" s="114">
        <f>K74*$B$46</f>
        <v>0</v>
      </c>
      <c r="M74" s="115">
        <v>0</v>
      </c>
      <c r="N74" s="114">
        <f>M74*$B$46</f>
        <v>0</v>
      </c>
      <c r="O74" s="115">
        <v>0</v>
      </c>
      <c r="P74" s="114">
        <f>O74*$B$46</f>
        <v>0</v>
      </c>
      <c r="Q74" s="115">
        <v>0</v>
      </c>
      <c r="R74" s="114">
        <f>Q74*$B$45</f>
        <v>0</v>
      </c>
      <c r="S74" s="115">
        <v>0</v>
      </c>
      <c r="T74" s="114">
        <f>S74*$B$45</f>
        <v>0</v>
      </c>
      <c r="U74" s="115">
        <v>0</v>
      </c>
      <c r="V74" s="114">
        <f>U74*$B$45</f>
        <v>0</v>
      </c>
      <c r="W74" s="113">
        <v>0</v>
      </c>
      <c r="X74" s="114">
        <f>W74*$B$46</f>
        <v>0</v>
      </c>
      <c r="Y74" s="113">
        <v>0</v>
      </c>
      <c r="Z74" s="114">
        <f>Y74*$B$46</f>
        <v>0</v>
      </c>
      <c r="AB74" s="99"/>
    </row>
    <row r="75" spans="1:31" ht="18.75" hidden="1" customHeight="1" x14ac:dyDescent="0.15">
      <c r="A75" s="112"/>
      <c r="B75" s="182"/>
      <c r="C75" s="113">
        <v>0</v>
      </c>
      <c r="D75" s="114">
        <f t="shared" ref="D75" si="22">C75*$B$57</f>
        <v>0</v>
      </c>
      <c r="E75" s="115">
        <v>0</v>
      </c>
      <c r="F75" s="114">
        <f>E75*$B$47</f>
        <v>0</v>
      </c>
      <c r="G75" s="115">
        <v>0</v>
      </c>
      <c r="H75" s="114">
        <f>G75*$B$47</f>
        <v>0</v>
      </c>
      <c r="I75" s="115">
        <v>0</v>
      </c>
      <c r="J75" s="114">
        <f>I75*$B$47</f>
        <v>0</v>
      </c>
      <c r="K75" s="115">
        <v>0</v>
      </c>
      <c r="L75" s="114">
        <f>K75*$B$47</f>
        <v>0</v>
      </c>
      <c r="M75" s="115">
        <v>0</v>
      </c>
      <c r="N75" s="114">
        <f>M75*$B$47</f>
        <v>0</v>
      </c>
      <c r="O75" s="115">
        <v>0</v>
      </c>
      <c r="P75" s="114">
        <f>O75*$B$47</f>
        <v>0</v>
      </c>
      <c r="Q75" s="115">
        <v>0</v>
      </c>
      <c r="R75" s="114">
        <f>Q75*$B$47</f>
        <v>0</v>
      </c>
      <c r="S75" s="115">
        <v>0</v>
      </c>
      <c r="T75" s="114">
        <f>S75*$B$47</f>
        <v>0</v>
      </c>
      <c r="U75" s="115">
        <v>0</v>
      </c>
      <c r="V75" s="114">
        <f>U75*$B$47</f>
        <v>0</v>
      </c>
      <c r="W75" s="113">
        <v>0</v>
      </c>
      <c r="X75" s="114">
        <f>W75*$B$47</f>
        <v>0</v>
      </c>
      <c r="Y75" s="113">
        <v>0</v>
      </c>
      <c r="Z75" s="114">
        <f>Y75*$B$47</f>
        <v>0</v>
      </c>
      <c r="AB75" s="99"/>
    </row>
    <row r="76" spans="1:31" ht="18.75" hidden="1" customHeight="1" x14ac:dyDescent="0.15">
      <c r="A76" s="112"/>
      <c r="B76" s="182"/>
      <c r="C76" s="113">
        <v>0</v>
      </c>
      <c r="D76" s="114">
        <f t="shared" ref="D76" si="23">C76*$B$58</f>
        <v>0</v>
      </c>
      <c r="E76" s="115">
        <v>0</v>
      </c>
      <c r="F76" s="114">
        <f>E76*$B$48</f>
        <v>0</v>
      </c>
      <c r="G76" s="115">
        <v>0</v>
      </c>
      <c r="H76" s="114">
        <f>G76*$B$48</f>
        <v>0</v>
      </c>
      <c r="I76" s="115">
        <v>0</v>
      </c>
      <c r="J76" s="114">
        <f>I76*$B$48</f>
        <v>0</v>
      </c>
      <c r="K76" s="115">
        <v>0</v>
      </c>
      <c r="L76" s="114">
        <f>K76*$B$48</f>
        <v>0</v>
      </c>
      <c r="M76" s="115">
        <v>0</v>
      </c>
      <c r="N76" s="114">
        <f>M76*$B$48</f>
        <v>0</v>
      </c>
      <c r="O76" s="115">
        <v>0</v>
      </c>
      <c r="P76" s="114">
        <f>O76*$B$48</f>
        <v>0</v>
      </c>
      <c r="Q76" s="115">
        <v>0</v>
      </c>
      <c r="R76" s="114">
        <f>Q76*$B$48</f>
        <v>0</v>
      </c>
      <c r="S76" s="115">
        <v>0</v>
      </c>
      <c r="T76" s="114">
        <f>S76*$B$48</f>
        <v>0</v>
      </c>
      <c r="U76" s="115">
        <v>0</v>
      </c>
      <c r="V76" s="114">
        <f>U76*$B$48</f>
        <v>0</v>
      </c>
      <c r="W76" s="113">
        <v>1</v>
      </c>
      <c r="X76" s="114">
        <f>W76*$B$48</f>
        <v>0</v>
      </c>
      <c r="Y76" s="113">
        <v>1</v>
      </c>
      <c r="Z76" s="114">
        <f>Y76*$B$48</f>
        <v>0</v>
      </c>
      <c r="AB76" s="99"/>
    </row>
    <row r="77" spans="1:31" ht="14" hidden="1" x14ac:dyDescent="0.15">
      <c r="A77" s="112"/>
      <c r="B77" s="182"/>
      <c r="C77" s="113">
        <v>0</v>
      </c>
      <c r="D77" s="114">
        <f t="shared" ref="D77" si="24">C77*$B$59</f>
        <v>0</v>
      </c>
      <c r="E77" s="115">
        <v>0</v>
      </c>
      <c r="F77" s="114">
        <f>E77*$B$48</f>
        <v>0</v>
      </c>
      <c r="G77" s="115">
        <v>0</v>
      </c>
      <c r="H77" s="114">
        <f>G77*$B$48</f>
        <v>0</v>
      </c>
      <c r="I77" s="115">
        <v>0</v>
      </c>
      <c r="J77" s="114">
        <f>I77*$B$48</f>
        <v>0</v>
      </c>
      <c r="K77" s="115">
        <v>0</v>
      </c>
      <c r="L77" s="114">
        <f>K77*$B$48</f>
        <v>0</v>
      </c>
      <c r="M77" s="115">
        <v>0</v>
      </c>
      <c r="N77" s="114">
        <f>M77*$B$48</f>
        <v>0</v>
      </c>
      <c r="O77" s="115">
        <v>0</v>
      </c>
      <c r="P77" s="114">
        <f>O77*$B$48</f>
        <v>0</v>
      </c>
      <c r="Q77" s="115">
        <v>0</v>
      </c>
      <c r="R77" s="114">
        <f>Q77*$B$48</f>
        <v>0</v>
      </c>
      <c r="S77" s="115">
        <v>0</v>
      </c>
      <c r="T77" s="114">
        <f>S77*$B$48</f>
        <v>0</v>
      </c>
      <c r="U77" s="115">
        <v>0</v>
      </c>
      <c r="V77" s="114">
        <f>U77*$B$48</f>
        <v>0</v>
      </c>
      <c r="W77" s="113">
        <v>0</v>
      </c>
      <c r="X77" s="114">
        <f>W77*$B$48</f>
        <v>0</v>
      </c>
      <c r="Y77" s="113">
        <v>0</v>
      </c>
      <c r="Z77" s="114">
        <f>Y77*$B$48</f>
        <v>0</v>
      </c>
      <c r="AB77" s="99"/>
      <c r="AE77" s="99"/>
    </row>
    <row r="78" spans="1:31" ht="15" hidden="1" customHeight="1" x14ac:dyDescent="0.15">
      <c r="A78" s="112"/>
      <c r="B78" s="182"/>
      <c r="C78" s="113">
        <v>0</v>
      </c>
      <c r="D78" s="117">
        <f t="shared" ref="D78" si="25">C78*$B$60</f>
        <v>0</v>
      </c>
      <c r="E78" s="115">
        <v>0</v>
      </c>
      <c r="F78" s="114">
        <f>E78*$B$50</f>
        <v>0</v>
      </c>
      <c r="G78" s="115">
        <v>0</v>
      </c>
      <c r="H78" s="114">
        <f>G78*$B$50</f>
        <v>0</v>
      </c>
      <c r="I78" s="115">
        <v>0</v>
      </c>
      <c r="J78" s="114">
        <f>I78*$B$50</f>
        <v>0</v>
      </c>
      <c r="K78" s="115">
        <v>0</v>
      </c>
      <c r="L78" s="114">
        <f>K78*$B$50</f>
        <v>0</v>
      </c>
      <c r="M78" s="115">
        <v>0</v>
      </c>
      <c r="N78" s="114">
        <f>M78*$B$50</f>
        <v>0</v>
      </c>
      <c r="O78" s="115">
        <v>0</v>
      </c>
      <c r="P78" s="114">
        <f>O78*$B$50</f>
        <v>0</v>
      </c>
      <c r="Q78" s="115">
        <v>0</v>
      </c>
      <c r="R78" s="114">
        <f>Q78*$B$50</f>
        <v>0</v>
      </c>
      <c r="S78" s="115">
        <v>0</v>
      </c>
      <c r="T78" s="114">
        <f>S78*$B$50</f>
        <v>0</v>
      </c>
      <c r="U78" s="115">
        <v>0</v>
      </c>
      <c r="V78" s="114">
        <f>U78*$B$50</f>
        <v>0</v>
      </c>
      <c r="W78" s="113">
        <v>0</v>
      </c>
      <c r="X78" s="114">
        <f>W78*$B$50</f>
        <v>0</v>
      </c>
      <c r="Y78" s="113">
        <v>0</v>
      </c>
      <c r="Z78" s="114">
        <f>Y78*$B$50</f>
        <v>0</v>
      </c>
      <c r="AB78" s="99"/>
    </row>
    <row r="79" spans="1:31" ht="15" hidden="1" customHeight="1" x14ac:dyDescent="0.15">
      <c r="A79" s="112"/>
      <c r="B79" s="182"/>
      <c r="C79" s="113">
        <v>0</v>
      </c>
      <c r="D79" s="114">
        <f t="shared" ref="D79" si="26">C79*$B$61</f>
        <v>0</v>
      </c>
      <c r="E79" s="115">
        <v>0</v>
      </c>
      <c r="F79" s="114">
        <f>E79*$B$50</f>
        <v>0</v>
      </c>
      <c r="G79" s="115">
        <v>0</v>
      </c>
      <c r="H79" s="114">
        <f>G79*$B$50</f>
        <v>0</v>
      </c>
      <c r="I79" s="115">
        <v>0</v>
      </c>
      <c r="J79" s="114">
        <f>I79*$B$50</f>
        <v>0</v>
      </c>
      <c r="K79" s="115">
        <v>0</v>
      </c>
      <c r="L79" s="114">
        <f>K79*$B$50</f>
        <v>0</v>
      </c>
      <c r="M79" s="115">
        <v>0</v>
      </c>
      <c r="N79" s="114">
        <f>M79*$B$50</f>
        <v>0</v>
      </c>
      <c r="O79" s="115">
        <v>0</v>
      </c>
      <c r="P79" s="114">
        <f>O79*$B$50</f>
        <v>0</v>
      </c>
      <c r="Q79" s="115">
        <v>0</v>
      </c>
      <c r="R79" s="114">
        <f>Q79*$B$50</f>
        <v>0</v>
      </c>
      <c r="S79" s="115">
        <v>0</v>
      </c>
      <c r="T79" s="114">
        <f>S79*$B$50</f>
        <v>0</v>
      </c>
      <c r="U79" s="115">
        <v>0</v>
      </c>
      <c r="V79" s="114">
        <f>U79*$B$50</f>
        <v>0</v>
      </c>
      <c r="W79" s="113">
        <v>0</v>
      </c>
      <c r="X79" s="114">
        <f>W79*$B$50</f>
        <v>0</v>
      </c>
      <c r="Y79" s="113">
        <v>0</v>
      </c>
      <c r="Z79" s="114">
        <f>Y79*$B$50</f>
        <v>0</v>
      </c>
      <c r="AB79" s="99"/>
    </row>
    <row r="80" spans="1:31" ht="15" hidden="1" customHeight="1" x14ac:dyDescent="0.15">
      <c r="A80" s="112"/>
      <c r="B80" s="182"/>
      <c r="C80" s="113">
        <v>0</v>
      </c>
      <c r="D80" s="117">
        <f t="shared" ref="D80" si="27">C80*$B$62</f>
        <v>0</v>
      </c>
      <c r="E80" s="115">
        <v>0</v>
      </c>
      <c r="F80" s="114">
        <f>E80*$B$52</f>
        <v>0</v>
      </c>
      <c r="G80" s="115">
        <v>0</v>
      </c>
      <c r="H80" s="114">
        <f>G80*$B$52</f>
        <v>0</v>
      </c>
      <c r="I80" s="115">
        <v>0</v>
      </c>
      <c r="J80" s="114">
        <f>I80*$B$52</f>
        <v>0</v>
      </c>
      <c r="K80" s="115">
        <v>0</v>
      </c>
      <c r="L80" s="114">
        <f>K80*$B$52</f>
        <v>0</v>
      </c>
      <c r="M80" s="115">
        <v>0</v>
      </c>
      <c r="N80" s="114">
        <f>M80*$B$52</f>
        <v>0</v>
      </c>
      <c r="O80" s="115">
        <v>0</v>
      </c>
      <c r="P80" s="114">
        <f>O80*$B$52</f>
        <v>0</v>
      </c>
      <c r="Q80" s="115">
        <v>0</v>
      </c>
      <c r="R80" s="114">
        <f>Q80*$B$52</f>
        <v>0</v>
      </c>
      <c r="S80" s="115">
        <v>0</v>
      </c>
      <c r="T80" s="114">
        <f>S80*$B$52</f>
        <v>0</v>
      </c>
      <c r="U80" s="115">
        <v>0</v>
      </c>
      <c r="V80" s="114">
        <f>U80*$B$52</f>
        <v>0</v>
      </c>
      <c r="W80" s="113">
        <v>0</v>
      </c>
      <c r="X80" s="114">
        <f>W80*$B$52</f>
        <v>0</v>
      </c>
      <c r="Y80" s="113">
        <v>0</v>
      </c>
      <c r="Z80" s="114">
        <f>Y80*$B$52</f>
        <v>0</v>
      </c>
      <c r="AB80" s="99"/>
    </row>
    <row r="81" spans="1:29" ht="15" hidden="1" customHeight="1" x14ac:dyDescent="0.15">
      <c r="A81" s="116"/>
      <c r="B81" s="182"/>
      <c r="C81" s="113">
        <v>0</v>
      </c>
      <c r="D81" s="114">
        <f t="shared" ref="D81" si="28">C81*$B$63</f>
        <v>0</v>
      </c>
      <c r="E81" s="115">
        <v>0</v>
      </c>
      <c r="F81" s="114">
        <f>E81*$B$52</f>
        <v>0</v>
      </c>
      <c r="G81" s="115">
        <v>0</v>
      </c>
      <c r="H81" s="114">
        <f>G81*$B$52</f>
        <v>0</v>
      </c>
      <c r="I81" s="115">
        <v>0</v>
      </c>
      <c r="J81" s="114">
        <f>I81*$B$52</f>
        <v>0</v>
      </c>
      <c r="K81" s="115">
        <v>0</v>
      </c>
      <c r="L81" s="114">
        <f>K81*$B$52</f>
        <v>0</v>
      </c>
      <c r="M81" s="115">
        <v>0</v>
      </c>
      <c r="N81" s="114">
        <f>M81*$B$52</f>
        <v>0</v>
      </c>
      <c r="O81" s="115">
        <v>0</v>
      </c>
      <c r="P81" s="114">
        <f>O81*$B$52</f>
        <v>0</v>
      </c>
      <c r="Q81" s="115">
        <v>0</v>
      </c>
      <c r="R81" s="114">
        <f>Q81*$B$52</f>
        <v>0</v>
      </c>
      <c r="S81" s="115">
        <v>0</v>
      </c>
      <c r="T81" s="114">
        <f>S81*$B$52</f>
        <v>0</v>
      </c>
      <c r="U81" s="115">
        <v>0</v>
      </c>
      <c r="V81" s="114">
        <f>U81*$B$52</f>
        <v>0</v>
      </c>
      <c r="W81" s="113">
        <v>0</v>
      </c>
      <c r="X81" s="114">
        <f>W81*$B$52</f>
        <v>0</v>
      </c>
      <c r="Y81" s="113">
        <v>0</v>
      </c>
      <c r="Z81" s="114">
        <f>Y81*$B$52</f>
        <v>0</v>
      </c>
      <c r="AB81" s="99"/>
    </row>
    <row r="82" spans="1:29" ht="15" hidden="1" customHeight="1" x14ac:dyDescent="0.15">
      <c r="A82" s="116"/>
      <c r="B82" s="182"/>
      <c r="C82" s="113">
        <v>0</v>
      </c>
      <c r="D82" s="114">
        <f t="shared" ref="D82" si="29">C82*$B$64</f>
        <v>0</v>
      </c>
      <c r="E82" s="115">
        <v>0</v>
      </c>
      <c r="F82" s="114">
        <f>E82*$B$54</f>
        <v>0</v>
      </c>
      <c r="G82" s="115">
        <v>0</v>
      </c>
      <c r="H82" s="114">
        <f>G82*$B$54</f>
        <v>0</v>
      </c>
      <c r="I82" s="115">
        <v>0</v>
      </c>
      <c r="J82" s="114">
        <f>I82*$B$54</f>
        <v>0</v>
      </c>
      <c r="K82" s="115">
        <v>0</v>
      </c>
      <c r="L82" s="114">
        <f>K82*$B$54</f>
        <v>0</v>
      </c>
      <c r="M82" s="115">
        <v>0</v>
      </c>
      <c r="N82" s="114">
        <f>M82*$B$54</f>
        <v>0</v>
      </c>
      <c r="O82" s="115">
        <v>0</v>
      </c>
      <c r="P82" s="114">
        <f>O82*$B$54</f>
        <v>0</v>
      </c>
      <c r="Q82" s="115">
        <v>0</v>
      </c>
      <c r="R82" s="114">
        <f>Q82*$B$54</f>
        <v>0</v>
      </c>
      <c r="S82" s="115">
        <v>0</v>
      </c>
      <c r="T82" s="114">
        <f>S82*$B$54</f>
        <v>0</v>
      </c>
      <c r="U82" s="115">
        <v>0</v>
      </c>
      <c r="V82" s="114">
        <f>U82*$B$54</f>
        <v>0</v>
      </c>
      <c r="W82" s="113">
        <v>0</v>
      </c>
      <c r="X82" s="114">
        <f>W82*$B$54</f>
        <v>0</v>
      </c>
      <c r="Y82" s="113">
        <v>0</v>
      </c>
      <c r="Z82" s="114">
        <f>Y82*$B$54</f>
        <v>0</v>
      </c>
      <c r="AB82" s="99"/>
    </row>
    <row r="83" spans="1:29" ht="15" hidden="1" customHeight="1" x14ac:dyDescent="0.15">
      <c r="A83" s="116"/>
      <c r="B83" s="182"/>
      <c r="C83" s="113">
        <v>0</v>
      </c>
      <c r="D83" s="114">
        <f t="shared" ref="D83" si="30">C83*$B$65</f>
        <v>0</v>
      </c>
      <c r="E83" s="115">
        <v>0</v>
      </c>
      <c r="F83" s="114">
        <f>E83*$B$54</f>
        <v>0</v>
      </c>
      <c r="G83" s="115">
        <v>0</v>
      </c>
      <c r="H83" s="114">
        <f>G83*$B$54</f>
        <v>0</v>
      </c>
      <c r="I83" s="115">
        <v>0</v>
      </c>
      <c r="J83" s="114">
        <f>I83*$B$54</f>
        <v>0</v>
      </c>
      <c r="K83" s="115">
        <v>0</v>
      </c>
      <c r="L83" s="114">
        <f>K83*$B$54</f>
        <v>0</v>
      </c>
      <c r="M83" s="115">
        <v>0</v>
      </c>
      <c r="N83" s="114">
        <f>M83*$B$54</f>
        <v>0</v>
      </c>
      <c r="O83" s="115">
        <v>0</v>
      </c>
      <c r="P83" s="114">
        <f>O83*$B$54</f>
        <v>0</v>
      </c>
      <c r="Q83" s="115">
        <v>0</v>
      </c>
      <c r="R83" s="114">
        <f>Q83*$B$54</f>
        <v>0</v>
      </c>
      <c r="S83" s="115">
        <v>0</v>
      </c>
      <c r="T83" s="114">
        <f>S83*$B$54</f>
        <v>0</v>
      </c>
      <c r="U83" s="115">
        <v>0</v>
      </c>
      <c r="V83" s="114">
        <f>U83*$B$54</f>
        <v>0</v>
      </c>
      <c r="W83" s="113">
        <v>0</v>
      </c>
      <c r="X83" s="114">
        <f>W83*$B$54</f>
        <v>0</v>
      </c>
      <c r="Y83" s="113">
        <v>0</v>
      </c>
      <c r="Z83" s="114">
        <f>Y83*$B$54</f>
        <v>0</v>
      </c>
      <c r="AB83" s="99"/>
    </row>
    <row r="84" spans="1:29" ht="15" hidden="1" customHeight="1" x14ac:dyDescent="0.15">
      <c r="A84" s="116"/>
      <c r="B84" s="182"/>
      <c r="C84" s="113">
        <v>0</v>
      </c>
      <c r="D84" s="114">
        <f t="shared" ref="D84" si="31">C84*$B$68</f>
        <v>0</v>
      </c>
      <c r="E84" s="115">
        <v>0</v>
      </c>
      <c r="F84" s="114">
        <f>E84*$B$52</f>
        <v>0</v>
      </c>
      <c r="G84" s="115">
        <v>0</v>
      </c>
      <c r="H84" s="114">
        <f>G84*$B$52</f>
        <v>0</v>
      </c>
      <c r="I84" s="115">
        <v>0</v>
      </c>
      <c r="J84" s="114">
        <f>I84*$B$52</f>
        <v>0</v>
      </c>
      <c r="K84" s="115">
        <v>0</v>
      </c>
      <c r="L84" s="114">
        <f>K84*$B$52</f>
        <v>0</v>
      </c>
      <c r="M84" s="115">
        <v>0</v>
      </c>
      <c r="N84" s="114">
        <f>M84*$B$52</f>
        <v>0</v>
      </c>
      <c r="O84" s="115">
        <v>0</v>
      </c>
      <c r="P84" s="114">
        <f>O84*$B$52</f>
        <v>0</v>
      </c>
      <c r="Q84" s="115">
        <v>0</v>
      </c>
      <c r="R84" s="114">
        <f>Q84*$B$52</f>
        <v>0</v>
      </c>
      <c r="S84" s="115">
        <v>0</v>
      </c>
      <c r="T84" s="114">
        <f>S84*$B$52</f>
        <v>0</v>
      </c>
      <c r="U84" s="115">
        <v>0</v>
      </c>
      <c r="V84" s="114">
        <f>U84*$B$52</f>
        <v>0</v>
      </c>
      <c r="W84" s="113">
        <v>0</v>
      </c>
      <c r="X84" s="114">
        <f>W84*$B$52</f>
        <v>0</v>
      </c>
      <c r="Y84" s="113">
        <v>0</v>
      </c>
      <c r="Z84" s="114">
        <f>Y84*$B$52</f>
        <v>0</v>
      </c>
      <c r="AB84" s="99"/>
    </row>
    <row r="85" spans="1:29" ht="15" hidden="1" customHeight="1" x14ac:dyDescent="0.15">
      <c r="A85" s="116"/>
      <c r="B85" s="182"/>
      <c r="C85" s="113">
        <v>0</v>
      </c>
      <c r="D85" s="114">
        <f t="shared" ref="D85" si="32">C85*$B$49</f>
        <v>0</v>
      </c>
      <c r="E85" s="115">
        <v>0</v>
      </c>
      <c r="F85" s="114">
        <f>E85*$B$57</f>
        <v>0</v>
      </c>
      <c r="G85" s="115">
        <v>0</v>
      </c>
      <c r="H85" s="114">
        <f>G85*$B$57</f>
        <v>0</v>
      </c>
      <c r="I85" s="115">
        <v>0</v>
      </c>
      <c r="J85" s="114">
        <f>I85*$B$57</f>
        <v>0</v>
      </c>
      <c r="K85" s="115">
        <v>0</v>
      </c>
      <c r="L85" s="114">
        <f>K85*$B$57</f>
        <v>0</v>
      </c>
      <c r="M85" s="115">
        <v>0</v>
      </c>
      <c r="N85" s="114">
        <f>M85*$B$57</f>
        <v>0</v>
      </c>
      <c r="O85" s="115">
        <v>0</v>
      </c>
      <c r="P85" s="114">
        <f>O85*$B$57</f>
        <v>0</v>
      </c>
      <c r="Q85" s="115">
        <v>0</v>
      </c>
      <c r="R85" s="114">
        <f>Q85*$B$57</f>
        <v>0</v>
      </c>
      <c r="S85" s="115">
        <v>0</v>
      </c>
      <c r="T85" s="114">
        <f>S85*$B$57</f>
        <v>0</v>
      </c>
      <c r="U85" s="115">
        <v>0</v>
      </c>
      <c r="V85" s="114">
        <f>U85*$B$57</f>
        <v>0</v>
      </c>
      <c r="W85" s="113">
        <v>0</v>
      </c>
      <c r="X85" s="114">
        <f>W85*$B$57</f>
        <v>0</v>
      </c>
      <c r="Y85" s="113">
        <v>0</v>
      </c>
      <c r="Z85" s="114">
        <f>Y85*$B$57</f>
        <v>0</v>
      </c>
      <c r="AB85" s="99"/>
    </row>
    <row r="86" spans="1:29" ht="15" hidden="1" customHeight="1" x14ac:dyDescent="0.15">
      <c r="A86" s="116"/>
      <c r="B86" s="182"/>
      <c r="C86" s="113">
        <v>0</v>
      </c>
      <c r="D86" s="114">
        <f t="shared" ref="D86" si="33">C86*$B$50</f>
        <v>0</v>
      </c>
      <c r="E86" s="115">
        <v>0</v>
      </c>
      <c r="F86" s="114">
        <f>E86*$B$57</f>
        <v>0</v>
      </c>
      <c r="G86" s="115">
        <v>0</v>
      </c>
      <c r="H86" s="114">
        <f>G86*$B$57</f>
        <v>0</v>
      </c>
      <c r="I86" s="115">
        <v>0</v>
      </c>
      <c r="J86" s="114">
        <f>I86*$B$57</f>
        <v>0</v>
      </c>
      <c r="K86" s="115">
        <v>0</v>
      </c>
      <c r="L86" s="114">
        <f>K86*$B$57</f>
        <v>0</v>
      </c>
      <c r="M86" s="115">
        <v>0</v>
      </c>
      <c r="N86" s="114">
        <f>M86*$B$57</f>
        <v>0</v>
      </c>
      <c r="O86" s="115">
        <v>0</v>
      </c>
      <c r="P86" s="114">
        <f>O86*$B$57</f>
        <v>0</v>
      </c>
      <c r="Q86" s="115">
        <v>0</v>
      </c>
      <c r="R86" s="114">
        <f>Q86*$B$57</f>
        <v>0</v>
      </c>
      <c r="S86" s="115">
        <v>0</v>
      </c>
      <c r="T86" s="114">
        <f>S86*$B$57</f>
        <v>0</v>
      </c>
      <c r="U86" s="115">
        <v>0</v>
      </c>
      <c r="V86" s="114">
        <f>U86*$B$57</f>
        <v>0</v>
      </c>
      <c r="W86" s="113">
        <v>0</v>
      </c>
      <c r="X86" s="114">
        <f>W86*$B$57</f>
        <v>0</v>
      </c>
      <c r="Y86" s="113">
        <v>0</v>
      </c>
      <c r="Z86" s="114">
        <f>Y86*$B$57</f>
        <v>0</v>
      </c>
      <c r="AB86" s="99"/>
    </row>
    <row r="87" spans="1:29" ht="15" hidden="1" customHeight="1" x14ac:dyDescent="0.15">
      <c r="A87" s="116"/>
      <c r="B87" s="182"/>
      <c r="C87" s="113">
        <v>0</v>
      </c>
      <c r="D87" s="114">
        <f t="shared" ref="D87" si="34">C87*$B$51</f>
        <v>0</v>
      </c>
      <c r="E87" s="115">
        <v>0</v>
      </c>
      <c r="F87" s="114">
        <f>E87*$B$59</f>
        <v>0</v>
      </c>
      <c r="G87" s="115">
        <v>0</v>
      </c>
      <c r="H87" s="114">
        <f>G87*$B$59</f>
        <v>0</v>
      </c>
      <c r="I87" s="115">
        <v>0</v>
      </c>
      <c r="J87" s="114">
        <f>I87*$B$59</f>
        <v>0</v>
      </c>
      <c r="K87" s="115">
        <v>0</v>
      </c>
      <c r="L87" s="114">
        <f>K87*$B$59</f>
        <v>0</v>
      </c>
      <c r="M87" s="115">
        <v>0</v>
      </c>
      <c r="N87" s="114">
        <f>M87*$B$59</f>
        <v>0</v>
      </c>
      <c r="O87" s="115">
        <v>0</v>
      </c>
      <c r="P87" s="114">
        <f>O87*$B$59</f>
        <v>0</v>
      </c>
      <c r="Q87" s="115">
        <v>0</v>
      </c>
      <c r="R87" s="114">
        <f>Q87*$B$59</f>
        <v>0</v>
      </c>
      <c r="S87" s="115">
        <v>0</v>
      </c>
      <c r="T87" s="114">
        <f>S87*$B$59</f>
        <v>0</v>
      </c>
      <c r="U87" s="115">
        <v>0</v>
      </c>
      <c r="V87" s="114">
        <f>U87*$B$59</f>
        <v>0</v>
      </c>
      <c r="W87" s="113">
        <v>0</v>
      </c>
      <c r="X87" s="114">
        <f>W87*$B$59</f>
        <v>0</v>
      </c>
      <c r="Y87" s="113">
        <v>0</v>
      </c>
      <c r="Z87" s="114">
        <f>Y87*$B$59</f>
        <v>0</v>
      </c>
      <c r="AB87" s="99"/>
    </row>
    <row r="88" spans="1:29" s="1" customFormat="1" ht="15" hidden="1" customHeight="1" x14ac:dyDescent="0.15">
      <c r="A88" s="116"/>
      <c r="B88" s="182"/>
      <c r="C88" s="113">
        <v>0</v>
      </c>
      <c r="D88" s="114">
        <f t="shared" ref="D88" si="35">C88*$B$52</f>
        <v>0</v>
      </c>
      <c r="E88" s="115">
        <v>0</v>
      </c>
      <c r="F88" s="117">
        <f>E88*$B$60</f>
        <v>0</v>
      </c>
      <c r="G88" s="115">
        <v>0</v>
      </c>
      <c r="H88" s="117">
        <f>G88*$B$60</f>
        <v>0</v>
      </c>
      <c r="I88" s="115">
        <v>0</v>
      </c>
      <c r="J88" s="117">
        <f>I88*$B$60</f>
        <v>0</v>
      </c>
      <c r="K88" s="115">
        <v>0</v>
      </c>
      <c r="L88" s="117">
        <f>K88*$B$60</f>
        <v>0</v>
      </c>
      <c r="M88" s="115">
        <v>0</v>
      </c>
      <c r="N88" s="117">
        <f>M88*$B$60</f>
        <v>0</v>
      </c>
      <c r="O88" s="115">
        <v>0</v>
      </c>
      <c r="P88" s="117">
        <f>O88*$B$60</f>
        <v>0</v>
      </c>
      <c r="Q88" s="115">
        <v>0</v>
      </c>
      <c r="R88" s="117">
        <f>Q88*$B$60</f>
        <v>0</v>
      </c>
      <c r="S88" s="115">
        <v>0</v>
      </c>
      <c r="T88" s="117">
        <f>S88*$B$60</f>
        <v>0</v>
      </c>
      <c r="U88" s="115">
        <v>0</v>
      </c>
      <c r="V88" s="117">
        <f>U88*$B$60</f>
        <v>0</v>
      </c>
      <c r="W88" s="113">
        <v>0</v>
      </c>
      <c r="X88" s="117">
        <f>W88*$B$60</f>
        <v>0</v>
      </c>
      <c r="Y88" s="113">
        <v>0</v>
      </c>
      <c r="Z88" s="117">
        <f>Y88*$B$60</f>
        <v>0</v>
      </c>
      <c r="AB88" s="99"/>
      <c r="AC88" s="123"/>
    </row>
    <row r="89" spans="1:29" s="1" customFormat="1" ht="15" hidden="1" customHeight="1" x14ac:dyDescent="0.15">
      <c r="A89" s="118"/>
      <c r="B89" s="182"/>
      <c r="C89" s="113">
        <v>0</v>
      </c>
      <c r="D89" s="114">
        <f t="shared" ref="D89" si="36">C89*$B$53</f>
        <v>0</v>
      </c>
      <c r="E89" s="113">
        <v>0</v>
      </c>
      <c r="F89" s="114">
        <f>E89*$B$61</f>
        <v>0</v>
      </c>
      <c r="G89" s="113">
        <v>0</v>
      </c>
      <c r="H89" s="114">
        <f>G89*$B$61</f>
        <v>0</v>
      </c>
      <c r="I89" s="113">
        <v>0</v>
      </c>
      <c r="J89" s="114">
        <f>I89*$B$61</f>
        <v>0</v>
      </c>
      <c r="K89" s="113">
        <v>0</v>
      </c>
      <c r="L89" s="114">
        <f>K89*$B$61</f>
        <v>0</v>
      </c>
      <c r="M89" s="113">
        <v>0</v>
      </c>
      <c r="N89" s="114">
        <f>M89*$B$61</f>
        <v>0</v>
      </c>
      <c r="O89" s="113">
        <v>0</v>
      </c>
      <c r="P89" s="114">
        <f>O89*$B$61</f>
        <v>0</v>
      </c>
      <c r="Q89" s="113">
        <v>0</v>
      </c>
      <c r="R89" s="114">
        <f>Q89*$B$61</f>
        <v>0</v>
      </c>
      <c r="S89" s="113">
        <v>0</v>
      </c>
      <c r="T89" s="114">
        <f>S89*$B$61</f>
        <v>0</v>
      </c>
      <c r="U89" s="113">
        <v>0</v>
      </c>
      <c r="V89" s="114">
        <f>U89*$B$61</f>
        <v>0</v>
      </c>
      <c r="W89" s="113">
        <v>0</v>
      </c>
      <c r="X89" s="114">
        <f>W89*$B$61</f>
        <v>0</v>
      </c>
      <c r="Y89" s="113">
        <v>0</v>
      </c>
      <c r="Z89" s="114">
        <f>Y89*$B$61</f>
        <v>0</v>
      </c>
      <c r="AB89" s="99"/>
      <c r="AC89" s="123"/>
    </row>
    <row r="90" spans="1:29" s="1" customFormat="1" ht="15" hidden="1" customHeight="1" x14ac:dyDescent="0.15">
      <c r="A90" s="119"/>
      <c r="B90" s="182"/>
      <c r="C90" s="113">
        <v>0</v>
      </c>
      <c r="D90" s="114">
        <f t="shared" ref="D90:D91" si="37">C90*$B$54</f>
        <v>0</v>
      </c>
      <c r="E90" s="113">
        <v>0</v>
      </c>
      <c r="F90" s="117">
        <f>E90*$B$62</f>
        <v>0</v>
      </c>
      <c r="G90" s="113">
        <v>0</v>
      </c>
      <c r="H90" s="117">
        <f>G90*$B$62</f>
        <v>0</v>
      </c>
      <c r="I90" s="113">
        <v>0</v>
      </c>
      <c r="J90" s="117">
        <f>I90*$B$62</f>
        <v>0</v>
      </c>
      <c r="K90" s="113">
        <v>0</v>
      </c>
      <c r="L90" s="117">
        <f>K90*$B$62</f>
        <v>0</v>
      </c>
      <c r="M90" s="113">
        <v>0</v>
      </c>
      <c r="N90" s="117">
        <f>M90*$B$62</f>
        <v>0</v>
      </c>
      <c r="O90" s="113">
        <v>0</v>
      </c>
      <c r="P90" s="117">
        <f>O90*$B$62</f>
        <v>0</v>
      </c>
      <c r="Q90" s="113">
        <v>0</v>
      </c>
      <c r="R90" s="117">
        <f>Q90*$B$62</f>
        <v>0</v>
      </c>
      <c r="S90" s="113">
        <v>0</v>
      </c>
      <c r="T90" s="117">
        <f>S90*$B$62</f>
        <v>0</v>
      </c>
      <c r="U90" s="113">
        <v>0</v>
      </c>
      <c r="V90" s="117">
        <f>U90*$B$62</f>
        <v>0</v>
      </c>
      <c r="W90" s="113">
        <v>0</v>
      </c>
      <c r="X90" s="117">
        <f>W90*$B$62</f>
        <v>0</v>
      </c>
      <c r="Y90" s="113">
        <v>0</v>
      </c>
      <c r="Z90" s="117">
        <f>Y90*$B$62</f>
        <v>0</v>
      </c>
      <c r="AB90" s="99"/>
      <c r="AC90" s="123"/>
    </row>
    <row r="91" spans="1:29" s="1" customFormat="1" ht="15" hidden="1" customHeight="1" x14ac:dyDescent="0.15">
      <c r="A91" s="119"/>
      <c r="B91" s="182"/>
      <c r="C91" s="113">
        <v>0</v>
      </c>
      <c r="D91" s="114">
        <f t="shared" si="37"/>
        <v>0</v>
      </c>
      <c r="E91" s="113">
        <v>0</v>
      </c>
      <c r="F91" s="114">
        <f t="shared" ref="F91:F94" si="38">E91*$B$63</f>
        <v>0</v>
      </c>
      <c r="G91" s="113">
        <v>0</v>
      </c>
      <c r="H91" s="114">
        <f t="shared" ref="H91:H94" si="39">G91*$B$63</f>
        <v>0</v>
      </c>
      <c r="I91" s="113">
        <v>0</v>
      </c>
      <c r="J91" s="114">
        <f t="shared" ref="J91:J94" si="40">I91*$B$63</f>
        <v>0</v>
      </c>
      <c r="K91" s="113">
        <v>0</v>
      </c>
      <c r="L91" s="114">
        <f t="shared" ref="L91:L94" si="41">K91*$B$63</f>
        <v>0</v>
      </c>
      <c r="M91" s="113">
        <v>0</v>
      </c>
      <c r="N91" s="114">
        <f t="shared" ref="N91:N94" si="42">M91*$B$63</f>
        <v>0</v>
      </c>
      <c r="O91" s="113">
        <v>0</v>
      </c>
      <c r="P91" s="114">
        <f t="shared" ref="P91:P94" si="43">O91*$B$63</f>
        <v>0</v>
      </c>
      <c r="Q91" s="113">
        <v>0</v>
      </c>
      <c r="R91" s="114">
        <f t="shared" ref="R91:R94" si="44">Q91*$B$63</f>
        <v>0</v>
      </c>
      <c r="S91" s="113">
        <v>0</v>
      </c>
      <c r="T91" s="114">
        <f t="shared" ref="T91:T94" si="45">S91*$B$63</f>
        <v>0</v>
      </c>
      <c r="U91" s="113">
        <v>0</v>
      </c>
      <c r="V91" s="114">
        <f t="shared" ref="V91:V94" si="46">U91*$B$63</f>
        <v>0</v>
      </c>
      <c r="W91" s="113">
        <v>0</v>
      </c>
      <c r="X91" s="114">
        <f>W91*$B$63</f>
        <v>0</v>
      </c>
      <c r="Y91" s="113">
        <v>0</v>
      </c>
      <c r="Z91" s="114">
        <f>Y91*$B$63</f>
        <v>0</v>
      </c>
      <c r="AB91" s="99"/>
      <c r="AC91" s="123"/>
    </row>
    <row r="92" spans="1:29" s="1" customFormat="1" ht="15" hidden="1" customHeight="1" x14ac:dyDescent="0.15">
      <c r="A92" s="119"/>
      <c r="B92" s="182"/>
      <c r="C92" s="113">
        <v>0</v>
      </c>
      <c r="D92" s="114">
        <f t="shared" ref="D92" si="47">C92*$B$56</f>
        <v>0</v>
      </c>
      <c r="E92" s="113">
        <v>0</v>
      </c>
      <c r="F92" s="114">
        <f t="shared" si="38"/>
        <v>0</v>
      </c>
      <c r="G92" s="113">
        <v>0</v>
      </c>
      <c r="H92" s="114">
        <f t="shared" si="39"/>
        <v>0</v>
      </c>
      <c r="I92" s="113">
        <v>0</v>
      </c>
      <c r="J92" s="114">
        <f t="shared" si="40"/>
        <v>0</v>
      </c>
      <c r="K92" s="113">
        <v>0</v>
      </c>
      <c r="L92" s="114">
        <f t="shared" si="41"/>
        <v>0</v>
      </c>
      <c r="M92" s="113">
        <v>0</v>
      </c>
      <c r="N92" s="114">
        <f t="shared" si="42"/>
        <v>0</v>
      </c>
      <c r="O92" s="113">
        <v>0</v>
      </c>
      <c r="P92" s="114">
        <f t="shared" si="43"/>
        <v>0</v>
      </c>
      <c r="Q92" s="113">
        <v>0</v>
      </c>
      <c r="R92" s="114">
        <f t="shared" si="44"/>
        <v>0</v>
      </c>
      <c r="S92" s="113">
        <v>0</v>
      </c>
      <c r="T92" s="114">
        <f t="shared" si="45"/>
        <v>0</v>
      </c>
      <c r="U92" s="113">
        <v>0</v>
      </c>
      <c r="V92" s="114">
        <f t="shared" si="46"/>
        <v>0</v>
      </c>
      <c r="W92" s="113">
        <v>0</v>
      </c>
      <c r="X92" s="114">
        <f>W92*$B$63</f>
        <v>0</v>
      </c>
      <c r="Y92" s="113">
        <v>0</v>
      </c>
      <c r="Z92" s="114">
        <f>Y92*$B$63</f>
        <v>0</v>
      </c>
      <c r="AB92" s="99"/>
      <c r="AC92" s="123"/>
    </row>
    <row r="93" spans="1:29" s="1" customFormat="1" ht="15" hidden="1" customHeight="1" x14ac:dyDescent="0.15">
      <c r="A93" s="119"/>
      <c r="B93" s="182"/>
      <c r="C93" s="113">
        <v>0</v>
      </c>
      <c r="D93" s="114">
        <f t="shared" ref="D93" si="48">C93*$B$57</f>
        <v>0</v>
      </c>
      <c r="E93" s="113">
        <v>0</v>
      </c>
      <c r="F93" s="114">
        <f t="shared" si="38"/>
        <v>0</v>
      </c>
      <c r="G93" s="113">
        <v>0</v>
      </c>
      <c r="H93" s="114">
        <f t="shared" si="39"/>
        <v>0</v>
      </c>
      <c r="I93" s="113">
        <v>0</v>
      </c>
      <c r="J93" s="114">
        <f t="shared" si="40"/>
        <v>0</v>
      </c>
      <c r="K93" s="113">
        <v>0</v>
      </c>
      <c r="L93" s="114">
        <f t="shared" si="41"/>
        <v>0</v>
      </c>
      <c r="M93" s="113">
        <v>0</v>
      </c>
      <c r="N93" s="114">
        <f t="shared" si="42"/>
        <v>0</v>
      </c>
      <c r="O93" s="113">
        <v>0</v>
      </c>
      <c r="P93" s="114">
        <f t="shared" si="43"/>
        <v>0</v>
      </c>
      <c r="Q93" s="113">
        <v>0</v>
      </c>
      <c r="R93" s="114">
        <f t="shared" si="44"/>
        <v>0</v>
      </c>
      <c r="S93" s="113">
        <v>0</v>
      </c>
      <c r="T93" s="114">
        <f t="shared" si="45"/>
        <v>0</v>
      </c>
      <c r="U93" s="113">
        <v>0</v>
      </c>
      <c r="V93" s="114">
        <f t="shared" si="46"/>
        <v>0</v>
      </c>
      <c r="W93" s="113">
        <v>0</v>
      </c>
      <c r="X93" s="114">
        <f>W93*$B$63</f>
        <v>0</v>
      </c>
      <c r="Y93" s="113">
        <v>0</v>
      </c>
      <c r="Z93" s="114">
        <f>Y93*$B$63</f>
        <v>0</v>
      </c>
      <c r="AB93" s="99"/>
      <c r="AC93" s="123"/>
    </row>
    <row r="94" spans="1:29" s="1" customFormat="1" ht="15" hidden="1" customHeight="1" x14ac:dyDescent="0.15">
      <c r="A94" s="112"/>
      <c r="B94" s="182"/>
      <c r="C94" s="113">
        <v>0</v>
      </c>
      <c r="D94" s="114">
        <f t="shared" ref="D94" si="49">C94*$B$58</f>
        <v>0</v>
      </c>
      <c r="E94" s="113">
        <v>0</v>
      </c>
      <c r="F94" s="114">
        <f t="shared" si="38"/>
        <v>0</v>
      </c>
      <c r="G94" s="113">
        <v>0</v>
      </c>
      <c r="H94" s="114">
        <f t="shared" si="39"/>
        <v>0</v>
      </c>
      <c r="I94" s="113">
        <v>0</v>
      </c>
      <c r="J94" s="114">
        <f t="shared" si="40"/>
        <v>0</v>
      </c>
      <c r="K94" s="113">
        <v>0</v>
      </c>
      <c r="L94" s="114">
        <f t="shared" si="41"/>
        <v>0</v>
      </c>
      <c r="M94" s="113">
        <v>0</v>
      </c>
      <c r="N94" s="114">
        <f t="shared" si="42"/>
        <v>0</v>
      </c>
      <c r="O94" s="113">
        <v>0</v>
      </c>
      <c r="P94" s="114">
        <f t="shared" si="43"/>
        <v>0</v>
      </c>
      <c r="Q94" s="113">
        <v>0</v>
      </c>
      <c r="R94" s="114">
        <f t="shared" si="44"/>
        <v>0</v>
      </c>
      <c r="S94" s="113">
        <v>0</v>
      </c>
      <c r="T94" s="114">
        <f t="shared" si="45"/>
        <v>0</v>
      </c>
      <c r="U94" s="113">
        <v>0</v>
      </c>
      <c r="V94" s="114">
        <f t="shared" si="46"/>
        <v>0</v>
      </c>
      <c r="W94" s="113">
        <v>0</v>
      </c>
      <c r="X94" s="114">
        <f>W94*$B$63</f>
        <v>0</v>
      </c>
      <c r="Y94" s="113">
        <v>0</v>
      </c>
      <c r="Z94" s="114">
        <f>Y94*$B$63</f>
        <v>0</v>
      </c>
      <c r="AB94" s="99"/>
      <c r="AC94" s="123"/>
    </row>
    <row r="95" spans="1:29" s="1" customFormat="1" ht="30" hidden="1" customHeight="1" x14ac:dyDescent="0.15">
      <c r="A95" s="112" t="s">
        <v>45</v>
      </c>
      <c r="B95" s="182"/>
      <c r="C95" s="113">
        <v>0</v>
      </c>
      <c r="D95" s="114">
        <f>C95*$B$68</f>
        <v>0</v>
      </c>
      <c r="E95" s="113">
        <v>0</v>
      </c>
      <c r="F95" s="114">
        <f>E95*$B$63</f>
        <v>0</v>
      </c>
      <c r="G95" s="113">
        <v>0</v>
      </c>
      <c r="H95" s="114">
        <f>G95*$B$63</f>
        <v>0</v>
      </c>
      <c r="I95" s="113">
        <v>0</v>
      </c>
      <c r="J95" s="114">
        <f>I95*$B$63</f>
        <v>0</v>
      </c>
      <c r="K95" s="113">
        <v>0</v>
      </c>
      <c r="L95" s="114">
        <f>K95*$B$63</f>
        <v>0</v>
      </c>
      <c r="M95" s="113">
        <v>0</v>
      </c>
      <c r="N95" s="114">
        <f>M95*$B$63</f>
        <v>0</v>
      </c>
      <c r="O95" s="113">
        <v>0</v>
      </c>
      <c r="P95" s="114">
        <f>O95*$B$63</f>
        <v>0</v>
      </c>
      <c r="Q95" s="113">
        <v>0</v>
      </c>
      <c r="R95" s="114">
        <f>Q95*$B$63</f>
        <v>0</v>
      </c>
      <c r="S95" s="113">
        <v>0</v>
      </c>
      <c r="T95" s="114">
        <f>S95*$B$63</f>
        <v>0</v>
      </c>
      <c r="U95" s="113">
        <v>0</v>
      </c>
      <c r="V95" s="114">
        <f>U95*$B$63</f>
        <v>0</v>
      </c>
      <c r="W95" s="113">
        <v>0</v>
      </c>
      <c r="X95" s="114">
        <f>W95*B95</f>
        <v>0</v>
      </c>
      <c r="Y95" s="113"/>
      <c r="Z95" s="114">
        <f>Y95*B95</f>
        <v>0</v>
      </c>
      <c r="AB95" s="99"/>
      <c r="AC95" s="123"/>
    </row>
    <row r="96" spans="1:29" s="1" customFormat="1" ht="17.25" customHeight="1" thickBot="1" x14ac:dyDescent="0.2">
      <c r="A96" s="112"/>
      <c r="B96" s="182"/>
      <c r="C96" s="113">
        <v>0</v>
      </c>
      <c r="D96" s="114">
        <f>C96*$B$68</f>
        <v>0</v>
      </c>
      <c r="E96" s="113">
        <v>0</v>
      </c>
      <c r="F96" s="114">
        <f>E96*$B$63</f>
        <v>0</v>
      </c>
      <c r="G96" s="113">
        <v>0</v>
      </c>
      <c r="H96" s="114">
        <f>G96*$B$63</f>
        <v>0</v>
      </c>
      <c r="I96" s="113">
        <v>0</v>
      </c>
      <c r="J96" s="114">
        <f>I96*$B$63</f>
        <v>0</v>
      </c>
      <c r="K96" s="113">
        <v>0</v>
      </c>
      <c r="L96" s="114">
        <f>K96*$B$63</f>
        <v>0</v>
      </c>
      <c r="M96" s="113">
        <v>0</v>
      </c>
      <c r="N96" s="114">
        <f>M96*$B$63</f>
        <v>0</v>
      </c>
      <c r="O96" s="113">
        <v>0</v>
      </c>
      <c r="P96" s="114">
        <f>O96*$B$63</f>
        <v>0</v>
      </c>
      <c r="Q96" s="113">
        <v>0</v>
      </c>
      <c r="R96" s="114">
        <f>Q96*$B$63</f>
        <v>0</v>
      </c>
      <c r="S96" s="113">
        <v>0</v>
      </c>
      <c r="T96" s="114">
        <f>S96*$B$63</f>
        <v>0</v>
      </c>
      <c r="U96" s="113">
        <v>0</v>
      </c>
      <c r="V96" s="114">
        <f>U96*$B$63</f>
        <v>0</v>
      </c>
      <c r="W96" s="113"/>
      <c r="X96" s="114">
        <f>W96*B96</f>
        <v>0</v>
      </c>
      <c r="Y96" s="113">
        <v>0</v>
      </c>
      <c r="Z96" s="114">
        <f>Y96*B96</f>
        <v>0</v>
      </c>
      <c r="AB96" s="99"/>
      <c r="AC96" s="123"/>
    </row>
    <row r="97" spans="1:28" ht="14" x14ac:dyDescent="0.15">
      <c r="A97" s="134" t="s">
        <v>13</v>
      </c>
      <c r="B97" s="135"/>
      <c r="C97" s="120"/>
      <c r="D97" s="121">
        <f>SUM(D28:D96)</f>
        <v>4456.37</v>
      </c>
      <c r="E97" s="120"/>
      <c r="F97" s="121" t="e">
        <f>SUM(F26:F72)</f>
        <v>#REF!</v>
      </c>
      <c r="G97" s="120"/>
      <c r="H97" s="121" t="e">
        <f>SUM(H26:H72)</f>
        <v>#REF!</v>
      </c>
      <c r="I97" s="120"/>
      <c r="J97" s="121" t="e">
        <f>SUM(J26:J72)</f>
        <v>#REF!</v>
      </c>
      <c r="K97" s="120"/>
      <c r="L97" s="121" t="e">
        <f>SUM(L26:L72)</f>
        <v>#REF!</v>
      </c>
      <c r="M97" s="120"/>
      <c r="N97" s="121" t="e">
        <f>SUM(N26:N72)</f>
        <v>#REF!</v>
      </c>
      <c r="O97" s="120"/>
      <c r="P97" s="121" t="e">
        <f>SUM(P26:P72)</f>
        <v>#REF!</v>
      </c>
      <c r="Q97" s="120"/>
      <c r="R97" s="121" t="e">
        <f>SUM(R26:R72)</f>
        <v>#REF!</v>
      </c>
      <c r="S97" s="120"/>
      <c r="T97" s="121" t="e">
        <f>SUM(T26:T72)</f>
        <v>#REF!</v>
      </c>
      <c r="U97" s="120"/>
      <c r="V97" s="121" t="e">
        <f>SUM(V26:V72)</f>
        <v>#REF!</v>
      </c>
      <c r="W97" s="120"/>
      <c r="X97" s="121">
        <f>SUM(X28:X96)</f>
        <v>0</v>
      </c>
      <c r="Y97" s="120"/>
      <c r="Z97" s="121">
        <f>SUM(Z28:Z96)</f>
        <v>0</v>
      </c>
      <c r="AB97" s="183"/>
    </row>
    <row r="98" spans="1:28" ht="14" x14ac:dyDescent="0.15">
      <c r="A98" s="136" t="s">
        <v>14</v>
      </c>
      <c r="B98" s="132"/>
      <c r="C98" s="113"/>
      <c r="D98" s="114">
        <f>D97+D25</f>
        <v>4732.6084799999999</v>
      </c>
      <c r="E98" s="113"/>
      <c r="F98" s="114" t="e">
        <f>SUM(F97,F25)</f>
        <v>#REF!</v>
      </c>
      <c r="G98" s="113"/>
      <c r="H98" s="114" t="e">
        <f>SUM(H97,H25)</f>
        <v>#REF!</v>
      </c>
      <c r="I98" s="113"/>
      <c r="J98" s="114" t="e">
        <f>SUM(J97,J25)</f>
        <v>#REF!</v>
      </c>
      <c r="K98" s="113"/>
      <c r="L98" s="114" t="e">
        <f>SUM(L97,L25)</f>
        <v>#REF!</v>
      </c>
      <c r="M98" s="113"/>
      <c r="N98" s="114" t="e">
        <f>SUM(N97,N25)</f>
        <v>#REF!</v>
      </c>
      <c r="O98" s="113"/>
      <c r="P98" s="114" t="e">
        <f>SUM(P97,P25)</f>
        <v>#REF!</v>
      </c>
      <c r="Q98" s="113"/>
      <c r="R98" s="114" t="e">
        <f>SUM(R97,R25)</f>
        <v>#REF!</v>
      </c>
      <c r="S98" s="113"/>
      <c r="T98" s="114" t="e">
        <f>SUM(T97,T25)</f>
        <v>#REF!</v>
      </c>
      <c r="U98" s="113"/>
      <c r="V98" s="114" t="e">
        <f>SUM(V97,V25)</f>
        <v>#REF!</v>
      </c>
      <c r="W98" s="114" t="s">
        <v>0</v>
      </c>
      <c r="X98" s="114">
        <f>X97+X25</f>
        <v>0</v>
      </c>
      <c r="Y98" s="114" t="s">
        <v>0</v>
      </c>
      <c r="Z98" s="114">
        <f>Z97+Z25</f>
        <v>32.214399999999998</v>
      </c>
      <c r="AB98" s="183"/>
    </row>
    <row r="99" spans="1:28" ht="15" thickBot="1" x14ac:dyDescent="0.2">
      <c r="A99" s="137" t="s">
        <v>15</v>
      </c>
      <c r="B99" s="138">
        <v>9.7000000000000003E-2</v>
      </c>
      <c r="C99" s="126"/>
      <c r="D99" s="127">
        <f>D98*$B$99</f>
        <v>459.06302255999998</v>
      </c>
      <c r="E99" s="126"/>
      <c r="F99" s="127" t="e">
        <f>F98*$B$99</f>
        <v>#REF!</v>
      </c>
      <c r="G99" s="126"/>
      <c r="H99" s="127" t="e">
        <f>H98*$B$99</f>
        <v>#REF!</v>
      </c>
      <c r="I99" s="126"/>
      <c r="J99" s="127" t="e">
        <f>J98*$B$99</f>
        <v>#REF!</v>
      </c>
      <c r="K99" s="126"/>
      <c r="L99" s="127" t="e">
        <f>L98*$B$99</f>
        <v>#REF!</v>
      </c>
      <c r="M99" s="126"/>
      <c r="N99" s="127" t="e">
        <f>N98*$B$99</f>
        <v>#REF!</v>
      </c>
      <c r="O99" s="126"/>
      <c r="P99" s="127" t="e">
        <f>P98*$B$99</f>
        <v>#REF!</v>
      </c>
      <c r="Q99" s="126"/>
      <c r="R99" s="127" t="e">
        <f>R98*$B$99</f>
        <v>#REF!</v>
      </c>
      <c r="S99" s="126"/>
      <c r="T99" s="127" t="e">
        <f>T98*$B$99</f>
        <v>#REF!</v>
      </c>
      <c r="U99" s="126"/>
      <c r="V99" s="127" t="e">
        <f>V98*$B$99</f>
        <v>#REF!</v>
      </c>
      <c r="W99" s="126"/>
      <c r="X99" s="127">
        <f>X98*$B$99</f>
        <v>0</v>
      </c>
      <c r="Y99" s="126"/>
      <c r="Z99" s="127">
        <f>Z98*$B$99</f>
        <v>3.1247967999999999</v>
      </c>
      <c r="AB99" s="183"/>
    </row>
    <row r="100" spans="1:28" ht="14" x14ac:dyDescent="0.15">
      <c r="A100" s="134" t="s">
        <v>16</v>
      </c>
      <c r="B100" s="151"/>
      <c r="C100" s="120"/>
      <c r="D100" s="121">
        <f>D98+D99</f>
        <v>5191.6715025599997</v>
      </c>
      <c r="E100" s="120"/>
      <c r="F100" s="121" t="e">
        <f>F98+F99</f>
        <v>#REF!</v>
      </c>
      <c r="G100" s="120"/>
      <c r="H100" s="121" t="e">
        <f>H98+H99</f>
        <v>#REF!</v>
      </c>
      <c r="I100" s="120"/>
      <c r="J100" s="121" t="e">
        <f>J98+J99</f>
        <v>#REF!</v>
      </c>
      <c r="K100" s="120"/>
      <c r="L100" s="121" t="e">
        <f>L98+L99</f>
        <v>#REF!</v>
      </c>
      <c r="M100" s="120"/>
      <c r="N100" s="121" t="e">
        <f>N98+N99</f>
        <v>#REF!</v>
      </c>
      <c r="O100" s="120"/>
      <c r="P100" s="121" t="e">
        <f>P98+P99</f>
        <v>#REF!</v>
      </c>
      <c r="Q100" s="120"/>
      <c r="R100" s="121" t="e">
        <f>R98+R99</f>
        <v>#REF!</v>
      </c>
      <c r="S100" s="120"/>
      <c r="T100" s="121" t="e">
        <f>T98+T99</f>
        <v>#REF!</v>
      </c>
      <c r="U100" s="120"/>
      <c r="V100" s="121" t="e">
        <f>V98+V99</f>
        <v>#REF!</v>
      </c>
      <c r="W100" s="120"/>
      <c r="X100" s="121">
        <f>X98+X99</f>
        <v>0</v>
      </c>
      <c r="Y100" s="120"/>
      <c r="Z100" s="121">
        <f>Z98+Z99</f>
        <v>35.339196799999996</v>
      </c>
      <c r="AA100" s="2"/>
      <c r="AB100" s="183"/>
    </row>
    <row r="101" spans="1:28" ht="15.75" hidden="1" customHeight="1" thickBot="1" x14ac:dyDescent="0.2">
      <c r="A101" s="152"/>
      <c r="B101" s="139"/>
      <c r="C101" s="140"/>
      <c r="D101" s="141"/>
      <c r="E101" s="140"/>
      <c r="F101" s="141"/>
      <c r="G101" s="140"/>
      <c r="H101" s="141"/>
      <c r="I101" s="140"/>
      <c r="J101" s="141"/>
      <c r="K101" s="140"/>
      <c r="L101" s="141"/>
      <c r="M101" s="140"/>
      <c r="N101" s="141"/>
      <c r="O101" s="140"/>
      <c r="P101" s="141"/>
      <c r="Q101" s="140"/>
      <c r="R101" s="141"/>
      <c r="S101" s="140"/>
      <c r="T101" s="141"/>
      <c r="U101" s="140"/>
      <c r="V101" s="141"/>
      <c r="W101" s="140"/>
      <c r="X101" s="141"/>
      <c r="Y101" s="140"/>
      <c r="Z101" s="141"/>
      <c r="AB101" s="183"/>
    </row>
    <row r="102" spans="1:28" ht="15" hidden="1" customHeight="1" x14ac:dyDescent="0.15">
      <c r="A102" s="136" t="s">
        <v>34</v>
      </c>
      <c r="B102" s="133">
        <v>0</v>
      </c>
      <c r="C102" s="113"/>
      <c r="D102" s="114">
        <f>D100*$B$102</f>
        <v>0</v>
      </c>
      <c r="E102" s="113"/>
      <c r="F102" s="114" t="e">
        <f>F100*$B$102</f>
        <v>#REF!</v>
      </c>
      <c r="G102" s="113"/>
      <c r="H102" s="114" t="e">
        <f>H100*$B$102</f>
        <v>#REF!</v>
      </c>
      <c r="I102" s="113"/>
      <c r="J102" s="114" t="e">
        <f>J100*$B$102</f>
        <v>#REF!</v>
      </c>
      <c r="K102" s="113"/>
      <c r="L102" s="114" t="e">
        <f>L100*$B$102</f>
        <v>#REF!</v>
      </c>
      <c r="M102" s="113"/>
      <c r="N102" s="114" t="e">
        <f>N100*$B$102</f>
        <v>#REF!</v>
      </c>
      <c r="O102" s="113"/>
      <c r="P102" s="114" t="e">
        <f>P100*$B$102</f>
        <v>#REF!</v>
      </c>
      <c r="Q102" s="113"/>
      <c r="R102" s="114" t="e">
        <f>R100*$B$102</f>
        <v>#REF!</v>
      </c>
      <c r="S102" s="113"/>
      <c r="T102" s="114" t="e">
        <f>T100*$B$102</f>
        <v>#REF!</v>
      </c>
      <c r="U102" s="113"/>
      <c r="V102" s="114" t="e">
        <f>V100*$B$102</f>
        <v>#REF!</v>
      </c>
      <c r="W102" s="113"/>
      <c r="X102" s="114">
        <f>X100*$B$102</f>
        <v>0</v>
      </c>
      <c r="Y102" s="113"/>
      <c r="Z102" s="114">
        <f>Z100*$B$102</f>
        <v>0</v>
      </c>
      <c r="AB102" s="183"/>
    </row>
    <row r="103" spans="1:28" ht="15" hidden="1" customHeight="1" x14ac:dyDescent="0.15">
      <c r="A103" s="136"/>
      <c r="B103" s="132"/>
      <c r="C103" s="113"/>
      <c r="D103" s="114"/>
      <c r="E103" s="113"/>
      <c r="F103" s="114"/>
      <c r="G103" s="113"/>
      <c r="H103" s="114"/>
      <c r="I103" s="113"/>
      <c r="J103" s="114"/>
      <c r="K103" s="113"/>
      <c r="L103" s="114"/>
      <c r="M103" s="113"/>
      <c r="N103" s="114"/>
      <c r="O103" s="113"/>
      <c r="P103" s="114"/>
      <c r="Q103" s="113"/>
      <c r="R103" s="114"/>
      <c r="S103" s="113"/>
      <c r="T103" s="114"/>
      <c r="U103" s="113"/>
      <c r="V103" s="114"/>
      <c r="W103" s="113"/>
      <c r="X103" s="114"/>
      <c r="Y103" s="113"/>
      <c r="Z103" s="114"/>
      <c r="AB103" s="183"/>
    </row>
    <row r="104" spans="1:28" ht="15.75" hidden="1" customHeight="1" thickBot="1" x14ac:dyDescent="0.2">
      <c r="A104" s="136" t="s">
        <v>17</v>
      </c>
      <c r="B104" s="132" t="s">
        <v>0</v>
      </c>
      <c r="C104" s="113"/>
      <c r="D104" s="142">
        <f>SUM(D100:D102)</f>
        <v>5191.6715025599997</v>
      </c>
      <c r="E104" s="143"/>
      <c r="F104" s="142" t="e">
        <f>SUM(F100:F102)</f>
        <v>#REF!</v>
      </c>
      <c r="G104" s="143"/>
      <c r="H104" s="142" t="e">
        <f>SUM(H100:H102)</f>
        <v>#REF!</v>
      </c>
      <c r="I104" s="143"/>
      <c r="J104" s="142" t="e">
        <f>SUM(J100:J102)</f>
        <v>#REF!</v>
      </c>
      <c r="K104" s="143"/>
      <c r="L104" s="142" t="e">
        <f>SUM(L100:L102)</f>
        <v>#REF!</v>
      </c>
      <c r="M104" s="143"/>
      <c r="N104" s="142" t="e">
        <f>SUM(N100:N102)</f>
        <v>#REF!</v>
      </c>
      <c r="O104" s="143"/>
      <c r="P104" s="142" t="e">
        <f>SUM(P100:P102)</f>
        <v>#REF!</v>
      </c>
      <c r="Q104" s="143"/>
      <c r="R104" s="142" t="e">
        <f>SUM(R100:R102)</f>
        <v>#REF!</v>
      </c>
      <c r="S104" s="143"/>
      <c r="T104" s="142" t="e">
        <f>SUM(T100:T102)</f>
        <v>#REF!</v>
      </c>
      <c r="U104" s="143"/>
      <c r="V104" s="142" t="e">
        <f>SUM(V100:V102)</f>
        <v>#REF!</v>
      </c>
      <c r="W104" s="143"/>
      <c r="X104" s="142">
        <f>SUM(X100:X102)</f>
        <v>0</v>
      </c>
      <c r="Y104" s="143"/>
      <c r="Z104" s="142">
        <f>SUM(Z100:Z102)</f>
        <v>35.339196799999996</v>
      </c>
      <c r="AB104" s="183"/>
    </row>
    <row r="105" spans="1:28" ht="15.75" hidden="1" customHeight="1" thickBot="1" x14ac:dyDescent="0.2">
      <c r="A105" s="153"/>
      <c r="B105" s="144"/>
      <c r="C105" s="144"/>
      <c r="D105" s="145"/>
      <c r="E105" s="144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4"/>
      <c r="X105" s="145"/>
      <c r="Y105" s="144"/>
      <c r="Z105" s="145"/>
      <c r="AB105" s="183"/>
    </row>
    <row r="106" spans="1:28" ht="15" hidden="1" customHeight="1" x14ac:dyDescent="0.15">
      <c r="A106" s="153" t="s">
        <v>35</v>
      </c>
      <c r="B106" s="147">
        <v>0</v>
      </c>
      <c r="C106" s="144"/>
      <c r="D106" s="145">
        <f>D104*$B$106</f>
        <v>0</v>
      </c>
      <c r="E106" s="144"/>
      <c r="F106" s="145" t="e">
        <f>F104*$B$106</f>
        <v>#REF!</v>
      </c>
      <c r="G106" s="146"/>
      <c r="H106" s="145" t="e">
        <f>H104*$B$106</f>
        <v>#REF!</v>
      </c>
      <c r="I106" s="146"/>
      <c r="J106" s="145" t="e">
        <f>J104*$B$106</f>
        <v>#REF!</v>
      </c>
      <c r="K106" s="146"/>
      <c r="L106" s="145" t="e">
        <f>L104*$B$106</f>
        <v>#REF!</v>
      </c>
      <c r="M106" s="146"/>
      <c r="N106" s="145" t="e">
        <f>N104*$B$106</f>
        <v>#REF!</v>
      </c>
      <c r="O106" s="146"/>
      <c r="P106" s="145" t="e">
        <f>P104*$B$106</f>
        <v>#REF!</v>
      </c>
      <c r="Q106" s="146"/>
      <c r="R106" s="145" t="e">
        <f>R104*$B$106</f>
        <v>#REF!</v>
      </c>
      <c r="S106" s="146"/>
      <c r="T106" s="145" t="e">
        <f>T104*$B$106</f>
        <v>#REF!</v>
      </c>
      <c r="U106" s="146"/>
      <c r="V106" s="145" t="e">
        <f>V104*$B$106</f>
        <v>#REF!</v>
      </c>
      <c r="W106" s="144"/>
      <c r="X106" s="145">
        <f>X104*$B$106</f>
        <v>0</v>
      </c>
      <c r="Y106" s="144"/>
      <c r="Z106" s="145">
        <f>Z104*$B$106</f>
        <v>0</v>
      </c>
      <c r="AB106" s="183"/>
    </row>
    <row r="107" spans="1:28" ht="15" hidden="1" customHeight="1" x14ac:dyDescent="0.15">
      <c r="A107" s="153"/>
      <c r="B107" s="144"/>
      <c r="C107" s="144"/>
      <c r="D107" s="145"/>
      <c r="E107" s="144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4"/>
      <c r="X107" s="145"/>
      <c r="Y107" s="144"/>
      <c r="Z107" s="145"/>
      <c r="AB107" s="183"/>
    </row>
    <row r="108" spans="1:28" ht="15" hidden="1" customHeight="1" x14ac:dyDescent="0.15">
      <c r="A108" s="154" t="s">
        <v>20</v>
      </c>
      <c r="B108" s="147">
        <v>0</v>
      </c>
      <c r="C108" s="144"/>
      <c r="D108" s="145">
        <f>D104*$B$108</f>
        <v>0</v>
      </c>
      <c r="E108" s="149"/>
      <c r="F108" s="145" t="e">
        <f>F104*$B$108</f>
        <v>#REF!</v>
      </c>
      <c r="G108" s="149"/>
      <c r="H108" s="145" t="e">
        <f>H104*$B$108</f>
        <v>#REF!</v>
      </c>
      <c r="I108" s="149"/>
      <c r="J108" s="145" t="e">
        <f>J104*$B$108</f>
        <v>#REF!</v>
      </c>
      <c r="K108" s="149"/>
      <c r="L108" s="145" t="e">
        <f>L104*$B$108</f>
        <v>#REF!</v>
      </c>
      <c r="M108" s="149"/>
      <c r="N108" s="145" t="e">
        <f>N104*$B$108</f>
        <v>#REF!</v>
      </c>
      <c r="O108" s="149"/>
      <c r="P108" s="145" t="e">
        <f>P104*$B$108</f>
        <v>#REF!</v>
      </c>
      <c r="Q108" s="149"/>
      <c r="R108" s="145" t="e">
        <f>R104*$B$108</f>
        <v>#REF!</v>
      </c>
      <c r="S108" s="149"/>
      <c r="T108" s="145" t="e">
        <f>T104*$B$108</f>
        <v>#REF!</v>
      </c>
      <c r="U108" s="145"/>
      <c r="V108" s="145" t="e">
        <f t="shared" ref="V108" si="50">V104*$B$108</f>
        <v>#REF!</v>
      </c>
      <c r="W108" s="149"/>
      <c r="X108" s="145">
        <f>X104*$B$108</f>
        <v>0</v>
      </c>
      <c r="Y108" s="149"/>
      <c r="Z108" s="145">
        <f>Z104*$B$108</f>
        <v>0</v>
      </c>
      <c r="AB108" s="183"/>
    </row>
    <row r="109" spans="1:28" ht="15" hidden="1" customHeight="1" x14ac:dyDescent="0.15">
      <c r="A109" s="154"/>
      <c r="B109" s="148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B109" s="183"/>
    </row>
    <row r="110" spans="1:28" ht="14" x14ac:dyDescent="0.15">
      <c r="A110" s="155" t="s">
        <v>31</v>
      </c>
      <c r="B110" s="150">
        <v>0.1</v>
      </c>
      <c r="C110" s="144"/>
      <c r="D110" s="170">
        <f>D100*B110</f>
        <v>519.16715025600001</v>
      </c>
      <c r="E110" s="171"/>
      <c r="F110" s="170" t="e">
        <f>SUM(F108,F106,F104,)</f>
        <v>#REF!</v>
      </c>
      <c r="G110" s="171"/>
      <c r="H110" s="170" t="e">
        <f>SUM(H108,H106,H104,)</f>
        <v>#REF!</v>
      </c>
      <c r="I110" s="171"/>
      <c r="J110" s="170" t="e">
        <f>SUM(J108,J106,J104,)</f>
        <v>#REF!</v>
      </c>
      <c r="K110" s="171"/>
      <c r="L110" s="170" t="e">
        <f>SUM(L108,L106,L104,)</f>
        <v>#REF!</v>
      </c>
      <c r="M110" s="171"/>
      <c r="N110" s="170" t="e">
        <f>SUM(N108,N106,N104,)</f>
        <v>#REF!</v>
      </c>
      <c r="O110" s="171"/>
      <c r="P110" s="170" t="e">
        <f>SUM(P108,P106,P104,)</f>
        <v>#REF!</v>
      </c>
      <c r="Q110" s="171"/>
      <c r="R110" s="170" t="e">
        <f>SUM(R108,R106,R104,)</f>
        <v>#REF!</v>
      </c>
      <c r="S110" s="171"/>
      <c r="T110" s="170" t="e">
        <f>SUM(T108,T106,T104,)</f>
        <v>#REF!</v>
      </c>
      <c r="U110" s="170"/>
      <c r="V110" s="170" t="e">
        <f>SUM(V108,V106,V104,)</f>
        <v>#REF!</v>
      </c>
      <c r="W110" s="171"/>
      <c r="X110" s="170">
        <f>X100*B110</f>
        <v>0</v>
      </c>
      <c r="Y110" s="171"/>
      <c r="Z110" s="170">
        <f>Z100*B110</f>
        <v>3.5339196799999999</v>
      </c>
      <c r="AB110" s="183"/>
    </row>
    <row r="111" spans="1:28" ht="15" thickBot="1" x14ac:dyDescent="0.2">
      <c r="A111" s="156" t="s">
        <v>32</v>
      </c>
      <c r="B111" s="157"/>
      <c r="C111" s="157"/>
      <c r="D111" s="158">
        <f>D110+D100</f>
        <v>5710.8386528159999</v>
      </c>
      <c r="E111" s="157"/>
      <c r="F111" s="157"/>
      <c r="G111" s="157"/>
      <c r="H111" s="157"/>
      <c r="I111" s="157"/>
      <c r="J111" s="157"/>
      <c r="K111" s="157"/>
      <c r="L111" s="157"/>
      <c r="M111" s="158"/>
      <c r="N111" s="157"/>
      <c r="O111" s="157"/>
      <c r="P111" s="157"/>
      <c r="Q111" s="157"/>
      <c r="R111" s="157"/>
      <c r="S111" s="157"/>
      <c r="T111" s="157"/>
      <c r="U111" s="157"/>
      <c r="V111" s="157"/>
      <c r="W111" s="159"/>
      <c r="X111" s="158">
        <f>X110+X100</f>
        <v>0</v>
      </c>
      <c r="Y111" s="159"/>
      <c r="Z111" s="158">
        <f>Z110+Z100</f>
        <v>38.873116479999993</v>
      </c>
      <c r="AB111" s="183"/>
    </row>
    <row r="112" spans="1:28" ht="14" x14ac:dyDescent="0.15">
      <c r="A112" s="160" t="s">
        <v>30</v>
      </c>
      <c r="B112" s="161"/>
      <c r="C112" s="162"/>
      <c r="D112" s="163">
        <f>1*D115</f>
        <v>0</v>
      </c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3"/>
      <c r="S112" s="163"/>
      <c r="T112" s="163"/>
      <c r="U112" s="163"/>
      <c r="V112" s="163"/>
      <c r="W112" s="162"/>
      <c r="X112" s="163">
        <f>X111*X115</f>
        <v>0</v>
      </c>
      <c r="Y112" s="162"/>
      <c r="Z112" s="163">
        <f>Z111*Z115</f>
        <v>0.38873116479999992</v>
      </c>
      <c r="AB112" s="183"/>
    </row>
    <row r="113" spans="1:29" ht="15" thickBot="1" x14ac:dyDescent="0.2">
      <c r="A113" s="164" t="s">
        <v>96</v>
      </c>
      <c r="B113" s="165"/>
      <c r="C113" s="166"/>
      <c r="D113" s="167">
        <f>D112+D111</f>
        <v>5710.8386528159999</v>
      </c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7"/>
      <c r="S113" s="167"/>
      <c r="T113" s="167"/>
      <c r="U113" s="167"/>
      <c r="V113" s="167"/>
      <c r="W113" s="166"/>
      <c r="X113" s="167">
        <f>X112+X111</f>
        <v>0</v>
      </c>
      <c r="Y113" s="167"/>
      <c r="Z113" s="167">
        <f t="shared" ref="Z113" si="51">Z112+Z111</f>
        <v>39.261847644799992</v>
      </c>
      <c r="AB113" s="183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99"/>
    </row>
    <row r="115" spans="1:29" ht="14" x14ac:dyDescent="0.15">
      <c r="A115" s="98"/>
      <c r="B115" s="3"/>
      <c r="C115" s="98"/>
      <c r="D115" s="100"/>
      <c r="E115" s="98"/>
      <c r="F115" s="98"/>
      <c r="G115" s="98"/>
      <c r="H115" s="98"/>
      <c r="I115" s="98"/>
      <c r="J115" s="9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98"/>
      <c r="X115" s="100"/>
      <c r="Y115" s="98"/>
      <c r="Z115" s="100">
        <v>0.01</v>
      </c>
      <c r="AB115" s="183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99"/>
      <c r="AC116" s="125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02"/>
    </row>
    <row r="118" spans="1:29" ht="14" x14ac:dyDescent="0.15">
      <c r="A118" s="3"/>
      <c r="B118" s="184"/>
      <c r="C118" s="3"/>
      <c r="D118" s="1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99"/>
    </row>
    <row r="119" spans="1:29" ht="14" x14ac:dyDescent="0.15">
      <c r="A119" s="3"/>
      <c r="B119" s="184"/>
      <c r="C119" s="3"/>
      <c r="D119" s="1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24"/>
    </row>
    <row r="120" spans="1:29" ht="14" x14ac:dyDescent="0.15">
      <c r="A120" s="3"/>
      <c r="B120" s="184"/>
      <c r="C120" s="3"/>
      <c r="D120" s="1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24"/>
    </row>
    <row r="121" spans="1:29" ht="14" x14ac:dyDescent="0.15">
      <c r="A121" s="3"/>
      <c r="B121" s="184"/>
      <c r="C121" s="3"/>
      <c r="D121" s="1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184"/>
      <c r="C122" s="3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184"/>
      <c r="C123" s="3"/>
      <c r="D123" s="1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184"/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184"/>
      <c r="C125" s="3"/>
      <c r="D125" s="1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22"/>
      <c r="D126" s="122"/>
    </row>
    <row r="127" spans="1:29" x14ac:dyDescent="0.15">
      <c r="B127" s="122"/>
      <c r="D127" s="122"/>
    </row>
    <row r="128" spans="1:29" x14ac:dyDescent="0.15">
      <c r="D128" s="122"/>
    </row>
    <row r="129" spans="4:26" x14ac:dyDescent="0.15">
      <c r="D129" s="122"/>
    </row>
    <row r="130" spans="4:26" x14ac:dyDescent="0.15">
      <c r="D130" s="122"/>
    </row>
    <row r="131" spans="4:26" x14ac:dyDescent="0.15">
      <c r="D131" s="122"/>
      <c r="Z131" s="99"/>
    </row>
    <row r="132" spans="4:26" x14ac:dyDescent="0.15">
      <c r="D132" s="122"/>
    </row>
    <row r="133" spans="4:26" x14ac:dyDescent="0.15">
      <c r="D133" s="122"/>
    </row>
    <row r="134" spans="4:26" x14ac:dyDescent="0.15">
      <c r="D134" s="122"/>
    </row>
    <row r="135" spans="4:26" x14ac:dyDescent="0.15">
      <c r="D135" s="122"/>
    </row>
    <row r="136" spans="4:26" x14ac:dyDescent="0.15">
      <c r="D136" s="122"/>
    </row>
    <row r="137" spans="4:26" x14ac:dyDescent="0.15">
      <c r="D137" s="122"/>
    </row>
    <row r="138" spans="4:26" x14ac:dyDescent="0.15">
      <c r="D138" s="122"/>
    </row>
    <row r="139" spans="4:26" x14ac:dyDescent="0.15">
      <c r="D139" s="122"/>
    </row>
    <row r="140" spans="4:26" x14ac:dyDescent="0.15">
      <c r="D140" s="122"/>
    </row>
    <row r="141" spans="4:26" x14ac:dyDescent="0.15">
      <c r="D141" s="122"/>
    </row>
    <row r="142" spans="4:26" x14ac:dyDescent="0.15">
      <c r="D142" s="122"/>
    </row>
    <row r="143" spans="4:26" x14ac:dyDescent="0.15">
      <c r="D143" s="122"/>
    </row>
    <row r="144" spans="4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  <row r="149" spans="4:4" x14ac:dyDescent="0.15">
      <c r="D149" s="122"/>
    </row>
  </sheetData>
  <mergeCells count="25">
    <mergeCell ref="S2:T5"/>
    <mergeCell ref="U2:V5"/>
    <mergeCell ref="W2:X5"/>
    <mergeCell ref="A2:A3"/>
    <mergeCell ref="C2:D5"/>
    <mergeCell ref="E2:F5"/>
    <mergeCell ref="G2:H5"/>
    <mergeCell ref="I2:J5"/>
    <mergeCell ref="K2:L5"/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</mergeCells>
  <printOptions horizontalCentered="1" verticalCentered="1"/>
  <pageMargins left="0.25" right="0.25" top="0.25" bottom="0.25" header="0.5" footer="0.5"/>
  <pageSetup paperSize="3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76F8-888A-E440-8F72-B357BECF3EE9}">
  <sheetPr>
    <pageSetUpPr fitToPage="1"/>
  </sheetPr>
  <dimension ref="A1:AE149"/>
  <sheetViews>
    <sheetView topLeftCell="A3" workbookViewId="0">
      <selection activeCell="AB26" sqref="AB26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22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197" t="s">
        <v>80</v>
      </c>
      <c r="B2" s="7"/>
      <c r="C2" s="193" t="s">
        <v>75</v>
      </c>
      <c r="D2" s="194"/>
      <c r="E2" s="193" t="s">
        <v>22</v>
      </c>
      <c r="F2" s="194"/>
      <c r="G2" s="193" t="s">
        <v>23</v>
      </c>
      <c r="H2" s="194"/>
      <c r="I2" s="193" t="s">
        <v>24</v>
      </c>
      <c r="J2" s="194"/>
      <c r="K2" s="193" t="s">
        <v>25</v>
      </c>
      <c r="L2" s="194"/>
      <c r="M2" s="193" t="s">
        <v>26</v>
      </c>
      <c r="N2" s="194"/>
      <c r="O2" s="193" t="s">
        <v>27</v>
      </c>
      <c r="P2" s="194"/>
      <c r="Q2" s="193" t="s">
        <v>28</v>
      </c>
      <c r="R2" s="194"/>
      <c r="S2" s="193" t="s">
        <v>29</v>
      </c>
      <c r="T2" s="194"/>
      <c r="U2" s="193" t="s">
        <v>21</v>
      </c>
      <c r="V2" s="194"/>
      <c r="W2" s="193" t="s">
        <v>40</v>
      </c>
      <c r="X2" s="194"/>
      <c r="Y2" s="193" t="s">
        <v>41</v>
      </c>
      <c r="Z2" s="194"/>
    </row>
    <row r="3" spans="1:28" ht="45.75" customHeight="1" thickBot="1" x14ac:dyDescent="0.2">
      <c r="A3" s="198"/>
      <c r="B3" s="8" t="s">
        <v>0</v>
      </c>
      <c r="C3" s="195"/>
      <c r="D3" s="196"/>
      <c r="E3" s="195"/>
      <c r="F3" s="196"/>
      <c r="G3" s="195"/>
      <c r="H3" s="196"/>
      <c r="I3" s="195"/>
      <c r="J3" s="196"/>
      <c r="K3" s="195"/>
      <c r="L3" s="196"/>
      <c r="M3" s="195"/>
      <c r="N3" s="196"/>
      <c r="O3" s="195"/>
      <c r="P3" s="196"/>
      <c r="Q3" s="195"/>
      <c r="R3" s="196"/>
      <c r="S3" s="195"/>
      <c r="T3" s="196"/>
      <c r="U3" s="195"/>
      <c r="V3" s="196"/>
      <c r="W3" s="195"/>
      <c r="X3" s="196"/>
      <c r="Y3" s="195"/>
      <c r="Z3" s="196"/>
    </row>
    <row r="4" spans="1:28" ht="19" thickBot="1" x14ac:dyDescent="0.2">
      <c r="A4" s="192">
        <f>D113</f>
        <v>9445.0764297394999</v>
      </c>
      <c r="B4" s="8" t="s">
        <v>0</v>
      </c>
      <c r="C4" s="195"/>
      <c r="D4" s="196"/>
      <c r="E4" s="195"/>
      <c r="F4" s="196"/>
      <c r="G4" s="195"/>
      <c r="H4" s="196"/>
      <c r="I4" s="195"/>
      <c r="J4" s="196"/>
      <c r="K4" s="195"/>
      <c r="L4" s="196"/>
      <c r="M4" s="195"/>
      <c r="N4" s="196"/>
      <c r="O4" s="195"/>
      <c r="P4" s="196"/>
      <c r="Q4" s="195"/>
      <c r="R4" s="196"/>
      <c r="S4" s="195"/>
      <c r="T4" s="196"/>
      <c r="U4" s="195"/>
      <c r="V4" s="196"/>
      <c r="W4" s="195"/>
      <c r="X4" s="196"/>
      <c r="Y4" s="195"/>
      <c r="Z4" s="196"/>
    </row>
    <row r="5" spans="1:28" ht="21.75" customHeight="1" thickBot="1" x14ac:dyDescent="0.2">
      <c r="A5" s="9"/>
      <c r="B5" s="8" t="s">
        <v>0</v>
      </c>
      <c r="C5" s="195"/>
      <c r="D5" s="196"/>
      <c r="E5" s="195"/>
      <c r="F5" s="196"/>
      <c r="G5" s="195"/>
      <c r="H5" s="196"/>
      <c r="I5" s="195"/>
      <c r="J5" s="196"/>
      <c r="K5" s="195"/>
      <c r="L5" s="196"/>
      <c r="M5" s="195"/>
      <c r="N5" s="196"/>
      <c r="O5" s="195"/>
      <c r="P5" s="196"/>
      <c r="Q5" s="195"/>
      <c r="R5" s="196"/>
      <c r="S5" s="195"/>
      <c r="T5" s="196"/>
      <c r="U5" s="195"/>
      <c r="V5" s="196"/>
      <c r="W5" s="195"/>
      <c r="X5" s="196"/>
      <c r="Y5" s="195"/>
      <c r="Z5" s="196"/>
    </row>
    <row r="6" spans="1:28" ht="15" thickBot="1" x14ac:dyDescent="0.2">
      <c r="A6" s="10" t="s">
        <v>76</v>
      </c>
      <c r="B6" s="11" t="s">
        <v>0</v>
      </c>
      <c r="C6" s="199" t="s">
        <v>18</v>
      </c>
      <c r="D6" s="200"/>
      <c r="E6" s="199" t="s">
        <v>18</v>
      </c>
      <c r="F6" s="200"/>
      <c r="G6" s="199" t="s">
        <v>18</v>
      </c>
      <c r="H6" s="200"/>
      <c r="I6" s="201" t="s">
        <v>18</v>
      </c>
      <c r="J6" s="200"/>
      <c r="K6" s="201" t="s">
        <v>18</v>
      </c>
      <c r="L6" s="200"/>
      <c r="M6" s="199" t="s">
        <v>18</v>
      </c>
      <c r="N6" s="200"/>
      <c r="O6" s="199" t="s">
        <v>18</v>
      </c>
      <c r="P6" s="200"/>
      <c r="Q6" s="199" t="s">
        <v>18</v>
      </c>
      <c r="R6" s="200"/>
      <c r="S6" s="199" t="s">
        <v>18</v>
      </c>
      <c r="T6" s="200"/>
      <c r="U6" s="199" t="s">
        <v>18</v>
      </c>
      <c r="V6" s="200"/>
      <c r="W6" s="199" t="s">
        <v>18</v>
      </c>
      <c r="X6" s="200"/>
      <c r="Y6" s="199" t="s">
        <v>18</v>
      </c>
      <c r="Z6" s="200"/>
    </row>
    <row r="7" spans="1:28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8" ht="21" thickBot="1" x14ac:dyDescent="0.25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  <c r="AB8" s="190" t="s">
        <v>46</v>
      </c>
    </row>
    <row r="9" spans="1:28" ht="14" x14ac:dyDescent="0.15">
      <c r="A9" s="21" t="s">
        <v>47</v>
      </c>
      <c r="B9" s="22">
        <v>37</v>
      </c>
      <c r="C9" s="23">
        <v>3</v>
      </c>
      <c r="D9" s="24">
        <f>C9*$B$9</f>
        <v>111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  <c r="AB9" s="102"/>
    </row>
    <row r="10" spans="1:28" ht="22.25" customHeight="1" x14ac:dyDescent="0.15">
      <c r="A10" s="25" t="s">
        <v>36</v>
      </c>
      <c r="B10" s="189">
        <v>28.85</v>
      </c>
      <c r="C10" s="23">
        <v>3</v>
      </c>
      <c r="D10" s="24">
        <f>C10*$B$10</f>
        <v>86.550000000000011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  <c r="AB10" s="186"/>
    </row>
    <row r="11" spans="1:28" ht="14" x14ac:dyDescent="0.15">
      <c r="A11" s="25" t="s">
        <v>38</v>
      </c>
      <c r="B11" s="26">
        <v>23</v>
      </c>
      <c r="C11" s="23"/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  <c r="AB11" s="102"/>
    </row>
    <row r="12" spans="1:28" ht="14" x14ac:dyDescent="0.15">
      <c r="A12" s="27" t="s">
        <v>62</v>
      </c>
      <c r="B12" s="26">
        <v>16</v>
      </c>
      <c r="C12" s="28">
        <v>3</v>
      </c>
      <c r="D12" s="24">
        <f>C12*$B$12</f>
        <v>48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32</v>
      </c>
      <c r="AB12" s="102"/>
    </row>
    <row r="13" spans="1:28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  <c r="AB13" s="187"/>
    </row>
    <row r="14" spans="1:28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8" ht="14" x14ac:dyDescent="0.15">
      <c r="A15" s="37" t="s">
        <v>48</v>
      </c>
      <c r="B15" s="26">
        <v>35</v>
      </c>
      <c r="C15" s="23">
        <v>0</v>
      </c>
      <c r="D15" s="38">
        <f>B15*C15</f>
        <v>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</row>
    <row r="16" spans="1:28" ht="14" x14ac:dyDescent="0.15">
      <c r="A16" s="37" t="s">
        <v>57</v>
      </c>
      <c r="B16" s="26">
        <v>28</v>
      </c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</row>
    <row r="17" spans="1:28" ht="14" x14ac:dyDescent="0.15">
      <c r="A17" s="37" t="s">
        <v>58</v>
      </c>
      <c r="B17" s="26">
        <v>23</v>
      </c>
      <c r="C17" s="23">
        <v>0</v>
      </c>
      <c r="D17" s="38">
        <f t="shared" si="0"/>
        <v>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</row>
    <row r="18" spans="1:28" ht="14" x14ac:dyDescent="0.15">
      <c r="A18" s="37" t="s">
        <v>70</v>
      </c>
      <c r="B18" s="26">
        <v>28</v>
      </c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</row>
    <row r="19" spans="1:28" ht="14" x14ac:dyDescent="0.15">
      <c r="A19" s="37" t="s">
        <v>7</v>
      </c>
      <c r="B19" s="26">
        <v>28</v>
      </c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  <c r="AB19" s="102"/>
    </row>
    <row r="20" spans="1:28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8" ht="14" x14ac:dyDescent="0.15">
      <c r="A21" s="45" t="s">
        <v>8</v>
      </c>
      <c r="B21" s="26"/>
      <c r="C21" s="46">
        <f t="shared" ref="C21:D21" si="1">SUM(C9:C20)</f>
        <v>9</v>
      </c>
      <c r="D21" s="48">
        <f t="shared" si="1"/>
        <v>245.55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32</v>
      </c>
      <c r="AB21" s="99"/>
    </row>
    <row r="22" spans="1:28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  <c r="AB22" s="99"/>
    </row>
    <row r="23" spans="1:28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1.6451850000000001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0.21440000000000001</v>
      </c>
      <c r="AB23" s="99"/>
    </row>
    <row r="24" spans="1:28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  <c r="AB24" s="99"/>
    </row>
    <row r="25" spans="1:28" ht="15" thickBot="1" x14ac:dyDescent="0.2">
      <c r="A25" s="61" t="s">
        <v>9</v>
      </c>
      <c r="B25" s="62"/>
      <c r="C25" s="63">
        <f>SUM(C21:C21)</f>
        <v>9</v>
      </c>
      <c r="D25" s="64">
        <f>SUM(D21:D21, D23)</f>
        <v>247.19518500000001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32.214399999999998</v>
      </c>
      <c r="AB25" s="99"/>
    </row>
    <row r="26" spans="1:28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  <c r="AB26" s="99"/>
    </row>
    <row r="27" spans="1:28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  <c r="AB27" s="99"/>
    </row>
    <row r="28" spans="1:28" ht="14" x14ac:dyDescent="0.15">
      <c r="A28" s="72" t="s">
        <v>74</v>
      </c>
      <c r="B28" s="73">
        <v>0</v>
      </c>
      <c r="C28" s="71">
        <v>1</v>
      </c>
      <c r="D28" s="38">
        <f>C28*$B$28</f>
        <v>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  <c r="AB28" s="168"/>
    </row>
    <row r="29" spans="1:28" ht="14" x14ac:dyDescent="0.15">
      <c r="A29" s="72" t="s">
        <v>64</v>
      </c>
      <c r="B29" s="73">
        <v>0</v>
      </c>
      <c r="C29" s="71">
        <v>4</v>
      </c>
      <c r="D29" s="38">
        <f>C29*B29</f>
        <v>0</v>
      </c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  <c r="AB29" s="168"/>
    </row>
    <row r="30" spans="1:28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  <c r="AB30" s="99"/>
    </row>
    <row r="31" spans="1:28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  <c r="AB31" s="99"/>
    </row>
    <row r="32" spans="1:28" ht="16" hidden="1" thickBot="1" x14ac:dyDescent="0.2">
      <c r="A32" s="103" t="s">
        <v>42</v>
      </c>
      <c r="B32" s="188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  <c r="AB32" s="185"/>
    </row>
    <row r="33" spans="1:28" ht="16" hidden="1" thickBot="1" x14ac:dyDescent="0.2">
      <c r="A33" s="103" t="s">
        <v>52</v>
      </c>
      <c r="B33" s="188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  <c r="AB33" s="185"/>
    </row>
    <row r="34" spans="1:28" ht="15" hidden="1" thickBot="1" x14ac:dyDescent="0.2">
      <c r="A34" s="104" t="s">
        <v>54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  <c r="AB34" s="99"/>
    </row>
    <row r="35" spans="1:28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  <c r="AB35" s="99"/>
    </row>
    <row r="36" spans="1:28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  <c r="AB36" s="99"/>
    </row>
    <row r="37" spans="1:28" ht="30.75" hidden="1" customHeight="1" thickBot="1" x14ac:dyDescent="0.2">
      <c r="A37" s="106" t="s">
        <v>50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  <c r="AB37" s="99"/>
    </row>
    <row r="38" spans="1:28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  <c r="AB38" s="99"/>
    </row>
    <row r="39" spans="1:28" ht="14" x14ac:dyDescent="0.15">
      <c r="A39" s="172"/>
      <c r="B39" s="173"/>
      <c r="C39" s="174"/>
      <c r="D39" s="175"/>
      <c r="E39" s="176"/>
      <c r="F39" s="175"/>
      <c r="G39" s="176"/>
      <c r="H39" s="175"/>
      <c r="I39" s="176"/>
      <c r="J39" s="175"/>
      <c r="K39" s="176"/>
      <c r="L39" s="175"/>
      <c r="M39" s="176"/>
      <c r="N39" s="175"/>
      <c r="O39" s="176"/>
      <c r="P39" s="175"/>
      <c r="Q39" s="176"/>
      <c r="R39" s="175"/>
      <c r="S39" s="176"/>
      <c r="T39" s="175"/>
      <c r="U39" s="176"/>
      <c r="V39" s="175"/>
      <c r="W39" s="176"/>
      <c r="X39" s="175"/>
      <c r="Y39" s="176"/>
      <c r="Z39" s="175"/>
      <c r="AB39" s="177"/>
    </row>
    <row r="40" spans="1:28" ht="15" x14ac:dyDescent="0.15">
      <c r="A40" s="89" t="s">
        <v>10</v>
      </c>
      <c r="B40" s="90">
        <v>400</v>
      </c>
      <c r="C40" s="71">
        <v>1</v>
      </c>
      <c r="D40" s="38">
        <f>C40*$B$40</f>
        <v>400</v>
      </c>
      <c r="E40" s="71">
        <v>0</v>
      </c>
      <c r="F40" s="38">
        <f>E40*$B$40</f>
        <v>0</v>
      </c>
      <c r="G40" s="71">
        <v>0</v>
      </c>
      <c r="H40" s="38">
        <f>G40*$B$40</f>
        <v>0</v>
      </c>
      <c r="I40" s="71">
        <v>0</v>
      </c>
      <c r="J40" s="38">
        <f>I40*$B$40</f>
        <v>0</v>
      </c>
      <c r="K40" s="71">
        <v>0</v>
      </c>
      <c r="L40" s="38">
        <f>K40*$B$40</f>
        <v>0</v>
      </c>
      <c r="M40" s="71">
        <v>0</v>
      </c>
      <c r="N40" s="38">
        <f>M40*$B$40</f>
        <v>0</v>
      </c>
      <c r="O40" s="71">
        <v>0</v>
      </c>
      <c r="P40" s="38">
        <f>O40*$B$40</f>
        <v>0</v>
      </c>
      <c r="Q40" s="71">
        <v>0</v>
      </c>
      <c r="R40" s="38">
        <f>Q40*$B$40</f>
        <v>0</v>
      </c>
      <c r="S40" s="71">
        <v>0</v>
      </c>
      <c r="T40" s="38">
        <f>S40*$B$40</f>
        <v>0</v>
      </c>
      <c r="U40" s="71">
        <v>0</v>
      </c>
      <c r="V40" s="38">
        <f>U40*$B$40</f>
        <v>0</v>
      </c>
      <c r="W40" s="71">
        <v>0</v>
      </c>
      <c r="X40" s="24">
        <f>W40*B40</f>
        <v>0</v>
      </c>
      <c r="Y40" s="71">
        <v>0</v>
      </c>
      <c r="Z40" s="38">
        <f>Y40*$B$40</f>
        <v>0</v>
      </c>
      <c r="AB40" s="169"/>
    </row>
    <row r="41" spans="1:28" ht="15" x14ac:dyDescent="0.15">
      <c r="A41" s="191" t="s">
        <v>88</v>
      </c>
      <c r="B41" s="90">
        <v>80</v>
      </c>
      <c r="C41" s="71">
        <v>1</v>
      </c>
      <c r="D41" s="38">
        <f>C41*B41</f>
        <v>80</v>
      </c>
      <c r="E41" s="71">
        <v>0</v>
      </c>
      <c r="F41" s="38">
        <f>E41*$B$40</f>
        <v>0</v>
      </c>
      <c r="G41" s="71">
        <v>0</v>
      </c>
      <c r="H41" s="38">
        <f>G41*$B$40</f>
        <v>0</v>
      </c>
      <c r="I41" s="71">
        <v>0</v>
      </c>
      <c r="J41" s="38">
        <f>I41*$B$40</f>
        <v>0</v>
      </c>
      <c r="K41" s="71">
        <v>0</v>
      </c>
      <c r="L41" s="38">
        <f>K41*$B$40</f>
        <v>0</v>
      </c>
      <c r="M41" s="71">
        <v>0</v>
      </c>
      <c r="N41" s="38">
        <f>M41*$B$40</f>
        <v>0</v>
      </c>
      <c r="O41" s="71">
        <v>0</v>
      </c>
      <c r="P41" s="38">
        <f>O41*$B$40</f>
        <v>0</v>
      </c>
      <c r="Q41" s="71">
        <v>0</v>
      </c>
      <c r="R41" s="38">
        <f>Q41*$B$40</f>
        <v>0</v>
      </c>
      <c r="S41" s="71">
        <v>0</v>
      </c>
      <c r="T41" s="38">
        <f>S41*$B$40</f>
        <v>0</v>
      </c>
      <c r="U41" s="71">
        <v>0</v>
      </c>
      <c r="V41" s="38">
        <f>U41*$B$40</f>
        <v>0</v>
      </c>
      <c r="W41" s="71">
        <v>0</v>
      </c>
      <c r="X41" s="24">
        <f>W41*B41</f>
        <v>0</v>
      </c>
      <c r="Y41" s="71">
        <v>0</v>
      </c>
      <c r="Z41" s="38">
        <f>Y41*$B$40</f>
        <v>0</v>
      </c>
      <c r="AB41" s="169"/>
    </row>
    <row r="42" spans="1:28" ht="15" thickBot="1" x14ac:dyDescent="0.2">
      <c r="A42" s="91"/>
      <c r="B42" s="92"/>
      <c r="C42" s="71"/>
      <c r="D42" s="38"/>
      <c r="E42" s="71"/>
      <c r="F42" s="38"/>
      <c r="G42" s="71"/>
      <c r="H42" s="38"/>
      <c r="I42" s="71"/>
      <c r="J42" s="38"/>
      <c r="K42" s="71"/>
      <c r="L42" s="38"/>
      <c r="M42" s="71"/>
      <c r="N42" s="38"/>
      <c r="O42" s="71"/>
      <c r="P42" s="38"/>
      <c r="Q42" s="71"/>
      <c r="R42" s="38"/>
      <c r="S42" s="71"/>
      <c r="T42" s="38"/>
      <c r="U42" s="71"/>
      <c r="V42" s="38"/>
      <c r="W42" s="71"/>
      <c r="X42" s="38"/>
      <c r="Y42" s="71"/>
      <c r="Z42" s="38"/>
      <c r="AB42" s="99"/>
    </row>
    <row r="43" spans="1:28" ht="13.5" hidden="1" customHeight="1" thickBot="1" x14ac:dyDescent="0.2">
      <c r="A43" s="93"/>
      <c r="B43" s="94">
        <v>0</v>
      </c>
      <c r="C43" s="76">
        <v>0</v>
      </c>
      <c r="D43" s="95">
        <f>+C43*B43</f>
        <v>0</v>
      </c>
      <c r="E43" s="76">
        <v>0</v>
      </c>
      <c r="F43" s="42">
        <f>SUM($B43*E43)</f>
        <v>0</v>
      </c>
      <c r="G43" s="96">
        <v>0</v>
      </c>
      <c r="H43" s="42">
        <f>SUM($B43*G43)</f>
        <v>0</v>
      </c>
      <c r="I43" s="96">
        <v>0</v>
      </c>
      <c r="J43" s="42">
        <f>SUM($B43*I43)</f>
        <v>0</v>
      </c>
      <c r="K43" s="96">
        <v>0</v>
      </c>
      <c r="L43" s="42">
        <f>SUM($B43*K43)</f>
        <v>0</v>
      </c>
      <c r="M43" s="96">
        <v>0</v>
      </c>
      <c r="N43" s="42">
        <f>SUM($B43*M43)</f>
        <v>0</v>
      </c>
      <c r="O43" s="96">
        <v>0</v>
      </c>
      <c r="P43" s="42">
        <f>SUM($B43*O43)</f>
        <v>0</v>
      </c>
      <c r="Q43" s="96">
        <v>0</v>
      </c>
      <c r="R43" s="42">
        <f>SUM($B43*Q43)</f>
        <v>0</v>
      </c>
      <c r="S43" s="96">
        <v>0</v>
      </c>
      <c r="T43" s="42">
        <f>SUM($B43*S43)</f>
        <v>0</v>
      </c>
      <c r="U43" s="96">
        <v>0</v>
      </c>
      <c r="V43" s="42">
        <f>SUM($B43*U43)</f>
        <v>0</v>
      </c>
      <c r="W43" s="76">
        <v>0</v>
      </c>
      <c r="X43" s="95">
        <f>+W43*R43</f>
        <v>0</v>
      </c>
      <c r="Y43" s="76">
        <v>0</v>
      </c>
      <c r="Z43" s="95">
        <f>+Y43*T43</f>
        <v>0</v>
      </c>
      <c r="AB43" s="99"/>
    </row>
    <row r="44" spans="1:28" ht="14" x14ac:dyDescent="0.15">
      <c r="A44" s="107" t="s">
        <v>39</v>
      </c>
      <c r="B44" s="108"/>
      <c r="C44" s="109"/>
      <c r="D44" s="110"/>
      <c r="E44" s="109"/>
      <c r="F44" s="110"/>
      <c r="G44" s="111"/>
      <c r="H44" s="110"/>
      <c r="I44" s="111"/>
      <c r="J44" s="110"/>
      <c r="K44" s="111"/>
      <c r="L44" s="110"/>
      <c r="M44" s="111"/>
      <c r="N44" s="110"/>
      <c r="O44" s="111"/>
      <c r="P44" s="110"/>
      <c r="Q44" s="111"/>
      <c r="R44" s="110"/>
      <c r="S44" s="111"/>
      <c r="T44" s="110"/>
      <c r="U44" s="111"/>
      <c r="V44" s="110"/>
      <c r="W44" s="109"/>
      <c r="X44" s="110"/>
      <c r="Y44" s="109"/>
      <c r="Z44" s="110"/>
      <c r="AB44" s="99"/>
    </row>
    <row r="45" spans="1:28" ht="18.75" customHeight="1" x14ac:dyDescent="0.15">
      <c r="A45" s="112" t="s">
        <v>81</v>
      </c>
      <c r="B45" s="182">
        <v>500</v>
      </c>
      <c r="C45" s="113">
        <v>1</v>
      </c>
      <c r="D45" s="114">
        <f>C45*$B$45</f>
        <v>500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Q45*$B$45</f>
        <v>0</v>
      </c>
      <c r="S45" s="115">
        <v>0</v>
      </c>
      <c r="T45" s="114">
        <f>S45*$B$45</f>
        <v>0</v>
      </c>
      <c r="U45" s="115">
        <v>0</v>
      </c>
      <c r="V45" s="114">
        <f>U45*$B$45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  <c r="AB45" s="99"/>
    </row>
    <row r="46" spans="1:28" ht="18.75" hidden="1" customHeight="1" x14ac:dyDescent="0.15">
      <c r="A46" s="112"/>
      <c r="B46" s="182"/>
      <c r="C46" s="113">
        <v>1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Q46*$B$45</f>
        <v>0</v>
      </c>
      <c r="S46" s="115">
        <v>0</v>
      </c>
      <c r="T46" s="114">
        <f>S46*$B$45</f>
        <v>0</v>
      </c>
      <c r="U46" s="115">
        <v>0</v>
      </c>
      <c r="V46" s="114">
        <f>U46*$B$45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  <c r="AB46" s="99"/>
    </row>
    <row r="47" spans="1:28" ht="18.75" hidden="1" customHeight="1" x14ac:dyDescent="0.15">
      <c r="A47" s="112"/>
      <c r="B47" s="182"/>
      <c r="C47" s="113">
        <v>0</v>
      </c>
      <c r="D47" s="114">
        <f>C47*B47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0</v>
      </c>
      <c r="X47" s="114">
        <f>W47*$B$47</f>
        <v>0</v>
      </c>
      <c r="Y47" s="113">
        <v>0</v>
      </c>
      <c r="Z47" s="114">
        <f>Y47*$B$47</f>
        <v>0</v>
      </c>
      <c r="AB47" s="99"/>
    </row>
    <row r="48" spans="1:28" ht="18.75" hidden="1" customHeight="1" x14ac:dyDescent="0.15">
      <c r="A48" s="112"/>
      <c r="B48" s="182"/>
      <c r="C48" s="113">
        <v>0</v>
      </c>
      <c r="D48" s="114">
        <f>C48*$B$48</f>
        <v>0</v>
      </c>
      <c r="E48" s="115">
        <v>0</v>
      </c>
      <c r="F48" s="114">
        <f>E48*$B$48</f>
        <v>0</v>
      </c>
      <c r="G48" s="115">
        <v>0</v>
      </c>
      <c r="H48" s="114">
        <f>G48*$B$48</f>
        <v>0</v>
      </c>
      <c r="I48" s="115">
        <v>0</v>
      </c>
      <c r="J48" s="114">
        <f>I48*$B$48</f>
        <v>0</v>
      </c>
      <c r="K48" s="115">
        <v>0</v>
      </c>
      <c r="L48" s="114">
        <f>K48*$B$48</f>
        <v>0</v>
      </c>
      <c r="M48" s="115">
        <v>0</v>
      </c>
      <c r="N48" s="114">
        <f>M48*$B$48</f>
        <v>0</v>
      </c>
      <c r="O48" s="115">
        <v>0</v>
      </c>
      <c r="P48" s="114">
        <f>O48*$B$48</f>
        <v>0</v>
      </c>
      <c r="Q48" s="115">
        <v>0</v>
      </c>
      <c r="R48" s="114">
        <f>Q48*$B$48</f>
        <v>0</v>
      </c>
      <c r="S48" s="115">
        <v>0</v>
      </c>
      <c r="T48" s="114">
        <f>S48*$B$48</f>
        <v>0</v>
      </c>
      <c r="U48" s="115">
        <v>0</v>
      </c>
      <c r="V48" s="114">
        <f>U48*$B$48</f>
        <v>0</v>
      </c>
      <c r="W48" s="113">
        <v>1</v>
      </c>
      <c r="X48" s="114">
        <f>W48*$B$48</f>
        <v>0</v>
      </c>
      <c r="Y48" s="113">
        <v>1</v>
      </c>
      <c r="Z48" s="114">
        <f>Y48*$B$48</f>
        <v>0</v>
      </c>
      <c r="AB48" s="99"/>
    </row>
    <row r="49" spans="1:31" ht="15" x14ac:dyDescent="0.15">
      <c r="A49" s="112" t="s">
        <v>87</v>
      </c>
      <c r="B49" s="182">
        <v>3300</v>
      </c>
      <c r="C49" s="113">
        <v>2</v>
      </c>
      <c r="D49" s="114">
        <f>C49*$B$49</f>
        <v>6600</v>
      </c>
      <c r="E49" s="115">
        <v>0</v>
      </c>
      <c r="F49" s="114">
        <f>E49*$B$48</f>
        <v>0</v>
      </c>
      <c r="G49" s="115">
        <v>0</v>
      </c>
      <c r="H49" s="114">
        <f>G49*$B$48</f>
        <v>0</v>
      </c>
      <c r="I49" s="115">
        <v>0</v>
      </c>
      <c r="J49" s="114">
        <f>I49*$B$48</f>
        <v>0</v>
      </c>
      <c r="K49" s="115">
        <v>0</v>
      </c>
      <c r="L49" s="114">
        <f>K49*$B$48</f>
        <v>0</v>
      </c>
      <c r="M49" s="115">
        <v>0</v>
      </c>
      <c r="N49" s="114">
        <f>M49*$B$48</f>
        <v>0</v>
      </c>
      <c r="O49" s="115">
        <v>0</v>
      </c>
      <c r="P49" s="114">
        <f>O49*$B$48</f>
        <v>0</v>
      </c>
      <c r="Q49" s="115">
        <v>0</v>
      </c>
      <c r="R49" s="114">
        <f>Q49*$B$48</f>
        <v>0</v>
      </c>
      <c r="S49" s="115">
        <v>0</v>
      </c>
      <c r="T49" s="114">
        <f>S49*$B$48</f>
        <v>0</v>
      </c>
      <c r="U49" s="115">
        <v>0</v>
      </c>
      <c r="V49" s="114">
        <f>U49*$B$48</f>
        <v>0</v>
      </c>
      <c r="W49" s="113">
        <v>0</v>
      </c>
      <c r="X49" s="114">
        <f>W49*$B$48</f>
        <v>0</v>
      </c>
      <c r="Y49" s="113">
        <v>0</v>
      </c>
      <c r="Z49" s="114">
        <f>Y49*$B$48</f>
        <v>0</v>
      </c>
      <c r="AB49" s="99"/>
      <c r="AE49" s="99"/>
    </row>
    <row r="50" spans="1:31" ht="15" hidden="1" customHeight="1" x14ac:dyDescent="0.15">
      <c r="A50" s="112"/>
      <c r="B50" s="182"/>
      <c r="C50" s="113">
        <v>0</v>
      </c>
      <c r="D50" s="114">
        <f>C50*$B$50</f>
        <v>0</v>
      </c>
      <c r="E50" s="115">
        <v>0</v>
      </c>
      <c r="F50" s="114">
        <f>E50*$B$50</f>
        <v>0</v>
      </c>
      <c r="G50" s="115">
        <v>0</v>
      </c>
      <c r="H50" s="114">
        <f>G50*$B$50</f>
        <v>0</v>
      </c>
      <c r="I50" s="115">
        <v>0</v>
      </c>
      <c r="J50" s="114">
        <f>I50*$B$50</f>
        <v>0</v>
      </c>
      <c r="K50" s="115">
        <v>0</v>
      </c>
      <c r="L50" s="114">
        <f>K50*$B$50</f>
        <v>0</v>
      </c>
      <c r="M50" s="115">
        <v>0</v>
      </c>
      <c r="N50" s="114">
        <f>M50*$B$50</f>
        <v>0</v>
      </c>
      <c r="O50" s="115">
        <v>0</v>
      </c>
      <c r="P50" s="114">
        <f>O50*$B$50</f>
        <v>0</v>
      </c>
      <c r="Q50" s="115">
        <v>0</v>
      </c>
      <c r="R50" s="114">
        <f>Q50*$B$50</f>
        <v>0</v>
      </c>
      <c r="S50" s="115">
        <v>0</v>
      </c>
      <c r="T50" s="114">
        <f>S50*$B$50</f>
        <v>0</v>
      </c>
      <c r="U50" s="115">
        <v>0</v>
      </c>
      <c r="V50" s="114">
        <f>U50*$B$50</f>
        <v>0</v>
      </c>
      <c r="W50" s="113">
        <v>0</v>
      </c>
      <c r="X50" s="114">
        <f>W50*$B$50</f>
        <v>0</v>
      </c>
      <c r="Y50" s="113">
        <v>0</v>
      </c>
      <c r="Z50" s="114">
        <f>Y50*$B$50</f>
        <v>0</v>
      </c>
      <c r="AB50" s="99"/>
    </row>
    <row r="51" spans="1:31" ht="15" hidden="1" customHeight="1" x14ac:dyDescent="0.15">
      <c r="A51" s="112"/>
      <c r="B51" s="182"/>
      <c r="C51" s="113">
        <v>0</v>
      </c>
      <c r="D51" s="114">
        <f>C51*$B$51</f>
        <v>0</v>
      </c>
      <c r="E51" s="115">
        <v>0</v>
      </c>
      <c r="F51" s="114">
        <f>E51*$B$50</f>
        <v>0</v>
      </c>
      <c r="G51" s="115">
        <v>0</v>
      </c>
      <c r="H51" s="114">
        <f>G51*$B$50</f>
        <v>0</v>
      </c>
      <c r="I51" s="115">
        <v>0</v>
      </c>
      <c r="J51" s="114">
        <f>I51*$B$50</f>
        <v>0</v>
      </c>
      <c r="K51" s="115">
        <v>0</v>
      </c>
      <c r="L51" s="114">
        <f>K51*$B$50</f>
        <v>0</v>
      </c>
      <c r="M51" s="115">
        <v>0</v>
      </c>
      <c r="N51" s="114">
        <f>M51*$B$50</f>
        <v>0</v>
      </c>
      <c r="O51" s="115">
        <v>0</v>
      </c>
      <c r="P51" s="114">
        <f>O51*$B$50</f>
        <v>0</v>
      </c>
      <c r="Q51" s="115">
        <v>0</v>
      </c>
      <c r="R51" s="114">
        <f>Q51*$B$50</f>
        <v>0</v>
      </c>
      <c r="S51" s="115">
        <v>0</v>
      </c>
      <c r="T51" s="114">
        <f>S51*$B$50</f>
        <v>0</v>
      </c>
      <c r="U51" s="115">
        <v>0</v>
      </c>
      <c r="V51" s="114">
        <f>U51*$B$50</f>
        <v>0</v>
      </c>
      <c r="W51" s="113">
        <v>0</v>
      </c>
      <c r="X51" s="114">
        <f>W51*$B$50</f>
        <v>0</v>
      </c>
      <c r="Y51" s="113">
        <v>0</v>
      </c>
      <c r="Z51" s="114">
        <f>Y51*$B$50</f>
        <v>0</v>
      </c>
      <c r="AB51" s="99"/>
    </row>
    <row r="52" spans="1:31" ht="15" hidden="1" customHeight="1" x14ac:dyDescent="0.15">
      <c r="A52" s="112"/>
      <c r="B52" s="182"/>
      <c r="C52" s="113">
        <v>0</v>
      </c>
      <c r="D52" s="114">
        <f>C52*$B$52</f>
        <v>0</v>
      </c>
      <c r="E52" s="115">
        <v>0</v>
      </c>
      <c r="F52" s="114">
        <f>E52*$B$52</f>
        <v>0</v>
      </c>
      <c r="G52" s="115">
        <v>0</v>
      </c>
      <c r="H52" s="114">
        <f>G52*$B$52</f>
        <v>0</v>
      </c>
      <c r="I52" s="115">
        <v>0</v>
      </c>
      <c r="J52" s="114">
        <f>I52*$B$52</f>
        <v>0</v>
      </c>
      <c r="K52" s="115">
        <v>0</v>
      </c>
      <c r="L52" s="114">
        <f>K52*$B$52</f>
        <v>0</v>
      </c>
      <c r="M52" s="115">
        <v>0</v>
      </c>
      <c r="N52" s="114">
        <f>M52*$B$52</f>
        <v>0</v>
      </c>
      <c r="O52" s="115">
        <v>0</v>
      </c>
      <c r="P52" s="114">
        <f>O52*$B$52</f>
        <v>0</v>
      </c>
      <c r="Q52" s="115">
        <v>0</v>
      </c>
      <c r="R52" s="114">
        <f>Q52*$B$52</f>
        <v>0</v>
      </c>
      <c r="S52" s="115">
        <v>0</v>
      </c>
      <c r="T52" s="114">
        <f>S52*$B$52</f>
        <v>0</v>
      </c>
      <c r="U52" s="115">
        <v>0</v>
      </c>
      <c r="V52" s="114">
        <f>U52*$B$52</f>
        <v>0</v>
      </c>
      <c r="W52" s="113">
        <v>0</v>
      </c>
      <c r="X52" s="114">
        <f>W52*$B$52</f>
        <v>0</v>
      </c>
      <c r="Y52" s="113">
        <v>0</v>
      </c>
      <c r="Z52" s="114">
        <f>Y52*$B$52</f>
        <v>0</v>
      </c>
      <c r="AB52" s="99"/>
    </row>
    <row r="53" spans="1:31" ht="15" hidden="1" customHeight="1" x14ac:dyDescent="0.15">
      <c r="A53" s="116"/>
      <c r="B53" s="182"/>
      <c r="C53" s="113">
        <v>0</v>
      </c>
      <c r="D53" s="114">
        <f>C53*$B$53</f>
        <v>0</v>
      </c>
      <c r="E53" s="115">
        <v>0</v>
      </c>
      <c r="F53" s="114">
        <f>E53*$B$52</f>
        <v>0</v>
      </c>
      <c r="G53" s="115">
        <v>0</v>
      </c>
      <c r="H53" s="114">
        <f>G53*$B$52</f>
        <v>0</v>
      </c>
      <c r="I53" s="115">
        <v>0</v>
      </c>
      <c r="J53" s="114">
        <f>I53*$B$52</f>
        <v>0</v>
      </c>
      <c r="K53" s="115">
        <v>0</v>
      </c>
      <c r="L53" s="114">
        <f>K53*$B$52</f>
        <v>0</v>
      </c>
      <c r="M53" s="115">
        <v>0</v>
      </c>
      <c r="N53" s="114">
        <f>M53*$B$52</f>
        <v>0</v>
      </c>
      <c r="O53" s="115">
        <v>0</v>
      </c>
      <c r="P53" s="114">
        <f>O53*$B$52</f>
        <v>0</v>
      </c>
      <c r="Q53" s="115">
        <v>0</v>
      </c>
      <c r="R53" s="114">
        <f>Q53*$B$52</f>
        <v>0</v>
      </c>
      <c r="S53" s="115">
        <v>0</v>
      </c>
      <c r="T53" s="114">
        <f>S53*$B$52</f>
        <v>0</v>
      </c>
      <c r="U53" s="115">
        <v>0</v>
      </c>
      <c r="V53" s="114">
        <f>U53*$B$52</f>
        <v>0</v>
      </c>
      <c r="W53" s="113">
        <v>0</v>
      </c>
      <c r="X53" s="114">
        <f>W53*$B$52</f>
        <v>0</v>
      </c>
      <c r="Y53" s="113">
        <v>0</v>
      </c>
      <c r="Z53" s="114">
        <f>Y53*$B$52</f>
        <v>0</v>
      </c>
      <c r="AB53" s="99"/>
    </row>
    <row r="54" spans="1:31" ht="15" hidden="1" customHeight="1" x14ac:dyDescent="0.15">
      <c r="A54" s="116"/>
      <c r="B54" s="182"/>
      <c r="C54" s="113">
        <v>0</v>
      </c>
      <c r="D54" s="114">
        <f>C54*$B$54</f>
        <v>0</v>
      </c>
      <c r="E54" s="115">
        <v>0</v>
      </c>
      <c r="F54" s="114">
        <f>E54*$B$54</f>
        <v>0</v>
      </c>
      <c r="G54" s="115">
        <v>0</v>
      </c>
      <c r="H54" s="114">
        <f>G54*$B$54</f>
        <v>0</v>
      </c>
      <c r="I54" s="115">
        <v>0</v>
      </c>
      <c r="J54" s="114">
        <f>I54*$B$54</f>
        <v>0</v>
      </c>
      <c r="K54" s="115">
        <v>0</v>
      </c>
      <c r="L54" s="114">
        <f>K54*$B$54</f>
        <v>0</v>
      </c>
      <c r="M54" s="115">
        <v>0</v>
      </c>
      <c r="N54" s="114">
        <f>M54*$B$54</f>
        <v>0</v>
      </c>
      <c r="O54" s="115">
        <v>0</v>
      </c>
      <c r="P54" s="114">
        <f>O54*$B$54</f>
        <v>0</v>
      </c>
      <c r="Q54" s="115">
        <v>0</v>
      </c>
      <c r="R54" s="114">
        <f>Q54*$B$54</f>
        <v>0</v>
      </c>
      <c r="S54" s="115">
        <v>0</v>
      </c>
      <c r="T54" s="114">
        <f>S54*$B$54</f>
        <v>0</v>
      </c>
      <c r="U54" s="115">
        <v>0</v>
      </c>
      <c r="V54" s="114">
        <f>U54*$B$54</f>
        <v>0</v>
      </c>
      <c r="W54" s="113">
        <v>0</v>
      </c>
      <c r="X54" s="114">
        <f>W54*$B$54</f>
        <v>0</v>
      </c>
      <c r="Y54" s="113">
        <v>0</v>
      </c>
      <c r="Z54" s="114">
        <f>Y54*$B$54</f>
        <v>0</v>
      </c>
      <c r="AB54" s="99"/>
    </row>
    <row r="55" spans="1:31" ht="15" hidden="1" customHeight="1" x14ac:dyDescent="0.15">
      <c r="A55" s="116"/>
      <c r="B55" s="182"/>
      <c r="C55" s="113">
        <v>0</v>
      </c>
      <c r="D55" s="114">
        <f>C55*$B$54</f>
        <v>0</v>
      </c>
      <c r="E55" s="115">
        <v>0</v>
      </c>
      <c r="F55" s="114">
        <f>E55*$B$54</f>
        <v>0</v>
      </c>
      <c r="G55" s="115">
        <v>0</v>
      </c>
      <c r="H55" s="114">
        <f>G55*$B$54</f>
        <v>0</v>
      </c>
      <c r="I55" s="115">
        <v>0</v>
      </c>
      <c r="J55" s="114">
        <f>I55*$B$54</f>
        <v>0</v>
      </c>
      <c r="K55" s="115">
        <v>0</v>
      </c>
      <c r="L55" s="114">
        <f>K55*$B$54</f>
        <v>0</v>
      </c>
      <c r="M55" s="115">
        <v>0</v>
      </c>
      <c r="N55" s="114">
        <f>M55*$B$54</f>
        <v>0</v>
      </c>
      <c r="O55" s="115">
        <v>0</v>
      </c>
      <c r="P55" s="114">
        <f>O55*$B$54</f>
        <v>0</v>
      </c>
      <c r="Q55" s="115">
        <v>0</v>
      </c>
      <c r="R55" s="114">
        <f>Q55*$B$54</f>
        <v>0</v>
      </c>
      <c r="S55" s="115">
        <v>0</v>
      </c>
      <c r="T55" s="114">
        <f>S55*$B$54</f>
        <v>0</v>
      </c>
      <c r="U55" s="115">
        <v>0</v>
      </c>
      <c r="V55" s="114">
        <f>U55*$B$54</f>
        <v>0</v>
      </c>
      <c r="W55" s="113">
        <v>0</v>
      </c>
      <c r="X55" s="114">
        <f>W55*$B$54</f>
        <v>0</v>
      </c>
      <c r="Y55" s="113">
        <v>0</v>
      </c>
      <c r="Z55" s="114">
        <f>Y55*$B$54</f>
        <v>0</v>
      </c>
      <c r="AB55" s="99"/>
    </row>
    <row r="56" spans="1:31" ht="15" hidden="1" customHeight="1" x14ac:dyDescent="0.15">
      <c r="A56" s="116"/>
      <c r="B56" s="182"/>
      <c r="C56" s="113">
        <v>0</v>
      </c>
      <c r="D56" s="114">
        <f>C56*$B$56</f>
        <v>0</v>
      </c>
      <c r="E56" s="115">
        <v>0</v>
      </c>
      <c r="F56" s="114">
        <f>E56*$B$52</f>
        <v>0</v>
      </c>
      <c r="G56" s="115">
        <v>0</v>
      </c>
      <c r="H56" s="114">
        <f>G56*$B$52</f>
        <v>0</v>
      </c>
      <c r="I56" s="115">
        <v>0</v>
      </c>
      <c r="J56" s="114">
        <f>I56*$B$52</f>
        <v>0</v>
      </c>
      <c r="K56" s="115">
        <v>0</v>
      </c>
      <c r="L56" s="114">
        <f>K56*$B$52</f>
        <v>0</v>
      </c>
      <c r="M56" s="115">
        <v>0</v>
      </c>
      <c r="N56" s="114">
        <f>M56*$B$52</f>
        <v>0</v>
      </c>
      <c r="O56" s="115">
        <v>0</v>
      </c>
      <c r="P56" s="114">
        <f>O56*$B$52</f>
        <v>0</v>
      </c>
      <c r="Q56" s="115">
        <v>0</v>
      </c>
      <c r="R56" s="114">
        <f>Q56*$B$52</f>
        <v>0</v>
      </c>
      <c r="S56" s="115">
        <v>0</v>
      </c>
      <c r="T56" s="114">
        <f>S56*$B$52</f>
        <v>0</v>
      </c>
      <c r="U56" s="115">
        <v>0</v>
      </c>
      <c r="V56" s="114">
        <f>U56*$B$52</f>
        <v>0</v>
      </c>
      <c r="W56" s="113">
        <v>0</v>
      </c>
      <c r="X56" s="114">
        <f>W56*$B$52</f>
        <v>0</v>
      </c>
      <c r="Y56" s="113">
        <v>0</v>
      </c>
      <c r="Z56" s="114">
        <f>Y56*$B$52</f>
        <v>0</v>
      </c>
      <c r="AB56" s="99"/>
    </row>
    <row r="57" spans="1:31" ht="15" hidden="1" customHeight="1" x14ac:dyDescent="0.15">
      <c r="A57" s="116"/>
      <c r="B57" s="182"/>
      <c r="C57" s="113">
        <v>0</v>
      </c>
      <c r="D57" s="114">
        <f>C57*$B$57</f>
        <v>0</v>
      </c>
      <c r="E57" s="115">
        <v>0</v>
      </c>
      <c r="F57" s="114">
        <f>E57*$B$57</f>
        <v>0</v>
      </c>
      <c r="G57" s="115">
        <v>0</v>
      </c>
      <c r="H57" s="114">
        <f>G57*$B$57</f>
        <v>0</v>
      </c>
      <c r="I57" s="115">
        <v>0</v>
      </c>
      <c r="J57" s="114">
        <f>I57*$B$57</f>
        <v>0</v>
      </c>
      <c r="K57" s="115">
        <v>0</v>
      </c>
      <c r="L57" s="114">
        <f>K57*$B$57</f>
        <v>0</v>
      </c>
      <c r="M57" s="115">
        <v>0</v>
      </c>
      <c r="N57" s="114">
        <f>M57*$B$57</f>
        <v>0</v>
      </c>
      <c r="O57" s="115">
        <v>0</v>
      </c>
      <c r="P57" s="114">
        <f>O57*$B$57</f>
        <v>0</v>
      </c>
      <c r="Q57" s="115">
        <v>0</v>
      </c>
      <c r="R57" s="114">
        <f>Q57*$B$57</f>
        <v>0</v>
      </c>
      <c r="S57" s="115">
        <v>0</v>
      </c>
      <c r="T57" s="114">
        <f>S57*$B$57</f>
        <v>0</v>
      </c>
      <c r="U57" s="115">
        <v>0</v>
      </c>
      <c r="V57" s="114">
        <f>U57*$B$57</f>
        <v>0</v>
      </c>
      <c r="W57" s="113">
        <v>0</v>
      </c>
      <c r="X57" s="114">
        <f>W57*$B$57</f>
        <v>0</v>
      </c>
      <c r="Y57" s="113">
        <v>0</v>
      </c>
      <c r="Z57" s="114">
        <f>Y57*$B$57</f>
        <v>0</v>
      </c>
      <c r="AB57" s="99"/>
    </row>
    <row r="58" spans="1:31" ht="15" hidden="1" customHeight="1" x14ac:dyDescent="0.15">
      <c r="A58" s="116"/>
      <c r="B58" s="182"/>
      <c r="C58" s="113">
        <v>0</v>
      </c>
      <c r="D58" s="114">
        <f>C58*$B$58</f>
        <v>0</v>
      </c>
      <c r="E58" s="115">
        <v>0</v>
      </c>
      <c r="F58" s="114">
        <f>E58*$B$57</f>
        <v>0</v>
      </c>
      <c r="G58" s="115">
        <v>0</v>
      </c>
      <c r="H58" s="114">
        <f>G58*$B$57</f>
        <v>0</v>
      </c>
      <c r="I58" s="115">
        <v>0</v>
      </c>
      <c r="J58" s="114">
        <f>I58*$B$57</f>
        <v>0</v>
      </c>
      <c r="K58" s="115">
        <v>0</v>
      </c>
      <c r="L58" s="114">
        <f>K58*$B$57</f>
        <v>0</v>
      </c>
      <c r="M58" s="115">
        <v>0</v>
      </c>
      <c r="N58" s="114">
        <f>M58*$B$57</f>
        <v>0</v>
      </c>
      <c r="O58" s="115">
        <v>0</v>
      </c>
      <c r="P58" s="114">
        <f>O58*$B$57</f>
        <v>0</v>
      </c>
      <c r="Q58" s="115">
        <v>0</v>
      </c>
      <c r="R58" s="114">
        <f>Q58*$B$57</f>
        <v>0</v>
      </c>
      <c r="S58" s="115">
        <v>0</v>
      </c>
      <c r="T58" s="114">
        <f>S58*$B$57</f>
        <v>0</v>
      </c>
      <c r="U58" s="115">
        <v>0</v>
      </c>
      <c r="V58" s="114">
        <f>U58*$B$57</f>
        <v>0</v>
      </c>
      <c r="W58" s="113">
        <v>0</v>
      </c>
      <c r="X58" s="114">
        <f>W58*$B$57</f>
        <v>0</v>
      </c>
      <c r="Y58" s="113">
        <v>0</v>
      </c>
      <c r="Z58" s="114">
        <f>Y58*$B$57</f>
        <v>0</v>
      </c>
      <c r="AB58" s="99"/>
    </row>
    <row r="59" spans="1:31" ht="15" hidden="1" customHeight="1" x14ac:dyDescent="0.15">
      <c r="A59" s="116"/>
      <c r="B59" s="182"/>
      <c r="C59" s="113">
        <v>0</v>
      </c>
      <c r="D59" s="114">
        <f>C59*$B$59</f>
        <v>0</v>
      </c>
      <c r="E59" s="115">
        <v>0</v>
      </c>
      <c r="F59" s="114">
        <f>E59*$B$59</f>
        <v>0</v>
      </c>
      <c r="G59" s="115">
        <v>0</v>
      </c>
      <c r="H59" s="114">
        <f>G59*$B$59</f>
        <v>0</v>
      </c>
      <c r="I59" s="115">
        <v>0</v>
      </c>
      <c r="J59" s="114">
        <f>I59*$B$59</f>
        <v>0</v>
      </c>
      <c r="K59" s="115">
        <v>0</v>
      </c>
      <c r="L59" s="114">
        <f>K59*$B$59</f>
        <v>0</v>
      </c>
      <c r="M59" s="115">
        <v>0</v>
      </c>
      <c r="N59" s="114">
        <f>M59*$B$59</f>
        <v>0</v>
      </c>
      <c r="O59" s="115">
        <v>0</v>
      </c>
      <c r="P59" s="114">
        <f>O59*$B$59</f>
        <v>0</v>
      </c>
      <c r="Q59" s="115">
        <v>0</v>
      </c>
      <c r="R59" s="114">
        <f>Q59*$B$59</f>
        <v>0</v>
      </c>
      <c r="S59" s="115">
        <v>0</v>
      </c>
      <c r="T59" s="114">
        <f>S59*$B$59</f>
        <v>0</v>
      </c>
      <c r="U59" s="115">
        <v>0</v>
      </c>
      <c r="V59" s="114">
        <f>U59*$B$59</f>
        <v>0</v>
      </c>
      <c r="W59" s="113">
        <v>0</v>
      </c>
      <c r="X59" s="114">
        <f>W59*$B$59</f>
        <v>0</v>
      </c>
      <c r="Y59" s="113">
        <v>0</v>
      </c>
      <c r="Z59" s="114">
        <f>Y59*$B$59</f>
        <v>0</v>
      </c>
      <c r="AB59" s="99"/>
    </row>
    <row r="60" spans="1:31" s="1" customFormat="1" ht="15" hidden="1" customHeight="1" x14ac:dyDescent="0.15">
      <c r="A60" s="116"/>
      <c r="B60" s="182"/>
      <c r="C60" s="113">
        <v>0</v>
      </c>
      <c r="D60" s="117">
        <f>C60*$B$60</f>
        <v>0</v>
      </c>
      <c r="E60" s="115">
        <v>0</v>
      </c>
      <c r="F60" s="117">
        <f>E60*$B$60</f>
        <v>0</v>
      </c>
      <c r="G60" s="115">
        <v>0</v>
      </c>
      <c r="H60" s="117">
        <f>G60*$B$60</f>
        <v>0</v>
      </c>
      <c r="I60" s="115">
        <v>0</v>
      </c>
      <c r="J60" s="117">
        <f>I60*$B$60</f>
        <v>0</v>
      </c>
      <c r="K60" s="115">
        <v>0</v>
      </c>
      <c r="L60" s="117">
        <f>K60*$B$60</f>
        <v>0</v>
      </c>
      <c r="M60" s="115">
        <v>0</v>
      </c>
      <c r="N60" s="117">
        <f>M60*$B$60</f>
        <v>0</v>
      </c>
      <c r="O60" s="115">
        <v>0</v>
      </c>
      <c r="P60" s="117">
        <f>O60*$B$60</f>
        <v>0</v>
      </c>
      <c r="Q60" s="115">
        <v>0</v>
      </c>
      <c r="R60" s="117">
        <f>Q60*$B$60</f>
        <v>0</v>
      </c>
      <c r="S60" s="115">
        <v>0</v>
      </c>
      <c r="T60" s="117">
        <f>S60*$B$60</f>
        <v>0</v>
      </c>
      <c r="U60" s="115">
        <v>0</v>
      </c>
      <c r="V60" s="117">
        <f>U60*$B$60</f>
        <v>0</v>
      </c>
      <c r="W60" s="113">
        <v>0</v>
      </c>
      <c r="X60" s="117">
        <f>W60*$B$60</f>
        <v>0</v>
      </c>
      <c r="Y60" s="113">
        <v>0</v>
      </c>
      <c r="Z60" s="117">
        <f>Y60*$B$60</f>
        <v>0</v>
      </c>
      <c r="AB60" s="99"/>
      <c r="AC60" s="123"/>
    </row>
    <row r="61" spans="1:31" s="1" customFormat="1" ht="15" hidden="1" customHeight="1" x14ac:dyDescent="0.15">
      <c r="A61" s="118"/>
      <c r="B61" s="182"/>
      <c r="C61" s="113">
        <v>0</v>
      </c>
      <c r="D61" s="114">
        <f>C61*$B$61</f>
        <v>0</v>
      </c>
      <c r="E61" s="113">
        <v>0</v>
      </c>
      <c r="F61" s="114">
        <f>E61*$B$61</f>
        <v>0</v>
      </c>
      <c r="G61" s="113">
        <v>0</v>
      </c>
      <c r="H61" s="114">
        <f>G61*$B$61</f>
        <v>0</v>
      </c>
      <c r="I61" s="113">
        <v>0</v>
      </c>
      <c r="J61" s="114">
        <f>I61*$B$61</f>
        <v>0</v>
      </c>
      <c r="K61" s="113">
        <v>0</v>
      </c>
      <c r="L61" s="114">
        <f>K61*$B$61</f>
        <v>0</v>
      </c>
      <c r="M61" s="113">
        <v>0</v>
      </c>
      <c r="N61" s="114">
        <f>M61*$B$61</f>
        <v>0</v>
      </c>
      <c r="O61" s="113">
        <v>0</v>
      </c>
      <c r="P61" s="114">
        <f>O61*$B$61</f>
        <v>0</v>
      </c>
      <c r="Q61" s="113">
        <v>0</v>
      </c>
      <c r="R61" s="114">
        <f>Q61*$B$61</f>
        <v>0</v>
      </c>
      <c r="S61" s="113">
        <v>0</v>
      </c>
      <c r="T61" s="114">
        <f>S61*$B$61</f>
        <v>0</v>
      </c>
      <c r="U61" s="113">
        <v>0</v>
      </c>
      <c r="V61" s="114">
        <f>U61*$B$61</f>
        <v>0</v>
      </c>
      <c r="W61" s="113">
        <v>0</v>
      </c>
      <c r="X61" s="114">
        <f>W61*$B$61</f>
        <v>0</v>
      </c>
      <c r="Y61" s="113">
        <v>0</v>
      </c>
      <c r="Z61" s="114">
        <f>Y61*$B$61</f>
        <v>0</v>
      </c>
      <c r="AB61" s="99"/>
      <c r="AC61" s="123"/>
    </row>
    <row r="62" spans="1:31" s="1" customFormat="1" ht="15" hidden="1" customHeight="1" x14ac:dyDescent="0.15">
      <c r="A62" s="119"/>
      <c r="B62" s="182"/>
      <c r="C62" s="113">
        <v>0</v>
      </c>
      <c r="D62" s="117">
        <f>C62*$B$62</f>
        <v>0</v>
      </c>
      <c r="E62" s="113">
        <v>0</v>
      </c>
      <c r="F62" s="117">
        <f>E62*$B$62</f>
        <v>0</v>
      </c>
      <c r="G62" s="113">
        <v>0</v>
      </c>
      <c r="H62" s="117">
        <f>G62*$B$62</f>
        <v>0</v>
      </c>
      <c r="I62" s="113">
        <v>0</v>
      </c>
      <c r="J62" s="117">
        <f>I62*$B$62</f>
        <v>0</v>
      </c>
      <c r="K62" s="113">
        <v>0</v>
      </c>
      <c r="L62" s="117">
        <f>K62*$B$62</f>
        <v>0</v>
      </c>
      <c r="M62" s="113">
        <v>0</v>
      </c>
      <c r="N62" s="117">
        <f>M62*$B$62</f>
        <v>0</v>
      </c>
      <c r="O62" s="113">
        <v>0</v>
      </c>
      <c r="P62" s="117">
        <f>O62*$B$62</f>
        <v>0</v>
      </c>
      <c r="Q62" s="113">
        <v>0</v>
      </c>
      <c r="R62" s="117">
        <f>Q62*$B$62</f>
        <v>0</v>
      </c>
      <c r="S62" s="113">
        <v>0</v>
      </c>
      <c r="T62" s="117">
        <f>S62*$B$62</f>
        <v>0</v>
      </c>
      <c r="U62" s="113">
        <v>0</v>
      </c>
      <c r="V62" s="117">
        <f>U62*$B$62</f>
        <v>0</v>
      </c>
      <c r="W62" s="113">
        <v>0</v>
      </c>
      <c r="X62" s="117">
        <f>W62*$B$62</f>
        <v>0</v>
      </c>
      <c r="Y62" s="113">
        <v>0</v>
      </c>
      <c r="Z62" s="117">
        <f>Y62*$B$62</f>
        <v>0</v>
      </c>
      <c r="AB62" s="99"/>
      <c r="AC62" s="123"/>
    </row>
    <row r="63" spans="1:31" s="1" customFormat="1" ht="15" hidden="1" customHeight="1" x14ac:dyDescent="0.15">
      <c r="A63" s="119"/>
      <c r="B63" s="182"/>
      <c r="C63" s="113">
        <v>0</v>
      </c>
      <c r="D63" s="114">
        <f>C63*$B$63</f>
        <v>0</v>
      </c>
      <c r="E63" s="113">
        <v>0</v>
      </c>
      <c r="F63" s="114">
        <f t="shared" ref="F63:F68" si="6">E63*$B$63</f>
        <v>0</v>
      </c>
      <c r="G63" s="113">
        <v>0</v>
      </c>
      <c r="H63" s="114">
        <f t="shared" ref="H63:H68" si="7">G63*$B$63</f>
        <v>0</v>
      </c>
      <c r="I63" s="113">
        <v>0</v>
      </c>
      <c r="J63" s="114">
        <f t="shared" ref="J63:J68" si="8">I63*$B$63</f>
        <v>0</v>
      </c>
      <c r="K63" s="113">
        <v>0</v>
      </c>
      <c r="L63" s="114">
        <f t="shared" ref="L63:L68" si="9">K63*$B$63</f>
        <v>0</v>
      </c>
      <c r="M63" s="113">
        <v>0</v>
      </c>
      <c r="N63" s="114">
        <f t="shared" ref="N63:N68" si="10">M63*$B$63</f>
        <v>0</v>
      </c>
      <c r="O63" s="113">
        <v>0</v>
      </c>
      <c r="P63" s="114">
        <f t="shared" ref="P63:P68" si="11">O63*$B$63</f>
        <v>0</v>
      </c>
      <c r="Q63" s="113">
        <v>0</v>
      </c>
      <c r="R63" s="114">
        <f t="shared" ref="R63:R68" si="12">Q63*$B$63</f>
        <v>0</v>
      </c>
      <c r="S63" s="113">
        <v>0</v>
      </c>
      <c r="T63" s="114">
        <f t="shared" ref="T63:T68" si="13">S63*$B$63</f>
        <v>0</v>
      </c>
      <c r="U63" s="113">
        <v>0</v>
      </c>
      <c r="V63" s="114">
        <f t="shared" ref="V63:V68" si="14">U63*$B$63</f>
        <v>0</v>
      </c>
      <c r="W63" s="113">
        <v>0</v>
      </c>
      <c r="X63" s="114">
        <f>W63*$B$63</f>
        <v>0</v>
      </c>
      <c r="Y63" s="113">
        <v>0</v>
      </c>
      <c r="Z63" s="114">
        <f>Y63*$B$63</f>
        <v>0</v>
      </c>
      <c r="AB63" s="99"/>
      <c r="AC63" s="123"/>
    </row>
    <row r="64" spans="1:31" s="1" customFormat="1" ht="15" hidden="1" customHeight="1" x14ac:dyDescent="0.15">
      <c r="A64" s="119"/>
      <c r="B64" s="182"/>
      <c r="C64" s="113">
        <v>0</v>
      </c>
      <c r="D64" s="114">
        <f>C64*$B$64</f>
        <v>0</v>
      </c>
      <c r="E64" s="113">
        <v>0</v>
      </c>
      <c r="F64" s="114">
        <f t="shared" si="6"/>
        <v>0</v>
      </c>
      <c r="G64" s="113">
        <v>0</v>
      </c>
      <c r="H64" s="114">
        <f t="shared" si="7"/>
        <v>0</v>
      </c>
      <c r="I64" s="113">
        <v>0</v>
      </c>
      <c r="J64" s="114">
        <f t="shared" si="8"/>
        <v>0</v>
      </c>
      <c r="K64" s="113">
        <v>0</v>
      </c>
      <c r="L64" s="114">
        <f t="shared" si="9"/>
        <v>0</v>
      </c>
      <c r="M64" s="113">
        <v>0</v>
      </c>
      <c r="N64" s="114">
        <f t="shared" si="10"/>
        <v>0</v>
      </c>
      <c r="O64" s="113">
        <v>0</v>
      </c>
      <c r="P64" s="114">
        <f t="shared" si="11"/>
        <v>0</v>
      </c>
      <c r="Q64" s="113">
        <v>0</v>
      </c>
      <c r="R64" s="114">
        <f t="shared" si="12"/>
        <v>0</v>
      </c>
      <c r="S64" s="113">
        <v>0</v>
      </c>
      <c r="T64" s="114">
        <f t="shared" si="13"/>
        <v>0</v>
      </c>
      <c r="U64" s="113">
        <v>0</v>
      </c>
      <c r="V64" s="114">
        <f t="shared" si="14"/>
        <v>0</v>
      </c>
      <c r="W64" s="113">
        <v>0</v>
      </c>
      <c r="X64" s="114">
        <f>W64*$B$63</f>
        <v>0</v>
      </c>
      <c r="Y64" s="113">
        <v>0</v>
      </c>
      <c r="Z64" s="114">
        <f>Y64*$B$63</f>
        <v>0</v>
      </c>
      <c r="AB64" s="99"/>
      <c r="AC64" s="123"/>
    </row>
    <row r="65" spans="1:31" s="1" customFormat="1" ht="15" hidden="1" customHeight="1" x14ac:dyDescent="0.15">
      <c r="A65" s="119"/>
      <c r="B65" s="182"/>
      <c r="C65" s="113">
        <v>0</v>
      </c>
      <c r="D65" s="114">
        <f>C65*$B$65</f>
        <v>0</v>
      </c>
      <c r="E65" s="113">
        <v>0</v>
      </c>
      <c r="F65" s="114">
        <f t="shared" si="6"/>
        <v>0</v>
      </c>
      <c r="G65" s="113">
        <v>0</v>
      </c>
      <c r="H65" s="114">
        <f t="shared" si="7"/>
        <v>0</v>
      </c>
      <c r="I65" s="113">
        <v>0</v>
      </c>
      <c r="J65" s="114">
        <f t="shared" si="8"/>
        <v>0</v>
      </c>
      <c r="K65" s="113">
        <v>0</v>
      </c>
      <c r="L65" s="114">
        <f t="shared" si="9"/>
        <v>0</v>
      </c>
      <c r="M65" s="113">
        <v>0</v>
      </c>
      <c r="N65" s="114">
        <f t="shared" si="10"/>
        <v>0</v>
      </c>
      <c r="O65" s="113">
        <v>0</v>
      </c>
      <c r="P65" s="114">
        <f t="shared" si="11"/>
        <v>0</v>
      </c>
      <c r="Q65" s="113">
        <v>0</v>
      </c>
      <c r="R65" s="114">
        <f t="shared" si="12"/>
        <v>0</v>
      </c>
      <c r="S65" s="113">
        <v>0</v>
      </c>
      <c r="T65" s="114">
        <f t="shared" si="13"/>
        <v>0</v>
      </c>
      <c r="U65" s="113">
        <v>0</v>
      </c>
      <c r="V65" s="114">
        <f t="shared" si="14"/>
        <v>0</v>
      </c>
      <c r="W65" s="113">
        <v>0</v>
      </c>
      <c r="X65" s="114">
        <f>W65*$B$63</f>
        <v>0</v>
      </c>
      <c r="Y65" s="113">
        <v>0</v>
      </c>
      <c r="Z65" s="114">
        <f>Y65*$B$63</f>
        <v>0</v>
      </c>
      <c r="AB65" s="99"/>
      <c r="AC65" s="123"/>
    </row>
    <row r="66" spans="1:31" s="1" customFormat="1" ht="33" customHeight="1" x14ac:dyDescent="0.15">
      <c r="A66" s="112"/>
      <c r="B66" s="182"/>
      <c r="C66" s="113">
        <v>1</v>
      </c>
      <c r="D66" s="114"/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W66*$B$63</f>
        <v>0</v>
      </c>
      <c r="Y66" s="113">
        <v>0</v>
      </c>
      <c r="Z66" s="114">
        <f>Y66*$B$63</f>
        <v>0</v>
      </c>
      <c r="AB66" s="99"/>
      <c r="AC66" s="123"/>
    </row>
    <row r="67" spans="1:31" s="1" customFormat="1" ht="17.25" customHeight="1" x14ac:dyDescent="0.15">
      <c r="A67" s="112"/>
      <c r="B67" s="182"/>
      <c r="C67" s="113">
        <v>0</v>
      </c>
      <c r="D67" s="114">
        <f t="shared" ref="D67" si="15">C67*$B$49</f>
        <v>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>
        <v>0</v>
      </c>
      <c r="X67" s="114">
        <f>W67*B67</f>
        <v>0</v>
      </c>
      <c r="Y67" s="113">
        <v>0</v>
      </c>
      <c r="Z67" s="114">
        <f>Y67*B67</f>
        <v>0</v>
      </c>
      <c r="AB67" s="99"/>
      <c r="AC67" s="123"/>
    </row>
    <row r="68" spans="1:31" s="1" customFormat="1" ht="17.25" hidden="1" customHeight="1" x14ac:dyDescent="0.15">
      <c r="A68" s="112"/>
      <c r="B68" s="182"/>
      <c r="C68" s="113">
        <v>0</v>
      </c>
      <c r="D68" s="114">
        <f t="shared" ref="D68" si="16">C68*$B$50</f>
        <v>0</v>
      </c>
      <c r="E68" s="113">
        <v>0</v>
      </c>
      <c r="F68" s="114">
        <f t="shared" si="6"/>
        <v>0</v>
      </c>
      <c r="G68" s="113">
        <v>0</v>
      </c>
      <c r="H68" s="114">
        <f t="shared" si="7"/>
        <v>0</v>
      </c>
      <c r="I68" s="113">
        <v>0</v>
      </c>
      <c r="J68" s="114">
        <f t="shared" si="8"/>
        <v>0</v>
      </c>
      <c r="K68" s="113">
        <v>0</v>
      </c>
      <c r="L68" s="114">
        <f t="shared" si="9"/>
        <v>0</v>
      </c>
      <c r="M68" s="113">
        <v>0</v>
      </c>
      <c r="N68" s="114">
        <f t="shared" si="10"/>
        <v>0</v>
      </c>
      <c r="O68" s="113">
        <v>0</v>
      </c>
      <c r="P68" s="114">
        <f t="shared" si="11"/>
        <v>0</v>
      </c>
      <c r="Q68" s="113">
        <v>0</v>
      </c>
      <c r="R68" s="114">
        <f t="shared" si="12"/>
        <v>0</v>
      </c>
      <c r="S68" s="113">
        <v>0</v>
      </c>
      <c r="T68" s="114">
        <f t="shared" si="13"/>
        <v>0</v>
      </c>
      <c r="U68" s="113">
        <v>0</v>
      </c>
      <c r="V68" s="114">
        <f t="shared" si="14"/>
        <v>0</v>
      </c>
      <c r="W68" s="113"/>
      <c r="X68" s="114">
        <f>W68*B68</f>
        <v>0</v>
      </c>
      <c r="Y68" s="113">
        <v>0</v>
      </c>
      <c r="Z68" s="114">
        <f>Y68*B68</f>
        <v>0</v>
      </c>
      <c r="AB68" s="99"/>
      <c r="AC68" s="123"/>
    </row>
    <row r="69" spans="1:31" s="1" customFormat="1" ht="13.5" hidden="1" customHeight="1" thickBot="1" x14ac:dyDescent="0.2">
      <c r="A69" s="178"/>
      <c r="B69" s="179"/>
      <c r="C69" s="113">
        <v>0</v>
      </c>
      <c r="D69" s="114">
        <f t="shared" ref="D69" si="17">C69*$B$51</f>
        <v>0</v>
      </c>
      <c r="E69" s="71">
        <v>0</v>
      </c>
      <c r="F69" s="24">
        <f>E69*$B$69</f>
        <v>0</v>
      </c>
      <c r="G69" s="71">
        <v>0</v>
      </c>
      <c r="H69" s="24">
        <f>G69*$B$69</f>
        <v>0</v>
      </c>
      <c r="I69" s="71">
        <v>0</v>
      </c>
      <c r="J69" s="24">
        <f>I69*$B$69</f>
        <v>0</v>
      </c>
      <c r="K69" s="71">
        <v>0</v>
      </c>
      <c r="L69" s="24">
        <f>K69*$B$69</f>
        <v>0</v>
      </c>
      <c r="M69" s="71">
        <v>0</v>
      </c>
      <c r="N69" s="24">
        <f>M69*$B$69</f>
        <v>0</v>
      </c>
      <c r="O69" s="71">
        <v>0</v>
      </c>
      <c r="P69" s="24">
        <f>O69*$B$69</f>
        <v>0</v>
      </c>
      <c r="Q69" s="71">
        <v>0</v>
      </c>
      <c r="R69" s="24">
        <f>Q69*$B$69</f>
        <v>0</v>
      </c>
      <c r="S69" s="71">
        <v>0</v>
      </c>
      <c r="T69" s="24">
        <f>S69*$B$69</f>
        <v>0</v>
      </c>
      <c r="U69" s="71">
        <v>0</v>
      </c>
      <c r="V69" s="24">
        <f>U69*$B$69</f>
        <v>0</v>
      </c>
      <c r="W69" s="71">
        <v>0</v>
      </c>
      <c r="X69" s="24">
        <f>W69*$B$69</f>
        <v>0</v>
      </c>
      <c r="Y69" s="71">
        <v>0</v>
      </c>
      <c r="Z69" s="24">
        <f>Y69*$B$69</f>
        <v>0</v>
      </c>
      <c r="AB69" s="99"/>
      <c r="AC69" s="123"/>
    </row>
    <row r="70" spans="1:31" s="1" customFormat="1" ht="13.5" hidden="1" customHeight="1" thickBot="1" x14ac:dyDescent="0.2">
      <c r="A70" s="178"/>
      <c r="B70" s="179"/>
      <c r="C70" s="113">
        <v>0</v>
      </c>
      <c r="D70" s="114">
        <f t="shared" ref="D70" si="18">C70*$B$52</f>
        <v>0</v>
      </c>
      <c r="E70" s="71">
        <v>0</v>
      </c>
      <c r="F70" s="97">
        <f>E70*$B$70</f>
        <v>0</v>
      </c>
      <c r="G70" s="71">
        <v>0</v>
      </c>
      <c r="H70" s="97">
        <f>G70*$B$70</f>
        <v>0</v>
      </c>
      <c r="I70" s="71">
        <v>0</v>
      </c>
      <c r="J70" s="97">
        <f>I70*$B$70</f>
        <v>0</v>
      </c>
      <c r="K70" s="71">
        <v>0</v>
      </c>
      <c r="L70" s="97">
        <f>K70*$B$70</f>
        <v>0</v>
      </c>
      <c r="M70" s="71">
        <v>0</v>
      </c>
      <c r="N70" s="97">
        <f>M70*$B$70</f>
        <v>0</v>
      </c>
      <c r="O70" s="71">
        <v>0</v>
      </c>
      <c r="P70" s="97">
        <f>O70*$B$70</f>
        <v>0</v>
      </c>
      <c r="Q70" s="71">
        <v>0</v>
      </c>
      <c r="R70" s="97">
        <f>Q70*$B$70</f>
        <v>0</v>
      </c>
      <c r="S70" s="71">
        <v>0</v>
      </c>
      <c r="T70" s="97">
        <f>S70*$B$70</f>
        <v>0</v>
      </c>
      <c r="U70" s="71">
        <v>0</v>
      </c>
      <c r="V70" s="97">
        <f>U70*$B$70</f>
        <v>0</v>
      </c>
      <c r="W70" s="71">
        <v>0</v>
      </c>
      <c r="X70" s="97">
        <f>W70*$B$70</f>
        <v>0</v>
      </c>
      <c r="Y70" s="71">
        <v>0</v>
      </c>
      <c r="Z70" s="97">
        <f>Y70*$B$70</f>
        <v>0</v>
      </c>
      <c r="AB70" s="99"/>
      <c r="AC70" s="123"/>
    </row>
    <row r="71" spans="1:31" s="1" customFormat="1" ht="13.5" hidden="1" customHeight="1" thickBot="1" x14ac:dyDescent="0.2">
      <c r="A71" s="180"/>
      <c r="B71" s="181"/>
      <c r="C71" s="113">
        <v>0</v>
      </c>
      <c r="D71" s="114">
        <f t="shared" ref="D71" si="19">C71*$B$53</f>
        <v>0</v>
      </c>
      <c r="E71" s="71">
        <v>0</v>
      </c>
      <c r="F71" s="24">
        <f>E71*$B$71</f>
        <v>0</v>
      </c>
      <c r="G71" s="71">
        <v>0</v>
      </c>
      <c r="H71" s="24">
        <f>G71*$B$71</f>
        <v>0</v>
      </c>
      <c r="I71" s="71">
        <v>0</v>
      </c>
      <c r="J71" s="24">
        <f>I71*$B$71</f>
        <v>0</v>
      </c>
      <c r="K71" s="71">
        <v>0</v>
      </c>
      <c r="L71" s="24">
        <f>K71*$B$71</f>
        <v>0</v>
      </c>
      <c r="M71" s="71">
        <v>0</v>
      </c>
      <c r="N71" s="24">
        <f>M71*$B$71</f>
        <v>0</v>
      </c>
      <c r="O71" s="71">
        <v>0</v>
      </c>
      <c r="P71" s="24">
        <f>O71*$B$71</f>
        <v>0</v>
      </c>
      <c r="Q71" s="71">
        <v>0</v>
      </c>
      <c r="R71" s="24">
        <f>Q71*$B$71</f>
        <v>0</v>
      </c>
      <c r="S71" s="71">
        <v>0</v>
      </c>
      <c r="T71" s="24">
        <f>S71*$B$71</f>
        <v>0</v>
      </c>
      <c r="U71" s="71">
        <v>0</v>
      </c>
      <c r="V71" s="24">
        <f>U71*$B$71</f>
        <v>0</v>
      </c>
      <c r="W71" s="71">
        <v>0</v>
      </c>
      <c r="X71" s="24">
        <f>W71*$B$71</f>
        <v>0</v>
      </c>
      <c r="Y71" s="71">
        <v>0</v>
      </c>
      <c r="Z71" s="24">
        <f>Y71*$B$71</f>
        <v>0</v>
      </c>
      <c r="AB71" s="99"/>
      <c r="AC71" s="123"/>
    </row>
    <row r="72" spans="1:31" s="1" customFormat="1" ht="13.5" hidden="1" customHeight="1" thickBot="1" x14ac:dyDescent="0.2">
      <c r="A72" s="128"/>
      <c r="B72" s="129"/>
      <c r="C72" s="113">
        <v>0</v>
      </c>
      <c r="D72" s="114">
        <f t="shared" ref="D72:D73" si="20">C72*$B$54</f>
        <v>0</v>
      </c>
      <c r="E72" s="131">
        <v>0</v>
      </c>
      <c r="F72" s="130">
        <f>E72*$B$72</f>
        <v>0</v>
      </c>
      <c r="G72" s="131">
        <v>0</v>
      </c>
      <c r="H72" s="130">
        <f>G72*$B$72</f>
        <v>0</v>
      </c>
      <c r="I72" s="131">
        <v>0</v>
      </c>
      <c r="J72" s="130">
        <f>I72*$B$72</f>
        <v>0</v>
      </c>
      <c r="K72" s="131">
        <v>0</v>
      </c>
      <c r="L72" s="130">
        <f>K72*$B$72</f>
        <v>0</v>
      </c>
      <c r="M72" s="131">
        <v>0</v>
      </c>
      <c r="N72" s="130">
        <f>M72*$B$72</f>
        <v>0</v>
      </c>
      <c r="O72" s="131">
        <v>0</v>
      </c>
      <c r="P72" s="130">
        <f>O72*$B$72</f>
        <v>0</v>
      </c>
      <c r="Q72" s="131">
        <v>0</v>
      </c>
      <c r="R72" s="130">
        <f>Q72*$B$72</f>
        <v>0</v>
      </c>
      <c r="S72" s="131">
        <v>0</v>
      </c>
      <c r="T72" s="130">
        <f>S72*$B$72</f>
        <v>0</v>
      </c>
      <c r="U72" s="131">
        <v>0</v>
      </c>
      <c r="V72" s="130">
        <f>U72*$B$72</f>
        <v>0</v>
      </c>
      <c r="W72" s="76">
        <v>0</v>
      </c>
      <c r="X72" s="130">
        <f>W72*$B$72</f>
        <v>0</v>
      </c>
      <c r="Y72" s="76">
        <v>0</v>
      </c>
      <c r="Z72" s="130">
        <f>Y72*$B$72</f>
        <v>0</v>
      </c>
      <c r="AB72" s="99"/>
      <c r="AC72" s="123"/>
    </row>
    <row r="73" spans="1:31" ht="18.75" hidden="1" customHeight="1" x14ac:dyDescent="0.15">
      <c r="A73" s="112"/>
      <c r="B73" s="182"/>
      <c r="C73" s="113">
        <v>0</v>
      </c>
      <c r="D73" s="114">
        <f t="shared" si="20"/>
        <v>0</v>
      </c>
      <c r="E73" s="115">
        <v>0</v>
      </c>
      <c r="F73" s="114">
        <f>E73*$B$45</f>
        <v>0</v>
      </c>
      <c r="G73" s="115">
        <v>0</v>
      </c>
      <c r="H73" s="114">
        <f>G73*$B$45</f>
        <v>0</v>
      </c>
      <c r="I73" s="115">
        <v>0</v>
      </c>
      <c r="J73" s="114">
        <f>I73*$B$45</f>
        <v>0</v>
      </c>
      <c r="K73" s="115">
        <v>0</v>
      </c>
      <c r="L73" s="114">
        <f>K73*$B$45</f>
        <v>0</v>
      </c>
      <c r="M73" s="115">
        <v>0</v>
      </c>
      <c r="N73" s="114">
        <f>M73*$B$45</f>
        <v>0</v>
      </c>
      <c r="O73" s="115">
        <v>0</v>
      </c>
      <c r="P73" s="114">
        <f>O73*$B$45</f>
        <v>0</v>
      </c>
      <c r="Q73" s="115">
        <v>0</v>
      </c>
      <c r="R73" s="114">
        <f>Q73*$B$45</f>
        <v>0</v>
      </c>
      <c r="S73" s="115">
        <v>0</v>
      </c>
      <c r="T73" s="114">
        <f>S73*$B$45</f>
        <v>0</v>
      </c>
      <c r="U73" s="115">
        <v>0</v>
      </c>
      <c r="V73" s="114">
        <f>U73*$B$45</f>
        <v>0</v>
      </c>
      <c r="W73" s="113">
        <v>0</v>
      </c>
      <c r="X73" s="114">
        <f>W73*$B$45</f>
        <v>0</v>
      </c>
      <c r="Y73" s="113">
        <v>0</v>
      </c>
      <c r="Z73" s="114">
        <f>Y73*$B$45</f>
        <v>0</v>
      </c>
      <c r="AB73" s="99"/>
    </row>
    <row r="74" spans="1:31" ht="18.75" hidden="1" customHeight="1" x14ac:dyDescent="0.15">
      <c r="A74" s="112"/>
      <c r="B74" s="182"/>
      <c r="C74" s="113">
        <v>0</v>
      </c>
      <c r="D74" s="114">
        <f t="shared" ref="D74" si="21">C74*$B$56</f>
        <v>0</v>
      </c>
      <c r="E74" s="115">
        <v>0</v>
      </c>
      <c r="F74" s="114">
        <f>E74*$B$46</f>
        <v>0</v>
      </c>
      <c r="G74" s="115">
        <v>0</v>
      </c>
      <c r="H74" s="114">
        <f>G74*$B$46</f>
        <v>0</v>
      </c>
      <c r="I74" s="115">
        <v>0</v>
      </c>
      <c r="J74" s="114">
        <f>I74*$B$46</f>
        <v>0</v>
      </c>
      <c r="K74" s="115">
        <v>0</v>
      </c>
      <c r="L74" s="114">
        <f>K74*$B$46</f>
        <v>0</v>
      </c>
      <c r="M74" s="115">
        <v>0</v>
      </c>
      <c r="N74" s="114">
        <f>M74*$B$46</f>
        <v>0</v>
      </c>
      <c r="O74" s="115">
        <v>0</v>
      </c>
      <c r="P74" s="114">
        <f>O74*$B$46</f>
        <v>0</v>
      </c>
      <c r="Q74" s="115">
        <v>0</v>
      </c>
      <c r="R74" s="114">
        <f>Q74*$B$45</f>
        <v>0</v>
      </c>
      <c r="S74" s="115">
        <v>0</v>
      </c>
      <c r="T74" s="114">
        <f>S74*$B$45</f>
        <v>0</v>
      </c>
      <c r="U74" s="115">
        <v>0</v>
      </c>
      <c r="V74" s="114">
        <f>U74*$B$45</f>
        <v>0</v>
      </c>
      <c r="W74" s="113">
        <v>0</v>
      </c>
      <c r="X74" s="114">
        <f>W74*$B$46</f>
        <v>0</v>
      </c>
      <c r="Y74" s="113">
        <v>0</v>
      </c>
      <c r="Z74" s="114">
        <f>Y74*$B$46</f>
        <v>0</v>
      </c>
      <c r="AB74" s="99"/>
    </row>
    <row r="75" spans="1:31" ht="18.75" hidden="1" customHeight="1" x14ac:dyDescent="0.15">
      <c r="A75" s="112"/>
      <c r="B75" s="182"/>
      <c r="C75" s="113">
        <v>0</v>
      </c>
      <c r="D75" s="114">
        <f t="shared" ref="D75" si="22">C75*$B$57</f>
        <v>0</v>
      </c>
      <c r="E75" s="115">
        <v>0</v>
      </c>
      <c r="F75" s="114">
        <f>E75*$B$47</f>
        <v>0</v>
      </c>
      <c r="G75" s="115">
        <v>0</v>
      </c>
      <c r="H75" s="114">
        <f>G75*$B$47</f>
        <v>0</v>
      </c>
      <c r="I75" s="115">
        <v>0</v>
      </c>
      <c r="J75" s="114">
        <f>I75*$B$47</f>
        <v>0</v>
      </c>
      <c r="K75" s="115">
        <v>0</v>
      </c>
      <c r="L75" s="114">
        <f>K75*$B$47</f>
        <v>0</v>
      </c>
      <c r="M75" s="115">
        <v>0</v>
      </c>
      <c r="N75" s="114">
        <f>M75*$B$47</f>
        <v>0</v>
      </c>
      <c r="O75" s="115">
        <v>0</v>
      </c>
      <c r="P75" s="114">
        <f>O75*$B$47</f>
        <v>0</v>
      </c>
      <c r="Q75" s="115">
        <v>0</v>
      </c>
      <c r="R75" s="114">
        <f>Q75*$B$47</f>
        <v>0</v>
      </c>
      <c r="S75" s="115">
        <v>0</v>
      </c>
      <c r="T75" s="114">
        <f>S75*$B$47</f>
        <v>0</v>
      </c>
      <c r="U75" s="115">
        <v>0</v>
      </c>
      <c r="V75" s="114">
        <f>U75*$B$47</f>
        <v>0</v>
      </c>
      <c r="W75" s="113">
        <v>0</v>
      </c>
      <c r="X75" s="114">
        <f>W75*$B$47</f>
        <v>0</v>
      </c>
      <c r="Y75" s="113">
        <v>0</v>
      </c>
      <c r="Z75" s="114">
        <f>Y75*$B$47</f>
        <v>0</v>
      </c>
      <c r="AB75" s="99"/>
    </row>
    <row r="76" spans="1:31" ht="18.75" hidden="1" customHeight="1" x14ac:dyDescent="0.15">
      <c r="A76" s="112"/>
      <c r="B76" s="182"/>
      <c r="C76" s="113">
        <v>0</v>
      </c>
      <c r="D76" s="114">
        <f t="shared" ref="D76" si="23">C76*$B$58</f>
        <v>0</v>
      </c>
      <c r="E76" s="115">
        <v>0</v>
      </c>
      <c r="F76" s="114">
        <f>E76*$B$48</f>
        <v>0</v>
      </c>
      <c r="G76" s="115">
        <v>0</v>
      </c>
      <c r="H76" s="114">
        <f>G76*$B$48</f>
        <v>0</v>
      </c>
      <c r="I76" s="115">
        <v>0</v>
      </c>
      <c r="J76" s="114">
        <f>I76*$B$48</f>
        <v>0</v>
      </c>
      <c r="K76" s="115">
        <v>0</v>
      </c>
      <c r="L76" s="114">
        <f>K76*$B$48</f>
        <v>0</v>
      </c>
      <c r="M76" s="115">
        <v>0</v>
      </c>
      <c r="N76" s="114">
        <f>M76*$B$48</f>
        <v>0</v>
      </c>
      <c r="O76" s="115">
        <v>0</v>
      </c>
      <c r="P76" s="114">
        <f>O76*$B$48</f>
        <v>0</v>
      </c>
      <c r="Q76" s="115">
        <v>0</v>
      </c>
      <c r="R76" s="114">
        <f>Q76*$B$48</f>
        <v>0</v>
      </c>
      <c r="S76" s="115">
        <v>0</v>
      </c>
      <c r="T76" s="114">
        <f>S76*$B$48</f>
        <v>0</v>
      </c>
      <c r="U76" s="115">
        <v>0</v>
      </c>
      <c r="V76" s="114">
        <f>U76*$B$48</f>
        <v>0</v>
      </c>
      <c r="W76" s="113">
        <v>1</v>
      </c>
      <c r="X76" s="114">
        <f>W76*$B$48</f>
        <v>0</v>
      </c>
      <c r="Y76" s="113">
        <v>1</v>
      </c>
      <c r="Z76" s="114">
        <f>Y76*$B$48</f>
        <v>0</v>
      </c>
      <c r="AB76" s="99"/>
    </row>
    <row r="77" spans="1:31" ht="14" hidden="1" x14ac:dyDescent="0.15">
      <c r="A77" s="112"/>
      <c r="B77" s="182"/>
      <c r="C77" s="113">
        <v>0</v>
      </c>
      <c r="D77" s="114">
        <f t="shared" ref="D77" si="24">C77*$B$59</f>
        <v>0</v>
      </c>
      <c r="E77" s="115">
        <v>0</v>
      </c>
      <c r="F77" s="114">
        <f>E77*$B$48</f>
        <v>0</v>
      </c>
      <c r="G77" s="115">
        <v>0</v>
      </c>
      <c r="H77" s="114">
        <f>G77*$B$48</f>
        <v>0</v>
      </c>
      <c r="I77" s="115">
        <v>0</v>
      </c>
      <c r="J77" s="114">
        <f>I77*$B$48</f>
        <v>0</v>
      </c>
      <c r="K77" s="115">
        <v>0</v>
      </c>
      <c r="L77" s="114">
        <f>K77*$B$48</f>
        <v>0</v>
      </c>
      <c r="M77" s="115">
        <v>0</v>
      </c>
      <c r="N77" s="114">
        <f>M77*$B$48</f>
        <v>0</v>
      </c>
      <c r="O77" s="115">
        <v>0</v>
      </c>
      <c r="P77" s="114">
        <f>O77*$B$48</f>
        <v>0</v>
      </c>
      <c r="Q77" s="115">
        <v>0</v>
      </c>
      <c r="R77" s="114">
        <f>Q77*$B$48</f>
        <v>0</v>
      </c>
      <c r="S77" s="115">
        <v>0</v>
      </c>
      <c r="T77" s="114">
        <f>S77*$B$48</f>
        <v>0</v>
      </c>
      <c r="U77" s="115">
        <v>0</v>
      </c>
      <c r="V77" s="114">
        <f>U77*$B$48</f>
        <v>0</v>
      </c>
      <c r="W77" s="113">
        <v>0</v>
      </c>
      <c r="X77" s="114">
        <f>W77*$B$48</f>
        <v>0</v>
      </c>
      <c r="Y77" s="113">
        <v>0</v>
      </c>
      <c r="Z77" s="114">
        <f>Y77*$B$48</f>
        <v>0</v>
      </c>
      <c r="AB77" s="99"/>
      <c r="AE77" s="99"/>
    </row>
    <row r="78" spans="1:31" ht="15" hidden="1" customHeight="1" x14ac:dyDescent="0.15">
      <c r="A78" s="112"/>
      <c r="B78" s="182"/>
      <c r="C78" s="113">
        <v>0</v>
      </c>
      <c r="D78" s="117">
        <f t="shared" ref="D78" si="25">C78*$B$60</f>
        <v>0</v>
      </c>
      <c r="E78" s="115">
        <v>0</v>
      </c>
      <c r="F78" s="114">
        <f>E78*$B$50</f>
        <v>0</v>
      </c>
      <c r="G78" s="115">
        <v>0</v>
      </c>
      <c r="H78" s="114">
        <f>G78*$B$50</f>
        <v>0</v>
      </c>
      <c r="I78" s="115">
        <v>0</v>
      </c>
      <c r="J78" s="114">
        <f>I78*$B$50</f>
        <v>0</v>
      </c>
      <c r="K78" s="115">
        <v>0</v>
      </c>
      <c r="L78" s="114">
        <f>K78*$B$50</f>
        <v>0</v>
      </c>
      <c r="M78" s="115">
        <v>0</v>
      </c>
      <c r="N78" s="114">
        <f>M78*$B$50</f>
        <v>0</v>
      </c>
      <c r="O78" s="115">
        <v>0</v>
      </c>
      <c r="P78" s="114">
        <f>O78*$B$50</f>
        <v>0</v>
      </c>
      <c r="Q78" s="115">
        <v>0</v>
      </c>
      <c r="R78" s="114">
        <f>Q78*$B$50</f>
        <v>0</v>
      </c>
      <c r="S78" s="115">
        <v>0</v>
      </c>
      <c r="T78" s="114">
        <f>S78*$B$50</f>
        <v>0</v>
      </c>
      <c r="U78" s="115">
        <v>0</v>
      </c>
      <c r="V78" s="114">
        <f>U78*$B$50</f>
        <v>0</v>
      </c>
      <c r="W78" s="113">
        <v>0</v>
      </c>
      <c r="X78" s="114">
        <f>W78*$B$50</f>
        <v>0</v>
      </c>
      <c r="Y78" s="113">
        <v>0</v>
      </c>
      <c r="Z78" s="114">
        <f>Y78*$B$50</f>
        <v>0</v>
      </c>
      <c r="AB78" s="99"/>
    </row>
    <row r="79" spans="1:31" ht="15" hidden="1" customHeight="1" x14ac:dyDescent="0.15">
      <c r="A79" s="112"/>
      <c r="B79" s="182"/>
      <c r="C79" s="113">
        <v>0</v>
      </c>
      <c r="D79" s="114">
        <f t="shared" ref="D79" si="26">C79*$B$61</f>
        <v>0</v>
      </c>
      <c r="E79" s="115">
        <v>0</v>
      </c>
      <c r="F79" s="114">
        <f>E79*$B$50</f>
        <v>0</v>
      </c>
      <c r="G79" s="115">
        <v>0</v>
      </c>
      <c r="H79" s="114">
        <f>G79*$B$50</f>
        <v>0</v>
      </c>
      <c r="I79" s="115">
        <v>0</v>
      </c>
      <c r="J79" s="114">
        <f>I79*$B$50</f>
        <v>0</v>
      </c>
      <c r="K79" s="115">
        <v>0</v>
      </c>
      <c r="L79" s="114">
        <f>K79*$B$50</f>
        <v>0</v>
      </c>
      <c r="M79" s="115">
        <v>0</v>
      </c>
      <c r="N79" s="114">
        <f>M79*$B$50</f>
        <v>0</v>
      </c>
      <c r="O79" s="115">
        <v>0</v>
      </c>
      <c r="P79" s="114">
        <f>O79*$B$50</f>
        <v>0</v>
      </c>
      <c r="Q79" s="115">
        <v>0</v>
      </c>
      <c r="R79" s="114">
        <f>Q79*$B$50</f>
        <v>0</v>
      </c>
      <c r="S79" s="115">
        <v>0</v>
      </c>
      <c r="T79" s="114">
        <f>S79*$B$50</f>
        <v>0</v>
      </c>
      <c r="U79" s="115">
        <v>0</v>
      </c>
      <c r="V79" s="114">
        <f>U79*$B$50</f>
        <v>0</v>
      </c>
      <c r="W79" s="113">
        <v>0</v>
      </c>
      <c r="X79" s="114">
        <f>W79*$B$50</f>
        <v>0</v>
      </c>
      <c r="Y79" s="113">
        <v>0</v>
      </c>
      <c r="Z79" s="114">
        <f>Y79*$B$50</f>
        <v>0</v>
      </c>
      <c r="AB79" s="99"/>
    </row>
    <row r="80" spans="1:31" ht="15" hidden="1" customHeight="1" x14ac:dyDescent="0.15">
      <c r="A80" s="112"/>
      <c r="B80" s="182"/>
      <c r="C80" s="113">
        <v>0</v>
      </c>
      <c r="D80" s="117">
        <f t="shared" ref="D80" si="27">C80*$B$62</f>
        <v>0</v>
      </c>
      <c r="E80" s="115">
        <v>0</v>
      </c>
      <c r="F80" s="114">
        <f>E80*$B$52</f>
        <v>0</v>
      </c>
      <c r="G80" s="115">
        <v>0</v>
      </c>
      <c r="H80" s="114">
        <f>G80*$B$52</f>
        <v>0</v>
      </c>
      <c r="I80" s="115">
        <v>0</v>
      </c>
      <c r="J80" s="114">
        <f>I80*$B$52</f>
        <v>0</v>
      </c>
      <c r="K80" s="115">
        <v>0</v>
      </c>
      <c r="L80" s="114">
        <f>K80*$B$52</f>
        <v>0</v>
      </c>
      <c r="M80" s="115">
        <v>0</v>
      </c>
      <c r="N80" s="114">
        <f>M80*$B$52</f>
        <v>0</v>
      </c>
      <c r="O80" s="115">
        <v>0</v>
      </c>
      <c r="P80" s="114">
        <f>O80*$B$52</f>
        <v>0</v>
      </c>
      <c r="Q80" s="115">
        <v>0</v>
      </c>
      <c r="R80" s="114">
        <f>Q80*$B$52</f>
        <v>0</v>
      </c>
      <c r="S80" s="115">
        <v>0</v>
      </c>
      <c r="T80" s="114">
        <f>S80*$B$52</f>
        <v>0</v>
      </c>
      <c r="U80" s="115">
        <v>0</v>
      </c>
      <c r="V80" s="114">
        <f>U80*$B$52</f>
        <v>0</v>
      </c>
      <c r="W80" s="113">
        <v>0</v>
      </c>
      <c r="X80" s="114">
        <f>W80*$B$52</f>
        <v>0</v>
      </c>
      <c r="Y80" s="113">
        <v>0</v>
      </c>
      <c r="Z80" s="114">
        <f>Y80*$B$52</f>
        <v>0</v>
      </c>
      <c r="AB80" s="99"/>
    </row>
    <row r="81" spans="1:29" ht="15" hidden="1" customHeight="1" x14ac:dyDescent="0.15">
      <c r="A81" s="116"/>
      <c r="B81" s="182"/>
      <c r="C81" s="113">
        <v>0</v>
      </c>
      <c r="D81" s="114">
        <f t="shared" ref="D81" si="28">C81*$B$63</f>
        <v>0</v>
      </c>
      <c r="E81" s="115">
        <v>0</v>
      </c>
      <c r="F81" s="114">
        <f>E81*$B$52</f>
        <v>0</v>
      </c>
      <c r="G81" s="115">
        <v>0</v>
      </c>
      <c r="H81" s="114">
        <f>G81*$B$52</f>
        <v>0</v>
      </c>
      <c r="I81" s="115">
        <v>0</v>
      </c>
      <c r="J81" s="114">
        <f>I81*$B$52</f>
        <v>0</v>
      </c>
      <c r="K81" s="115">
        <v>0</v>
      </c>
      <c r="L81" s="114">
        <f>K81*$B$52</f>
        <v>0</v>
      </c>
      <c r="M81" s="115">
        <v>0</v>
      </c>
      <c r="N81" s="114">
        <f>M81*$B$52</f>
        <v>0</v>
      </c>
      <c r="O81" s="115">
        <v>0</v>
      </c>
      <c r="P81" s="114">
        <f>O81*$B$52</f>
        <v>0</v>
      </c>
      <c r="Q81" s="115">
        <v>0</v>
      </c>
      <c r="R81" s="114">
        <f>Q81*$B$52</f>
        <v>0</v>
      </c>
      <c r="S81" s="115">
        <v>0</v>
      </c>
      <c r="T81" s="114">
        <f>S81*$B$52</f>
        <v>0</v>
      </c>
      <c r="U81" s="115">
        <v>0</v>
      </c>
      <c r="V81" s="114">
        <f>U81*$B$52</f>
        <v>0</v>
      </c>
      <c r="W81" s="113">
        <v>0</v>
      </c>
      <c r="X81" s="114">
        <f>W81*$B$52</f>
        <v>0</v>
      </c>
      <c r="Y81" s="113">
        <v>0</v>
      </c>
      <c r="Z81" s="114">
        <f>Y81*$B$52</f>
        <v>0</v>
      </c>
      <c r="AB81" s="99"/>
    </row>
    <row r="82" spans="1:29" ht="15" hidden="1" customHeight="1" x14ac:dyDescent="0.15">
      <c r="A82" s="116"/>
      <c r="B82" s="182"/>
      <c r="C82" s="113">
        <v>0</v>
      </c>
      <c r="D82" s="114">
        <f t="shared" ref="D82" si="29">C82*$B$64</f>
        <v>0</v>
      </c>
      <c r="E82" s="115">
        <v>0</v>
      </c>
      <c r="F82" s="114">
        <f>E82*$B$54</f>
        <v>0</v>
      </c>
      <c r="G82" s="115">
        <v>0</v>
      </c>
      <c r="H82" s="114">
        <f>G82*$B$54</f>
        <v>0</v>
      </c>
      <c r="I82" s="115">
        <v>0</v>
      </c>
      <c r="J82" s="114">
        <f>I82*$B$54</f>
        <v>0</v>
      </c>
      <c r="K82" s="115">
        <v>0</v>
      </c>
      <c r="L82" s="114">
        <f>K82*$B$54</f>
        <v>0</v>
      </c>
      <c r="M82" s="115">
        <v>0</v>
      </c>
      <c r="N82" s="114">
        <f>M82*$B$54</f>
        <v>0</v>
      </c>
      <c r="O82" s="115">
        <v>0</v>
      </c>
      <c r="P82" s="114">
        <f>O82*$B$54</f>
        <v>0</v>
      </c>
      <c r="Q82" s="115">
        <v>0</v>
      </c>
      <c r="R82" s="114">
        <f>Q82*$B$54</f>
        <v>0</v>
      </c>
      <c r="S82" s="115">
        <v>0</v>
      </c>
      <c r="T82" s="114">
        <f>S82*$B$54</f>
        <v>0</v>
      </c>
      <c r="U82" s="115">
        <v>0</v>
      </c>
      <c r="V82" s="114">
        <f>U82*$B$54</f>
        <v>0</v>
      </c>
      <c r="W82" s="113">
        <v>0</v>
      </c>
      <c r="X82" s="114">
        <f>W82*$B$54</f>
        <v>0</v>
      </c>
      <c r="Y82" s="113">
        <v>0</v>
      </c>
      <c r="Z82" s="114">
        <f>Y82*$B$54</f>
        <v>0</v>
      </c>
      <c r="AB82" s="99"/>
    </row>
    <row r="83" spans="1:29" ht="15" hidden="1" customHeight="1" x14ac:dyDescent="0.15">
      <c r="A83" s="116"/>
      <c r="B83" s="182"/>
      <c r="C83" s="113">
        <v>0</v>
      </c>
      <c r="D83" s="114">
        <f t="shared" ref="D83" si="30">C83*$B$65</f>
        <v>0</v>
      </c>
      <c r="E83" s="115">
        <v>0</v>
      </c>
      <c r="F83" s="114">
        <f>E83*$B$54</f>
        <v>0</v>
      </c>
      <c r="G83" s="115">
        <v>0</v>
      </c>
      <c r="H83" s="114">
        <f>G83*$B$54</f>
        <v>0</v>
      </c>
      <c r="I83" s="115">
        <v>0</v>
      </c>
      <c r="J83" s="114">
        <f>I83*$B$54</f>
        <v>0</v>
      </c>
      <c r="K83" s="115">
        <v>0</v>
      </c>
      <c r="L83" s="114">
        <f>K83*$B$54</f>
        <v>0</v>
      </c>
      <c r="M83" s="115">
        <v>0</v>
      </c>
      <c r="N83" s="114">
        <f>M83*$B$54</f>
        <v>0</v>
      </c>
      <c r="O83" s="115">
        <v>0</v>
      </c>
      <c r="P83" s="114">
        <f>O83*$B$54</f>
        <v>0</v>
      </c>
      <c r="Q83" s="115">
        <v>0</v>
      </c>
      <c r="R83" s="114">
        <f>Q83*$B$54</f>
        <v>0</v>
      </c>
      <c r="S83" s="115">
        <v>0</v>
      </c>
      <c r="T83" s="114">
        <f>S83*$B$54</f>
        <v>0</v>
      </c>
      <c r="U83" s="115">
        <v>0</v>
      </c>
      <c r="V83" s="114">
        <f>U83*$B$54</f>
        <v>0</v>
      </c>
      <c r="W83" s="113">
        <v>0</v>
      </c>
      <c r="X83" s="114">
        <f>W83*$B$54</f>
        <v>0</v>
      </c>
      <c r="Y83" s="113">
        <v>0</v>
      </c>
      <c r="Z83" s="114">
        <f>Y83*$B$54</f>
        <v>0</v>
      </c>
      <c r="AB83" s="99"/>
    </row>
    <row r="84" spans="1:29" ht="15" hidden="1" customHeight="1" x14ac:dyDescent="0.15">
      <c r="A84" s="116"/>
      <c r="B84" s="182"/>
      <c r="C84" s="113">
        <v>0</v>
      </c>
      <c r="D84" s="114">
        <f t="shared" ref="D84" si="31">C84*$B$68</f>
        <v>0</v>
      </c>
      <c r="E84" s="115">
        <v>0</v>
      </c>
      <c r="F84" s="114">
        <f>E84*$B$52</f>
        <v>0</v>
      </c>
      <c r="G84" s="115">
        <v>0</v>
      </c>
      <c r="H84" s="114">
        <f>G84*$B$52</f>
        <v>0</v>
      </c>
      <c r="I84" s="115">
        <v>0</v>
      </c>
      <c r="J84" s="114">
        <f>I84*$B$52</f>
        <v>0</v>
      </c>
      <c r="K84" s="115">
        <v>0</v>
      </c>
      <c r="L84" s="114">
        <f>K84*$B$52</f>
        <v>0</v>
      </c>
      <c r="M84" s="115">
        <v>0</v>
      </c>
      <c r="N84" s="114">
        <f>M84*$B$52</f>
        <v>0</v>
      </c>
      <c r="O84" s="115">
        <v>0</v>
      </c>
      <c r="P84" s="114">
        <f>O84*$B$52</f>
        <v>0</v>
      </c>
      <c r="Q84" s="115">
        <v>0</v>
      </c>
      <c r="R84" s="114">
        <f>Q84*$B$52</f>
        <v>0</v>
      </c>
      <c r="S84" s="115">
        <v>0</v>
      </c>
      <c r="T84" s="114">
        <f>S84*$B$52</f>
        <v>0</v>
      </c>
      <c r="U84" s="115">
        <v>0</v>
      </c>
      <c r="V84" s="114">
        <f>U84*$B$52</f>
        <v>0</v>
      </c>
      <c r="W84" s="113">
        <v>0</v>
      </c>
      <c r="X84" s="114">
        <f>W84*$B$52</f>
        <v>0</v>
      </c>
      <c r="Y84" s="113">
        <v>0</v>
      </c>
      <c r="Z84" s="114">
        <f>Y84*$B$52</f>
        <v>0</v>
      </c>
      <c r="AB84" s="99"/>
    </row>
    <row r="85" spans="1:29" ht="15" hidden="1" customHeight="1" x14ac:dyDescent="0.15">
      <c r="A85" s="116"/>
      <c r="B85" s="182"/>
      <c r="C85" s="113">
        <v>0</v>
      </c>
      <c r="D85" s="114">
        <f t="shared" ref="D85" si="32">C85*$B$49</f>
        <v>0</v>
      </c>
      <c r="E85" s="115">
        <v>0</v>
      </c>
      <c r="F85" s="114">
        <f>E85*$B$57</f>
        <v>0</v>
      </c>
      <c r="G85" s="115">
        <v>0</v>
      </c>
      <c r="H85" s="114">
        <f>G85*$B$57</f>
        <v>0</v>
      </c>
      <c r="I85" s="115">
        <v>0</v>
      </c>
      <c r="J85" s="114">
        <f>I85*$B$57</f>
        <v>0</v>
      </c>
      <c r="K85" s="115">
        <v>0</v>
      </c>
      <c r="L85" s="114">
        <f>K85*$B$57</f>
        <v>0</v>
      </c>
      <c r="M85" s="115">
        <v>0</v>
      </c>
      <c r="N85" s="114">
        <f>M85*$B$57</f>
        <v>0</v>
      </c>
      <c r="O85" s="115">
        <v>0</v>
      </c>
      <c r="P85" s="114">
        <f>O85*$B$57</f>
        <v>0</v>
      </c>
      <c r="Q85" s="115">
        <v>0</v>
      </c>
      <c r="R85" s="114">
        <f>Q85*$B$57</f>
        <v>0</v>
      </c>
      <c r="S85" s="115">
        <v>0</v>
      </c>
      <c r="T85" s="114">
        <f>S85*$B$57</f>
        <v>0</v>
      </c>
      <c r="U85" s="115">
        <v>0</v>
      </c>
      <c r="V85" s="114">
        <f>U85*$B$57</f>
        <v>0</v>
      </c>
      <c r="W85" s="113">
        <v>0</v>
      </c>
      <c r="X85" s="114">
        <f>W85*$B$57</f>
        <v>0</v>
      </c>
      <c r="Y85" s="113">
        <v>0</v>
      </c>
      <c r="Z85" s="114">
        <f>Y85*$B$57</f>
        <v>0</v>
      </c>
      <c r="AB85" s="99"/>
    </row>
    <row r="86" spans="1:29" ht="15" hidden="1" customHeight="1" x14ac:dyDescent="0.15">
      <c r="A86" s="116"/>
      <c r="B86" s="182"/>
      <c r="C86" s="113">
        <v>0</v>
      </c>
      <c r="D86" s="114">
        <f t="shared" ref="D86" si="33">C86*$B$50</f>
        <v>0</v>
      </c>
      <c r="E86" s="115">
        <v>0</v>
      </c>
      <c r="F86" s="114">
        <f>E86*$B$57</f>
        <v>0</v>
      </c>
      <c r="G86" s="115">
        <v>0</v>
      </c>
      <c r="H86" s="114">
        <f>G86*$B$57</f>
        <v>0</v>
      </c>
      <c r="I86" s="115">
        <v>0</v>
      </c>
      <c r="J86" s="114">
        <f>I86*$B$57</f>
        <v>0</v>
      </c>
      <c r="K86" s="115">
        <v>0</v>
      </c>
      <c r="L86" s="114">
        <f>K86*$B$57</f>
        <v>0</v>
      </c>
      <c r="M86" s="115">
        <v>0</v>
      </c>
      <c r="N86" s="114">
        <f>M86*$B$57</f>
        <v>0</v>
      </c>
      <c r="O86" s="115">
        <v>0</v>
      </c>
      <c r="P86" s="114">
        <f>O86*$B$57</f>
        <v>0</v>
      </c>
      <c r="Q86" s="115">
        <v>0</v>
      </c>
      <c r="R86" s="114">
        <f>Q86*$B$57</f>
        <v>0</v>
      </c>
      <c r="S86" s="115">
        <v>0</v>
      </c>
      <c r="T86" s="114">
        <f>S86*$B$57</f>
        <v>0</v>
      </c>
      <c r="U86" s="115">
        <v>0</v>
      </c>
      <c r="V86" s="114">
        <f>U86*$B$57</f>
        <v>0</v>
      </c>
      <c r="W86" s="113">
        <v>0</v>
      </c>
      <c r="X86" s="114">
        <f>W86*$B$57</f>
        <v>0</v>
      </c>
      <c r="Y86" s="113">
        <v>0</v>
      </c>
      <c r="Z86" s="114">
        <f>Y86*$B$57</f>
        <v>0</v>
      </c>
      <c r="AB86" s="99"/>
    </row>
    <row r="87" spans="1:29" ht="15" hidden="1" customHeight="1" x14ac:dyDescent="0.15">
      <c r="A87" s="116"/>
      <c r="B87" s="182"/>
      <c r="C87" s="113">
        <v>0</v>
      </c>
      <c r="D87" s="114">
        <f t="shared" ref="D87" si="34">C87*$B$51</f>
        <v>0</v>
      </c>
      <c r="E87" s="115">
        <v>0</v>
      </c>
      <c r="F87" s="114">
        <f>E87*$B$59</f>
        <v>0</v>
      </c>
      <c r="G87" s="115">
        <v>0</v>
      </c>
      <c r="H87" s="114">
        <f>G87*$B$59</f>
        <v>0</v>
      </c>
      <c r="I87" s="115">
        <v>0</v>
      </c>
      <c r="J87" s="114">
        <f>I87*$B$59</f>
        <v>0</v>
      </c>
      <c r="K87" s="115">
        <v>0</v>
      </c>
      <c r="L87" s="114">
        <f>K87*$B$59</f>
        <v>0</v>
      </c>
      <c r="M87" s="115">
        <v>0</v>
      </c>
      <c r="N87" s="114">
        <f>M87*$B$59</f>
        <v>0</v>
      </c>
      <c r="O87" s="115">
        <v>0</v>
      </c>
      <c r="P87" s="114">
        <f>O87*$B$59</f>
        <v>0</v>
      </c>
      <c r="Q87" s="115">
        <v>0</v>
      </c>
      <c r="R87" s="114">
        <f>Q87*$B$59</f>
        <v>0</v>
      </c>
      <c r="S87" s="115">
        <v>0</v>
      </c>
      <c r="T87" s="114">
        <f>S87*$B$59</f>
        <v>0</v>
      </c>
      <c r="U87" s="115">
        <v>0</v>
      </c>
      <c r="V87" s="114">
        <f>U87*$B$59</f>
        <v>0</v>
      </c>
      <c r="W87" s="113">
        <v>0</v>
      </c>
      <c r="X87" s="114">
        <f>W87*$B$59</f>
        <v>0</v>
      </c>
      <c r="Y87" s="113">
        <v>0</v>
      </c>
      <c r="Z87" s="114">
        <f>Y87*$B$59</f>
        <v>0</v>
      </c>
      <c r="AB87" s="99"/>
    </row>
    <row r="88" spans="1:29" s="1" customFormat="1" ht="15" hidden="1" customHeight="1" x14ac:dyDescent="0.15">
      <c r="A88" s="116"/>
      <c r="B88" s="182"/>
      <c r="C88" s="113">
        <v>0</v>
      </c>
      <c r="D88" s="114">
        <f t="shared" ref="D88" si="35">C88*$B$52</f>
        <v>0</v>
      </c>
      <c r="E88" s="115">
        <v>0</v>
      </c>
      <c r="F88" s="117">
        <f>E88*$B$60</f>
        <v>0</v>
      </c>
      <c r="G88" s="115">
        <v>0</v>
      </c>
      <c r="H88" s="117">
        <f>G88*$B$60</f>
        <v>0</v>
      </c>
      <c r="I88" s="115">
        <v>0</v>
      </c>
      <c r="J88" s="117">
        <f>I88*$B$60</f>
        <v>0</v>
      </c>
      <c r="K88" s="115">
        <v>0</v>
      </c>
      <c r="L88" s="117">
        <f>K88*$B$60</f>
        <v>0</v>
      </c>
      <c r="M88" s="115">
        <v>0</v>
      </c>
      <c r="N88" s="117">
        <f>M88*$B$60</f>
        <v>0</v>
      </c>
      <c r="O88" s="115">
        <v>0</v>
      </c>
      <c r="P88" s="117">
        <f>O88*$B$60</f>
        <v>0</v>
      </c>
      <c r="Q88" s="115">
        <v>0</v>
      </c>
      <c r="R88" s="117">
        <f>Q88*$B$60</f>
        <v>0</v>
      </c>
      <c r="S88" s="115">
        <v>0</v>
      </c>
      <c r="T88" s="117">
        <f>S88*$B$60</f>
        <v>0</v>
      </c>
      <c r="U88" s="115">
        <v>0</v>
      </c>
      <c r="V88" s="117">
        <f>U88*$B$60</f>
        <v>0</v>
      </c>
      <c r="W88" s="113">
        <v>0</v>
      </c>
      <c r="X88" s="117">
        <f>W88*$B$60</f>
        <v>0</v>
      </c>
      <c r="Y88" s="113">
        <v>0</v>
      </c>
      <c r="Z88" s="117">
        <f>Y88*$B$60</f>
        <v>0</v>
      </c>
      <c r="AB88" s="99"/>
      <c r="AC88" s="123"/>
    </row>
    <row r="89" spans="1:29" s="1" customFormat="1" ht="15" hidden="1" customHeight="1" x14ac:dyDescent="0.15">
      <c r="A89" s="118"/>
      <c r="B89" s="182"/>
      <c r="C89" s="113">
        <v>0</v>
      </c>
      <c r="D89" s="114">
        <f t="shared" ref="D89" si="36">C89*$B$53</f>
        <v>0</v>
      </c>
      <c r="E89" s="113">
        <v>0</v>
      </c>
      <c r="F89" s="114">
        <f>E89*$B$61</f>
        <v>0</v>
      </c>
      <c r="G89" s="113">
        <v>0</v>
      </c>
      <c r="H89" s="114">
        <f>G89*$B$61</f>
        <v>0</v>
      </c>
      <c r="I89" s="113">
        <v>0</v>
      </c>
      <c r="J89" s="114">
        <f>I89*$B$61</f>
        <v>0</v>
      </c>
      <c r="K89" s="113">
        <v>0</v>
      </c>
      <c r="L89" s="114">
        <f>K89*$B$61</f>
        <v>0</v>
      </c>
      <c r="M89" s="113">
        <v>0</v>
      </c>
      <c r="N89" s="114">
        <f>M89*$B$61</f>
        <v>0</v>
      </c>
      <c r="O89" s="113">
        <v>0</v>
      </c>
      <c r="P89" s="114">
        <f>O89*$B$61</f>
        <v>0</v>
      </c>
      <c r="Q89" s="113">
        <v>0</v>
      </c>
      <c r="R89" s="114">
        <f>Q89*$B$61</f>
        <v>0</v>
      </c>
      <c r="S89" s="113">
        <v>0</v>
      </c>
      <c r="T89" s="114">
        <f>S89*$B$61</f>
        <v>0</v>
      </c>
      <c r="U89" s="113">
        <v>0</v>
      </c>
      <c r="V89" s="114">
        <f>U89*$B$61</f>
        <v>0</v>
      </c>
      <c r="W89" s="113">
        <v>0</v>
      </c>
      <c r="X89" s="114">
        <f>W89*$B$61</f>
        <v>0</v>
      </c>
      <c r="Y89" s="113">
        <v>0</v>
      </c>
      <c r="Z89" s="114">
        <f>Y89*$B$61</f>
        <v>0</v>
      </c>
      <c r="AB89" s="99"/>
      <c r="AC89" s="123"/>
    </row>
    <row r="90" spans="1:29" s="1" customFormat="1" ht="15" hidden="1" customHeight="1" x14ac:dyDescent="0.15">
      <c r="A90" s="119"/>
      <c r="B90" s="182"/>
      <c r="C90" s="113">
        <v>0</v>
      </c>
      <c r="D90" s="114">
        <f t="shared" ref="D90:D91" si="37">C90*$B$54</f>
        <v>0</v>
      </c>
      <c r="E90" s="113">
        <v>0</v>
      </c>
      <c r="F90" s="117">
        <f>E90*$B$62</f>
        <v>0</v>
      </c>
      <c r="G90" s="113">
        <v>0</v>
      </c>
      <c r="H90" s="117">
        <f>G90*$B$62</f>
        <v>0</v>
      </c>
      <c r="I90" s="113">
        <v>0</v>
      </c>
      <c r="J90" s="117">
        <f>I90*$B$62</f>
        <v>0</v>
      </c>
      <c r="K90" s="113">
        <v>0</v>
      </c>
      <c r="L90" s="117">
        <f>K90*$B$62</f>
        <v>0</v>
      </c>
      <c r="M90" s="113">
        <v>0</v>
      </c>
      <c r="N90" s="117">
        <f>M90*$B$62</f>
        <v>0</v>
      </c>
      <c r="O90" s="113">
        <v>0</v>
      </c>
      <c r="P90" s="117">
        <f>O90*$B$62</f>
        <v>0</v>
      </c>
      <c r="Q90" s="113">
        <v>0</v>
      </c>
      <c r="R90" s="117">
        <f>Q90*$B$62</f>
        <v>0</v>
      </c>
      <c r="S90" s="113">
        <v>0</v>
      </c>
      <c r="T90" s="117">
        <f>S90*$B$62</f>
        <v>0</v>
      </c>
      <c r="U90" s="113">
        <v>0</v>
      </c>
      <c r="V90" s="117">
        <f>U90*$B$62</f>
        <v>0</v>
      </c>
      <c r="W90" s="113">
        <v>0</v>
      </c>
      <c r="X90" s="117">
        <f>W90*$B$62</f>
        <v>0</v>
      </c>
      <c r="Y90" s="113">
        <v>0</v>
      </c>
      <c r="Z90" s="117">
        <f>Y90*$B$62</f>
        <v>0</v>
      </c>
      <c r="AB90" s="99"/>
      <c r="AC90" s="123"/>
    </row>
    <row r="91" spans="1:29" s="1" customFormat="1" ht="15" hidden="1" customHeight="1" x14ac:dyDescent="0.15">
      <c r="A91" s="119"/>
      <c r="B91" s="182"/>
      <c r="C91" s="113">
        <v>0</v>
      </c>
      <c r="D91" s="114">
        <f t="shared" si="37"/>
        <v>0</v>
      </c>
      <c r="E91" s="113">
        <v>0</v>
      </c>
      <c r="F91" s="114">
        <f t="shared" ref="F91:F94" si="38">E91*$B$63</f>
        <v>0</v>
      </c>
      <c r="G91" s="113">
        <v>0</v>
      </c>
      <c r="H91" s="114">
        <f t="shared" ref="H91:H94" si="39">G91*$B$63</f>
        <v>0</v>
      </c>
      <c r="I91" s="113">
        <v>0</v>
      </c>
      <c r="J91" s="114">
        <f t="shared" ref="J91:J94" si="40">I91*$B$63</f>
        <v>0</v>
      </c>
      <c r="K91" s="113">
        <v>0</v>
      </c>
      <c r="L91" s="114">
        <f t="shared" ref="L91:L94" si="41">K91*$B$63</f>
        <v>0</v>
      </c>
      <c r="M91" s="113">
        <v>0</v>
      </c>
      <c r="N91" s="114">
        <f t="shared" ref="N91:N94" si="42">M91*$B$63</f>
        <v>0</v>
      </c>
      <c r="O91" s="113">
        <v>0</v>
      </c>
      <c r="P91" s="114">
        <f t="shared" ref="P91:P94" si="43">O91*$B$63</f>
        <v>0</v>
      </c>
      <c r="Q91" s="113">
        <v>0</v>
      </c>
      <c r="R91" s="114">
        <f t="shared" ref="R91:R94" si="44">Q91*$B$63</f>
        <v>0</v>
      </c>
      <c r="S91" s="113">
        <v>0</v>
      </c>
      <c r="T91" s="114">
        <f t="shared" ref="T91:T94" si="45">S91*$B$63</f>
        <v>0</v>
      </c>
      <c r="U91" s="113">
        <v>0</v>
      </c>
      <c r="V91" s="114">
        <f t="shared" ref="V91:V94" si="46">U91*$B$63</f>
        <v>0</v>
      </c>
      <c r="W91" s="113">
        <v>0</v>
      </c>
      <c r="X91" s="114">
        <f>W91*$B$63</f>
        <v>0</v>
      </c>
      <c r="Y91" s="113">
        <v>0</v>
      </c>
      <c r="Z91" s="114">
        <f>Y91*$B$63</f>
        <v>0</v>
      </c>
      <c r="AB91" s="99"/>
      <c r="AC91" s="123"/>
    </row>
    <row r="92" spans="1:29" s="1" customFormat="1" ht="15" hidden="1" customHeight="1" x14ac:dyDescent="0.15">
      <c r="A92" s="119"/>
      <c r="B92" s="182"/>
      <c r="C92" s="113">
        <v>0</v>
      </c>
      <c r="D92" s="114">
        <f t="shared" ref="D92" si="47">C92*$B$56</f>
        <v>0</v>
      </c>
      <c r="E92" s="113">
        <v>0</v>
      </c>
      <c r="F92" s="114">
        <f t="shared" si="38"/>
        <v>0</v>
      </c>
      <c r="G92" s="113">
        <v>0</v>
      </c>
      <c r="H92" s="114">
        <f t="shared" si="39"/>
        <v>0</v>
      </c>
      <c r="I92" s="113">
        <v>0</v>
      </c>
      <c r="J92" s="114">
        <f t="shared" si="40"/>
        <v>0</v>
      </c>
      <c r="K92" s="113">
        <v>0</v>
      </c>
      <c r="L92" s="114">
        <f t="shared" si="41"/>
        <v>0</v>
      </c>
      <c r="M92" s="113">
        <v>0</v>
      </c>
      <c r="N92" s="114">
        <f t="shared" si="42"/>
        <v>0</v>
      </c>
      <c r="O92" s="113">
        <v>0</v>
      </c>
      <c r="P92" s="114">
        <f t="shared" si="43"/>
        <v>0</v>
      </c>
      <c r="Q92" s="113">
        <v>0</v>
      </c>
      <c r="R92" s="114">
        <f t="shared" si="44"/>
        <v>0</v>
      </c>
      <c r="S92" s="113">
        <v>0</v>
      </c>
      <c r="T92" s="114">
        <f t="shared" si="45"/>
        <v>0</v>
      </c>
      <c r="U92" s="113">
        <v>0</v>
      </c>
      <c r="V92" s="114">
        <f t="shared" si="46"/>
        <v>0</v>
      </c>
      <c r="W92" s="113">
        <v>0</v>
      </c>
      <c r="X92" s="114">
        <f>W92*$B$63</f>
        <v>0</v>
      </c>
      <c r="Y92" s="113">
        <v>0</v>
      </c>
      <c r="Z92" s="114">
        <f>Y92*$B$63</f>
        <v>0</v>
      </c>
      <c r="AB92" s="99"/>
      <c r="AC92" s="123"/>
    </row>
    <row r="93" spans="1:29" s="1" customFormat="1" ht="15" hidden="1" customHeight="1" x14ac:dyDescent="0.15">
      <c r="A93" s="119"/>
      <c r="B93" s="182"/>
      <c r="C93" s="113">
        <v>0</v>
      </c>
      <c r="D93" s="114">
        <f t="shared" ref="D93" si="48">C93*$B$57</f>
        <v>0</v>
      </c>
      <c r="E93" s="113">
        <v>0</v>
      </c>
      <c r="F93" s="114">
        <f t="shared" si="38"/>
        <v>0</v>
      </c>
      <c r="G93" s="113">
        <v>0</v>
      </c>
      <c r="H93" s="114">
        <f t="shared" si="39"/>
        <v>0</v>
      </c>
      <c r="I93" s="113">
        <v>0</v>
      </c>
      <c r="J93" s="114">
        <f t="shared" si="40"/>
        <v>0</v>
      </c>
      <c r="K93" s="113">
        <v>0</v>
      </c>
      <c r="L93" s="114">
        <f t="shared" si="41"/>
        <v>0</v>
      </c>
      <c r="M93" s="113">
        <v>0</v>
      </c>
      <c r="N93" s="114">
        <f t="shared" si="42"/>
        <v>0</v>
      </c>
      <c r="O93" s="113">
        <v>0</v>
      </c>
      <c r="P93" s="114">
        <f t="shared" si="43"/>
        <v>0</v>
      </c>
      <c r="Q93" s="113">
        <v>0</v>
      </c>
      <c r="R93" s="114">
        <f t="shared" si="44"/>
        <v>0</v>
      </c>
      <c r="S93" s="113">
        <v>0</v>
      </c>
      <c r="T93" s="114">
        <f t="shared" si="45"/>
        <v>0</v>
      </c>
      <c r="U93" s="113">
        <v>0</v>
      </c>
      <c r="V93" s="114">
        <f t="shared" si="46"/>
        <v>0</v>
      </c>
      <c r="W93" s="113">
        <v>0</v>
      </c>
      <c r="X93" s="114">
        <f>W93*$B$63</f>
        <v>0</v>
      </c>
      <c r="Y93" s="113">
        <v>0</v>
      </c>
      <c r="Z93" s="114">
        <f>Y93*$B$63</f>
        <v>0</v>
      </c>
      <c r="AB93" s="99"/>
      <c r="AC93" s="123"/>
    </row>
    <row r="94" spans="1:29" s="1" customFormat="1" ht="15" hidden="1" customHeight="1" x14ac:dyDescent="0.15">
      <c r="A94" s="112"/>
      <c r="B94" s="182"/>
      <c r="C94" s="113">
        <v>0</v>
      </c>
      <c r="D94" s="114">
        <f t="shared" ref="D94" si="49">C94*$B$58</f>
        <v>0</v>
      </c>
      <c r="E94" s="113">
        <v>0</v>
      </c>
      <c r="F94" s="114">
        <f t="shared" si="38"/>
        <v>0</v>
      </c>
      <c r="G94" s="113">
        <v>0</v>
      </c>
      <c r="H94" s="114">
        <f t="shared" si="39"/>
        <v>0</v>
      </c>
      <c r="I94" s="113">
        <v>0</v>
      </c>
      <c r="J94" s="114">
        <f t="shared" si="40"/>
        <v>0</v>
      </c>
      <c r="K94" s="113">
        <v>0</v>
      </c>
      <c r="L94" s="114">
        <f t="shared" si="41"/>
        <v>0</v>
      </c>
      <c r="M94" s="113">
        <v>0</v>
      </c>
      <c r="N94" s="114">
        <f t="shared" si="42"/>
        <v>0</v>
      </c>
      <c r="O94" s="113">
        <v>0</v>
      </c>
      <c r="P94" s="114">
        <f t="shared" si="43"/>
        <v>0</v>
      </c>
      <c r="Q94" s="113">
        <v>0</v>
      </c>
      <c r="R94" s="114">
        <f t="shared" si="44"/>
        <v>0</v>
      </c>
      <c r="S94" s="113">
        <v>0</v>
      </c>
      <c r="T94" s="114">
        <f t="shared" si="45"/>
        <v>0</v>
      </c>
      <c r="U94" s="113">
        <v>0</v>
      </c>
      <c r="V94" s="114">
        <f t="shared" si="46"/>
        <v>0</v>
      </c>
      <c r="W94" s="113">
        <v>0</v>
      </c>
      <c r="X94" s="114">
        <f>W94*$B$63</f>
        <v>0</v>
      </c>
      <c r="Y94" s="113">
        <v>0</v>
      </c>
      <c r="Z94" s="114">
        <f>Y94*$B$63</f>
        <v>0</v>
      </c>
      <c r="AB94" s="99"/>
      <c r="AC94" s="123"/>
    </row>
    <row r="95" spans="1:29" s="1" customFormat="1" ht="30" hidden="1" customHeight="1" x14ac:dyDescent="0.15">
      <c r="A95" s="112" t="s">
        <v>45</v>
      </c>
      <c r="B95" s="182"/>
      <c r="C95" s="113">
        <v>0</v>
      </c>
      <c r="D95" s="114">
        <f>C95*$B$68</f>
        <v>0</v>
      </c>
      <c r="E95" s="113">
        <v>0</v>
      </c>
      <c r="F95" s="114">
        <f>E95*$B$63</f>
        <v>0</v>
      </c>
      <c r="G95" s="113">
        <v>0</v>
      </c>
      <c r="H95" s="114">
        <f>G95*$B$63</f>
        <v>0</v>
      </c>
      <c r="I95" s="113">
        <v>0</v>
      </c>
      <c r="J95" s="114">
        <f>I95*$B$63</f>
        <v>0</v>
      </c>
      <c r="K95" s="113">
        <v>0</v>
      </c>
      <c r="L95" s="114">
        <f>K95*$B$63</f>
        <v>0</v>
      </c>
      <c r="M95" s="113">
        <v>0</v>
      </c>
      <c r="N95" s="114">
        <f>M95*$B$63</f>
        <v>0</v>
      </c>
      <c r="O95" s="113">
        <v>0</v>
      </c>
      <c r="P95" s="114">
        <f>O95*$B$63</f>
        <v>0</v>
      </c>
      <c r="Q95" s="113">
        <v>0</v>
      </c>
      <c r="R95" s="114">
        <f>Q95*$B$63</f>
        <v>0</v>
      </c>
      <c r="S95" s="113">
        <v>0</v>
      </c>
      <c r="T95" s="114">
        <f>S95*$B$63</f>
        <v>0</v>
      </c>
      <c r="U95" s="113">
        <v>0</v>
      </c>
      <c r="V95" s="114">
        <f>U95*$B$63</f>
        <v>0</v>
      </c>
      <c r="W95" s="113">
        <v>0</v>
      </c>
      <c r="X95" s="114">
        <f>W95*B95</f>
        <v>0</v>
      </c>
      <c r="Y95" s="113"/>
      <c r="Z95" s="114">
        <f>Y95*B95</f>
        <v>0</v>
      </c>
      <c r="AB95" s="99"/>
      <c r="AC95" s="123"/>
    </row>
    <row r="96" spans="1:29" s="1" customFormat="1" ht="17.25" customHeight="1" thickBot="1" x14ac:dyDescent="0.2">
      <c r="A96" s="112"/>
      <c r="B96" s="182"/>
      <c r="C96" s="113">
        <v>0</v>
      </c>
      <c r="D96" s="114">
        <f>C96*$B$68</f>
        <v>0</v>
      </c>
      <c r="E96" s="113">
        <v>0</v>
      </c>
      <c r="F96" s="114">
        <f>E96*$B$63</f>
        <v>0</v>
      </c>
      <c r="G96" s="113">
        <v>0</v>
      </c>
      <c r="H96" s="114">
        <f>G96*$B$63</f>
        <v>0</v>
      </c>
      <c r="I96" s="113">
        <v>0</v>
      </c>
      <c r="J96" s="114">
        <f>I96*$B$63</f>
        <v>0</v>
      </c>
      <c r="K96" s="113">
        <v>0</v>
      </c>
      <c r="L96" s="114">
        <f>K96*$B$63</f>
        <v>0</v>
      </c>
      <c r="M96" s="113">
        <v>0</v>
      </c>
      <c r="N96" s="114">
        <f>M96*$B$63</f>
        <v>0</v>
      </c>
      <c r="O96" s="113">
        <v>0</v>
      </c>
      <c r="P96" s="114">
        <f>O96*$B$63</f>
        <v>0</v>
      </c>
      <c r="Q96" s="113">
        <v>0</v>
      </c>
      <c r="R96" s="114">
        <f>Q96*$B$63</f>
        <v>0</v>
      </c>
      <c r="S96" s="113">
        <v>0</v>
      </c>
      <c r="T96" s="114">
        <f>S96*$B$63</f>
        <v>0</v>
      </c>
      <c r="U96" s="113">
        <v>0</v>
      </c>
      <c r="V96" s="114">
        <f>U96*$B$63</f>
        <v>0</v>
      </c>
      <c r="W96" s="113"/>
      <c r="X96" s="114">
        <f>W96*B96</f>
        <v>0</v>
      </c>
      <c r="Y96" s="113">
        <v>0</v>
      </c>
      <c r="Z96" s="114">
        <f>Y96*B96</f>
        <v>0</v>
      </c>
      <c r="AB96" s="99"/>
      <c r="AC96" s="123"/>
    </row>
    <row r="97" spans="1:28" ht="14" x14ac:dyDescent="0.15">
      <c r="A97" s="134" t="s">
        <v>13</v>
      </c>
      <c r="B97" s="135"/>
      <c r="C97" s="120"/>
      <c r="D97" s="121">
        <f>SUM(D28:D96)</f>
        <v>7580</v>
      </c>
      <c r="E97" s="120"/>
      <c r="F97" s="121" t="e">
        <f>SUM(F26:F72)</f>
        <v>#REF!</v>
      </c>
      <c r="G97" s="120"/>
      <c r="H97" s="121" t="e">
        <f>SUM(H26:H72)</f>
        <v>#REF!</v>
      </c>
      <c r="I97" s="120"/>
      <c r="J97" s="121" t="e">
        <f>SUM(J26:J72)</f>
        <v>#REF!</v>
      </c>
      <c r="K97" s="120"/>
      <c r="L97" s="121" t="e">
        <f>SUM(L26:L72)</f>
        <v>#REF!</v>
      </c>
      <c r="M97" s="120"/>
      <c r="N97" s="121" t="e">
        <f>SUM(N26:N72)</f>
        <v>#REF!</v>
      </c>
      <c r="O97" s="120"/>
      <c r="P97" s="121" t="e">
        <f>SUM(P26:P72)</f>
        <v>#REF!</v>
      </c>
      <c r="Q97" s="120"/>
      <c r="R97" s="121" t="e">
        <f>SUM(R26:R72)</f>
        <v>#REF!</v>
      </c>
      <c r="S97" s="120"/>
      <c r="T97" s="121" t="e">
        <f>SUM(T26:T72)</f>
        <v>#REF!</v>
      </c>
      <c r="U97" s="120"/>
      <c r="V97" s="121" t="e">
        <f>SUM(V26:V72)</f>
        <v>#REF!</v>
      </c>
      <c r="W97" s="120"/>
      <c r="X97" s="121">
        <f>SUM(X28:X96)</f>
        <v>0</v>
      </c>
      <c r="Y97" s="120"/>
      <c r="Z97" s="121">
        <f>SUM(Z28:Z96)</f>
        <v>0</v>
      </c>
      <c r="AB97" s="183"/>
    </row>
    <row r="98" spans="1:28" ht="14" x14ac:dyDescent="0.15">
      <c r="A98" s="136" t="s">
        <v>14</v>
      </c>
      <c r="B98" s="132"/>
      <c r="C98" s="113"/>
      <c r="D98" s="114">
        <f>D97+D25</f>
        <v>7827.1951849999996</v>
      </c>
      <c r="E98" s="113"/>
      <c r="F98" s="114" t="e">
        <f>SUM(F97,F25)</f>
        <v>#REF!</v>
      </c>
      <c r="G98" s="113"/>
      <c r="H98" s="114" t="e">
        <f>SUM(H97,H25)</f>
        <v>#REF!</v>
      </c>
      <c r="I98" s="113"/>
      <c r="J98" s="114" t="e">
        <f>SUM(J97,J25)</f>
        <v>#REF!</v>
      </c>
      <c r="K98" s="113"/>
      <c r="L98" s="114" t="e">
        <f>SUM(L97,L25)</f>
        <v>#REF!</v>
      </c>
      <c r="M98" s="113"/>
      <c r="N98" s="114" t="e">
        <f>SUM(N97,N25)</f>
        <v>#REF!</v>
      </c>
      <c r="O98" s="113"/>
      <c r="P98" s="114" t="e">
        <f>SUM(P97,P25)</f>
        <v>#REF!</v>
      </c>
      <c r="Q98" s="113"/>
      <c r="R98" s="114" t="e">
        <f>SUM(R97,R25)</f>
        <v>#REF!</v>
      </c>
      <c r="S98" s="113"/>
      <c r="T98" s="114" t="e">
        <f>SUM(T97,T25)</f>
        <v>#REF!</v>
      </c>
      <c r="U98" s="113"/>
      <c r="V98" s="114" t="e">
        <f>SUM(V97,V25)</f>
        <v>#REF!</v>
      </c>
      <c r="W98" s="114" t="s">
        <v>0</v>
      </c>
      <c r="X98" s="114">
        <f>X97+X25</f>
        <v>0</v>
      </c>
      <c r="Y98" s="114" t="s">
        <v>0</v>
      </c>
      <c r="Z98" s="114">
        <f>Z97+Z25</f>
        <v>32.214399999999998</v>
      </c>
      <c r="AB98" s="183"/>
    </row>
    <row r="99" spans="1:28" ht="15" thickBot="1" x14ac:dyDescent="0.2">
      <c r="A99" s="137" t="s">
        <v>15</v>
      </c>
      <c r="B99" s="138">
        <v>9.7000000000000003E-2</v>
      </c>
      <c r="C99" s="126"/>
      <c r="D99" s="127">
        <f>D98*$B$99</f>
        <v>759.23793294500001</v>
      </c>
      <c r="E99" s="126"/>
      <c r="F99" s="127" t="e">
        <f>F98*$B$99</f>
        <v>#REF!</v>
      </c>
      <c r="G99" s="126"/>
      <c r="H99" s="127" t="e">
        <f>H98*$B$99</f>
        <v>#REF!</v>
      </c>
      <c r="I99" s="126"/>
      <c r="J99" s="127" t="e">
        <f>J98*$B$99</f>
        <v>#REF!</v>
      </c>
      <c r="K99" s="126"/>
      <c r="L99" s="127" t="e">
        <f>L98*$B$99</f>
        <v>#REF!</v>
      </c>
      <c r="M99" s="126"/>
      <c r="N99" s="127" t="e">
        <f>N98*$B$99</f>
        <v>#REF!</v>
      </c>
      <c r="O99" s="126"/>
      <c r="P99" s="127" t="e">
        <f>P98*$B$99</f>
        <v>#REF!</v>
      </c>
      <c r="Q99" s="126"/>
      <c r="R99" s="127" t="e">
        <f>R98*$B$99</f>
        <v>#REF!</v>
      </c>
      <c r="S99" s="126"/>
      <c r="T99" s="127" t="e">
        <f>T98*$B$99</f>
        <v>#REF!</v>
      </c>
      <c r="U99" s="126"/>
      <c r="V99" s="127" t="e">
        <f>V98*$B$99</f>
        <v>#REF!</v>
      </c>
      <c r="W99" s="126"/>
      <c r="X99" s="127">
        <f>X98*$B$99</f>
        <v>0</v>
      </c>
      <c r="Y99" s="126"/>
      <c r="Z99" s="127">
        <f>Z98*$B$99</f>
        <v>3.1247967999999999</v>
      </c>
      <c r="AB99" s="183"/>
    </row>
    <row r="100" spans="1:28" ht="14" x14ac:dyDescent="0.15">
      <c r="A100" s="134" t="s">
        <v>16</v>
      </c>
      <c r="B100" s="151"/>
      <c r="C100" s="120"/>
      <c r="D100" s="121">
        <f>D98+D99</f>
        <v>8586.433117945</v>
      </c>
      <c r="E100" s="120"/>
      <c r="F100" s="121" t="e">
        <f>F98+F99</f>
        <v>#REF!</v>
      </c>
      <c r="G100" s="120"/>
      <c r="H100" s="121" t="e">
        <f>H98+H99</f>
        <v>#REF!</v>
      </c>
      <c r="I100" s="120"/>
      <c r="J100" s="121" t="e">
        <f>J98+J99</f>
        <v>#REF!</v>
      </c>
      <c r="K100" s="120"/>
      <c r="L100" s="121" t="e">
        <f>L98+L99</f>
        <v>#REF!</v>
      </c>
      <c r="M100" s="120"/>
      <c r="N100" s="121" t="e">
        <f>N98+N99</f>
        <v>#REF!</v>
      </c>
      <c r="O100" s="120"/>
      <c r="P100" s="121" t="e">
        <f>P98+P99</f>
        <v>#REF!</v>
      </c>
      <c r="Q100" s="120"/>
      <c r="R100" s="121" t="e">
        <f>R98+R99</f>
        <v>#REF!</v>
      </c>
      <c r="S100" s="120"/>
      <c r="T100" s="121" t="e">
        <f>T98+T99</f>
        <v>#REF!</v>
      </c>
      <c r="U100" s="120"/>
      <c r="V100" s="121" t="e">
        <f>V98+V99</f>
        <v>#REF!</v>
      </c>
      <c r="W100" s="120"/>
      <c r="X100" s="121">
        <f>X98+X99</f>
        <v>0</v>
      </c>
      <c r="Y100" s="120"/>
      <c r="Z100" s="121">
        <f>Z98+Z99</f>
        <v>35.339196799999996</v>
      </c>
      <c r="AA100" s="2"/>
      <c r="AB100" s="183"/>
    </row>
    <row r="101" spans="1:28" ht="15.75" hidden="1" customHeight="1" thickBot="1" x14ac:dyDescent="0.2">
      <c r="A101" s="152"/>
      <c r="B101" s="139"/>
      <c r="C101" s="140"/>
      <c r="D101" s="141"/>
      <c r="E101" s="140"/>
      <c r="F101" s="141"/>
      <c r="G101" s="140"/>
      <c r="H101" s="141"/>
      <c r="I101" s="140"/>
      <c r="J101" s="141"/>
      <c r="K101" s="140"/>
      <c r="L101" s="141"/>
      <c r="M101" s="140"/>
      <c r="N101" s="141"/>
      <c r="O101" s="140"/>
      <c r="P101" s="141"/>
      <c r="Q101" s="140"/>
      <c r="R101" s="141"/>
      <c r="S101" s="140"/>
      <c r="T101" s="141"/>
      <c r="U101" s="140"/>
      <c r="V101" s="141"/>
      <c r="W101" s="140"/>
      <c r="X101" s="141"/>
      <c r="Y101" s="140"/>
      <c r="Z101" s="141"/>
      <c r="AB101" s="183"/>
    </row>
    <row r="102" spans="1:28" ht="15" hidden="1" customHeight="1" x14ac:dyDescent="0.15">
      <c r="A102" s="136" t="s">
        <v>34</v>
      </c>
      <c r="B102" s="133">
        <v>0</v>
      </c>
      <c r="C102" s="113"/>
      <c r="D102" s="114">
        <f>D100*$B$102</f>
        <v>0</v>
      </c>
      <c r="E102" s="113"/>
      <c r="F102" s="114" t="e">
        <f>F100*$B$102</f>
        <v>#REF!</v>
      </c>
      <c r="G102" s="113"/>
      <c r="H102" s="114" t="e">
        <f>H100*$B$102</f>
        <v>#REF!</v>
      </c>
      <c r="I102" s="113"/>
      <c r="J102" s="114" t="e">
        <f>J100*$B$102</f>
        <v>#REF!</v>
      </c>
      <c r="K102" s="113"/>
      <c r="L102" s="114" t="e">
        <f>L100*$B$102</f>
        <v>#REF!</v>
      </c>
      <c r="M102" s="113"/>
      <c r="N102" s="114" t="e">
        <f>N100*$B$102</f>
        <v>#REF!</v>
      </c>
      <c r="O102" s="113"/>
      <c r="P102" s="114" t="e">
        <f>P100*$B$102</f>
        <v>#REF!</v>
      </c>
      <c r="Q102" s="113"/>
      <c r="R102" s="114" t="e">
        <f>R100*$B$102</f>
        <v>#REF!</v>
      </c>
      <c r="S102" s="113"/>
      <c r="T102" s="114" t="e">
        <f>T100*$B$102</f>
        <v>#REF!</v>
      </c>
      <c r="U102" s="113"/>
      <c r="V102" s="114" t="e">
        <f>V100*$B$102</f>
        <v>#REF!</v>
      </c>
      <c r="W102" s="113"/>
      <c r="X102" s="114">
        <f>X100*$B$102</f>
        <v>0</v>
      </c>
      <c r="Y102" s="113"/>
      <c r="Z102" s="114">
        <f>Z100*$B$102</f>
        <v>0</v>
      </c>
      <c r="AB102" s="183"/>
    </row>
    <row r="103" spans="1:28" ht="15" hidden="1" customHeight="1" x14ac:dyDescent="0.15">
      <c r="A103" s="136"/>
      <c r="B103" s="132"/>
      <c r="C103" s="113"/>
      <c r="D103" s="114"/>
      <c r="E103" s="113"/>
      <c r="F103" s="114"/>
      <c r="G103" s="113"/>
      <c r="H103" s="114"/>
      <c r="I103" s="113"/>
      <c r="J103" s="114"/>
      <c r="K103" s="113"/>
      <c r="L103" s="114"/>
      <c r="M103" s="113"/>
      <c r="N103" s="114"/>
      <c r="O103" s="113"/>
      <c r="P103" s="114"/>
      <c r="Q103" s="113"/>
      <c r="R103" s="114"/>
      <c r="S103" s="113"/>
      <c r="T103" s="114"/>
      <c r="U103" s="113"/>
      <c r="V103" s="114"/>
      <c r="W103" s="113"/>
      <c r="X103" s="114"/>
      <c r="Y103" s="113"/>
      <c r="Z103" s="114"/>
      <c r="AB103" s="183"/>
    </row>
    <row r="104" spans="1:28" ht="15.75" hidden="1" customHeight="1" thickBot="1" x14ac:dyDescent="0.2">
      <c r="A104" s="136" t="s">
        <v>17</v>
      </c>
      <c r="B104" s="132" t="s">
        <v>0</v>
      </c>
      <c r="C104" s="113"/>
      <c r="D104" s="142">
        <f>SUM(D100:D102)</f>
        <v>8586.433117945</v>
      </c>
      <c r="E104" s="143"/>
      <c r="F104" s="142" t="e">
        <f>SUM(F100:F102)</f>
        <v>#REF!</v>
      </c>
      <c r="G104" s="143"/>
      <c r="H104" s="142" t="e">
        <f>SUM(H100:H102)</f>
        <v>#REF!</v>
      </c>
      <c r="I104" s="143"/>
      <c r="J104" s="142" t="e">
        <f>SUM(J100:J102)</f>
        <v>#REF!</v>
      </c>
      <c r="K104" s="143"/>
      <c r="L104" s="142" t="e">
        <f>SUM(L100:L102)</f>
        <v>#REF!</v>
      </c>
      <c r="M104" s="143"/>
      <c r="N104" s="142" t="e">
        <f>SUM(N100:N102)</f>
        <v>#REF!</v>
      </c>
      <c r="O104" s="143"/>
      <c r="P104" s="142" t="e">
        <f>SUM(P100:P102)</f>
        <v>#REF!</v>
      </c>
      <c r="Q104" s="143"/>
      <c r="R104" s="142" t="e">
        <f>SUM(R100:R102)</f>
        <v>#REF!</v>
      </c>
      <c r="S104" s="143"/>
      <c r="T104" s="142" t="e">
        <f>SUM(T100:T102)</f>
        <v>#REF!</v>
      </c>
      <c r="U104" s="143"/>
      <c r="V104" s="142" t="e">
        <f>SUM(V100:V102)</f>
        <v>#REF!</v>
      </c>
      <c r="W104" s="143"/>
      <c r="X104" s="142">
        <f>SUM(X100:X102)</f>
        <v>0</v>
      </c>
      <c r="Y104" s="143"/>
      <c r="Z104" s="142">
        <f>SUM(Z100:Z102)</f>
        <v>35.339196799999996</v>
      </c>
      <c r="AB104" s="183"/>
    </row>
    <row r="105" spans="1:28" ht="15.75" hidden="1" customHeight="1" thickBot="1" x14ac:dyDescent="0.2">
      <c r="A105" s="153"/>
      <c r="B105" s="144"/>
      <c r="C105" s="144"/>
      <c r="D105" s="145"/>
      <c r="E105" s="144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4"/>
      <c r="X105" s="145"/>
      <c r="Y105" s="144"/>
      <c r="Z105" s="145"/>
      <c r="AB105" s="183"/>
    </row>
    <row r="106" spans="1:28" ht="15" hidden="1" customHeight="1" x14ac:dyDescent="0.15">
      <c r="A106" s="153" t="s">
        <v>35</v>
      </c>
      <c r="B106" s="147">
        <v>0</v>
      </c>
      <c r="C106" s="144"/>
      <c r="D106" s="145">
        <f>D104*$B$106</f>
        <v>0</v>
      </c>
      <c r="E106" s="144"/>
      <c r="F106" s="145" t="e">
        <f>F104*$B$106</f>
        <v>#REF!</v>
      </c>
      <c r="G106" s="146"/>
      <c r="H106" s="145" t="e">
        <f>H104*$B$106</f>
        <v>#REF!</v>
      </c>
      <c r="I106" s="146"/>
      <c r="J106" s="145" t="e">
        <f>J104*$B$106</f>
        <v>#REF!</v>
      </c>
      <c r="K106" s="146"/>
      <c r="L106" s="145" t="e">
        <f>L104*$B$106</f>
        <v>#REF!</v>
      </c>
      <c r="M106" s="146"/>
      <c r="N106" s="145" t="e">
        <f>N104*$B$106</f>
        <v>#REF!</v>
      </c>
      <c r="O106" s="146"/>
      <c r="P106" s="145" t="e">
        <f>P104*$B$106</f>
        <v>#REF!</v>
      </c>
      <c r="Q106" s="146"/>
      <c r="R106" s="145" t="e">
        <f>R104*$B$106</f>
        <v>#REF!</v>
      </c>
      <c r="S106" s="146"/>
      <c r="T106" s="145" t="e">
        <f>T104*$B$106</f>
        <v>#REF!</v>
      </c>
      <c r="U106" s="146"/>
      <c r="V106" s="145" t="e">
        <f>V104*$B$106</f>
        <v>#REF!</v>
      </c>
      <c r="W106" s="144"/>
      <c r="X106" s="145">
        <f>X104*$B$106</f>
        <v>0</v>
      </c>
      <c r="Y106" s="144"/>
      <c r="Z106" s="145">
        <f>Z104*$B$106</f>
        <v>0</v>
      </c>
      <c r="AB106" s="183"/>
    </row>
    <row r="107" spans="1:28" ht="15" hidden="1" customHeight="1" x14ac:dyDescent="0.15">
      <c r="A107" s="153"/>
      <c r="B107" s="144"/>
      <c r="C107" s="144"/>
      <c r="D107" s="145"/>
      <c r="E107" s="144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4"/>
      <c r="X107" s="145"/>
      <c r="Y107" s="144"/>
      <c r="Z107" s="145"/>
      <c r="AB107" s="183"/>
    </row>
    <row r="108" spans="1:28" ht="15" hidden="1" customHeight="1" x14ac:dyDescent="0.15">
      <c r="A108" s="154" t="s">
        <v>20</v>
      </c>
      <c r="B108" s="147">
        <v>0</v>
      </c>
      <c r="C108" s="144"/>
      <c r="D108" s="145">
        <f>D104*$B$108</f>
        <v>0</v>
      </c>
      <c r="E108" s="149"/>
      <c r="F108" s="145" t="e">
        <f>F104*$B$108</f>
        <v>#REF!</v>
      </c>
      <c r="G108" s="149"/>
      <c r="H108" s="145" t="e">
        <f>H104*$B$108</f>
        <v>#REF!</v>
      </c>
      <c r="I108" s="149"/>
      <c r="J108" s="145" t="e">
        <f>J104*$B$108</f>
        <v>#REF!</v>
      </c>
      <c r="K108" s="149"/>
      <c r="L108" s="145" t="e">
        <f>L104*$B$108</f>
        <v>#REF!</v>
      </c>
      <c r="M108" s="149"/>
      <c r="N108" s="145" t="e">
        <f>N104*$B$108</f>
        <v>#REF!</v>
      </c>
      <c r="O108" s="149"/>
      <c r="P108" s="145" t="e">
        <f>P104*$B$108</f>
        <v>#REF!</v>
      </c>
      <c r="Q108" s="149"/>
      <c r="R108" s="145" t="e">
        <f>R104*$B$108</f>
        <v>#REF!</v>
      </c>
      <c r="S108" s="149"/>
      <c r="T108" s="145" t="e">
        <f>T104*$B$108</f>
        <v>#REF!</v>
      </c>
      <c r="U108" s="145"/>
      <c r="V108" s="145" t="e">
        <f t="shared" ref="V108" si="50">V104*$B$108</f>
        <v>#REF!</v>
      </c>
      <c r="W108" s="149"/>
      <c r="X108" s="145">
        <f>X104*$B$108</f>
        <v>0</v>
      </c>
      <c r="Y108" s="149"/>
      <c r="Z108" s="145">
        <f>Z104*$B$108</f>
        <v>0</v>
      </c>
      <c r="AB108" s="183"/>
    </row>
    <row r="109" spans="1:28" ht="15" hidden="1" customHeight="1" x14ac:dyDescent="0.15">
      <c r="A109" s="154"/>
      <c r="B109" s="148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B109" s="183"/>
    </row>
    <row r="110" spans="1:28" ht="14" x14ac:dyDescent="0.15">
      <c r="A110" s="155" t="s">
        <v>31</v>
      </c>
      <c r="B110" s="150">
        <v>0.1</v>
      </c>
      <c r="C110" s="144"/>
      <c r="D110" s="170">
        <f>D100*B110</f>
        <v>858.64331179450005</v>
      </c>
      <c r="E110" s="171"/>
      <c r="F110" s="170" t="e">
        <f>SUM(F108,F106,F104,)</f>
        <v>#REF!</v>
      </c>
      <c r="G110" s="171"/>
      <c r="H110" s="170" t="e">
        <f>SUM(H108,H106,H104,)</f>
        <v>#REF!</v>
      </c>
      <c r="I110" s="171"/>
      <c r="J110" s="170" t="e">
        <f>SUM(J108,J106,J104,)</f>
        <v>#REF!</v>
      </c>
      <c r="K110" s="171"/>
      <c r="L110" s="170" t="e">
        <f>SUM(L108,L106,L104,)</f>
        <v>#REF!</v>
      </c>
      <c r="M110" s="171"/>
      <c r="N110" s="170" t="e">
        <f>SUM(N108,N106,N104,)</f>
        <v>#REF!</v>
      </c>
      <c r="O110" s="171"/>
      <c r="P110" s="170" t="e">
        <f>SUM(P108,P106,P104,)</f>
        <v>#REF!</v>
      </c>
      <c r="Q110" s="171"/>
      <c r="R110" s="170" t="e">
        <f>SUM(R108,R106,R104,)</f>
        <v>#REF!</v>
      </c>
      <c r="S110" s="171"/>
      <c r="T110" s="170" t="e">
        <f>SUM(T108,T106,T104,)</f>
        <v>#REF!</v>
      </c>
      <c r="U110" s="170"/>
      <c r="V110" s="170" t="e">
        <f>SUM(V108,V106,V104,)</f>
        <v>#REF!</v>
      </c>
      <c r="W110" s="171"/>
      <c r="X110" s="170">
        <f>X100*B110</f>
        <v>0</v>
      </c>
      <c r="Y110" s="171"/>
      <c r="Z110" s="170">
        <f>Z100*B110</f>
        <v>3.5339196799999999</v>
      </c>
      <c r="AB110" s="183"/>
    </row>
    <row r="111" spans="1:28" ht="15" thickBot="1" x14ac:dyDescent="0.2">
      <c r="A111" s="156" t="s">
        <v>32</v>
      </c>
      <c r="B111" s="157"/>
      <c r="C111" s="157"/>
      <c r="D111" s="158">
        <f>D110+D100</f>
        <v>9445.0764297394999</v>
      </c>
      <c r="E111" s="157"/>
      <c r="F111" s="157"/>
      <c r="G111" s="157"/>
      <c r="H111" s="157"/>
      <c r="I111" s="157"/>
      <c r="J111" s="157"/>
      <c r="K111" s="157"/>
      <c r="L111" s="157"/>
      <c r="M111" s="158"/>
      <c r="N111" s="157"/>
      <c r="O111" s="157"/>
      <c r="P111" s="157"/>
      <c r="Q111" s="157"/>
      <c r="R111" s="157"/>
      <c r="S111" s="157"/>
      <c r="T111" s="157"/>
      <c r="U111" s="157"/>
      <c r="V111" s="157"/>
      <c r="W111" s="159"/>
      <c r="X111" s="158">
        <f>X110+X100</f>
        <v>0</v>
      </c>
      <c r="Y111" s="159"/>
      <c r="Z111" s="158">
        <f>Z110+Z100</f>
        <v>38.873116479999993</v>
      </c>
      <c r="AB111" s="183"/>
    </row>
    <row r="112" spans="1:28" ht="14" x14ac:dyDescent="0.15">
      <c r="A112" s="160" t="s">
        <v>30</v>
      </c>
      <c r="B112" s="161"/>
      <c r="C112" s="162"/>
      <c r="D112" s="163">
        <f>1*D115</f>
        <v>0</v>
      </c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3"/>
      <c r="S112" s="163"/>
      <c r="T112" s="163"/>
      <c r="U112" s="163"/>
      <c r="V112" s="163"/>
      <c r="W112" s="162"/>
      <c r="X112" s="163">
        <f>X111*X115</f>
        <v>0</v>
      </c>
      <c r="Y112" s="162"/>
      <c r="Z112" s="163">
        <f>Z111*Z115</f>
        <v>0.38873116479999992</v>
      </c>
      <c r="AB112" s="183"/>
    </row>
    <row r="113" spans="1:29" ht="15" thickBot="1" x14ac:dyDescent="0.2">
      <c r="A113" s="164" t="s">
        <v>33</v>
      </c>
      <c r="B113" s="165"/>
      <c r="C113" s="166"/>
      <c r="D113" s="167">
        <f>D112+D111</f>
        <v>9445.0764297394999</v>
      </c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7"/>
      <c r="S113" s="167"/>
      <c r="T113" s="167"/>
      <c r="U113" s="167"/>
      <c r="V113" s="167"/>
      <c r="W113" s="166"/>
      <c r="X113" s="167">
        <f>X112+X111</f>
        <v>0</v>
      </c>
      <c r="Y113" s="167"/>
      <c r="Z113" s="167">
        <f t="shared" ref="Z113" si="51">Z112+Z111</f>
        <v>39.261847644799992</v>
      </c>
      <c r="AB113" s="183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99"/>
    </row>
    <row r="115" spans="1:29" ht="14" x14ac:dyDescent="0.15">
      <c r="A115" s="98"/>
      <c r="B115" s="3"/>
      <c r="C115" s="98"/>
      <c r="D115" s="100"/>
      <c r="E115" s="98"/>
      <c r="F115" s="98"/>
      <c r="G115" s="98"/>
      <c r="H115" s="98"/>
      <c r="I115" s="98"/>
      <c r="J115" s="9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98"/>
      <c r="X115" s="100"/>
      <c r="Y115" s="98"/>
      <c r="Z115" s="100">
        <v>0.01</v>
      </c>
      <c r="AB115" s="183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99"/>
      <c r="AC116" s="125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02"/>
    </row>
    <row r="118" spans="1:29" ht="14" x14ac:dyDescent="0.15">
      <c r="A118" s="3"/>
      <c r="B118" s="184"/>
      <c r="C118" s="3"/>
      <c r="D118" s="1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99"/>
    </row>
    <row r="119" spans="1:29" ht="14" x14ac:dyDescent="0.15">
      <c r="A119" s="3"/>
      <c r="B119" s="184"/>
      <c r="C119" s="3"/>
      <c r="D119" s="1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24"/>
    </row>
    <row r="120" spans="1:29" ht="14" x14ac:dyDescent="0.15">
      <c r="A120" s="3"/>
      <c r="B120" s="184"/>
      <c r="C120" s="3"/>
      <c r="D120" s="1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24"/>
    </row>
    <row r="121" spans="1:29" ht="14" x14ac:dyDescent="0.15">
      <c r="A121" s="3"/>
      <c r="B121" s="184"/>
      <c r="C121" s="3"/>
      <c r="D121" s="1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184"/>
      <c r="C122" s="3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184"/>
      <c r="C123" s="3"/>
      <c r="D123" s="1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184"/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184"/>
      <c r="C125" s="3"/>
      <c r="D125" s="1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22"/>
      <c r="D126" s="122"/>
    </row>
    <row r="127" spans="1:29" x14ac:dyDescent="0.15">
      <c r="B127" s="122"/>
      <c r="D127" s="122"/>
    </row>
    <row r="128" spans="1:29" x14ac:dyDescent="0.15">
      <c r="D128" s="122"/>
    </row>
    <row r="129" spans="4:26" x14ac:dyDescent="0.15">
      <c r="D129" s="122"/>
    </row>
    <row r="130" spans="4:26" x14ac:dyDescent="0.15">
      <c r="D130" s="122"/>
    </row>
    <row r="131" spans="4:26" x14ac:dyDescent="0.15">
      <c r="D131" s="122"/>
      <c r="Z131" s="99"/>
    </row>
    <row r="132" spans="4:26" x14ac:dyDescent="0.15">
      <c r="D132" s="122"/>
    </row>
    <row r="133" spans="4:26" x14ac:dyDescent="0.15">
      <c r="D133" s="122"/>
    </row>
    <row r="134" spans="4:26" x14ac:dyDescent="0.15">
      <c r="D134" s="122"/>
    </row>
    <row r="135" spans="4:26" x14ac:dyDescent="0.15">
      <c r="D135" s="122"/>
    </row>
    <row r="136" spans="4:26" x14ac:dyDescent="0.15">
      <c r="D136" s="122"/>
    </row>
    <row r="137" spans="4:26" x14ac:dyDescent="0.15">
      <c r="D137" s="122"/>
    </row>
    <row r="138" spans="4:26" x14ac:dyDescent="0.15">
      <c r="D138" s="122"/>
    </row>
    <row r="139" spans="4:26" x14ac:dyDescent="0.15">
      <c r="D139" s="122"/>
    </row>
    <row r="140" spans="4:26" x14ac:dyDescent="0.15">
      <c r="D140" s="122"/>
    </row>
    <row r="141" spans="4:26" x14ac:dyDescent="0.15">
      <c r="D141" s="122"/>
    </row>
    <row r="142" spans="4:26" x14ac:dyDescent="0.15">
      <c r="D142" s="122"/>
    </row>
    <row r="143" spans="4:26" x14ac:dyDescent="0.15">
      <c r="D143" s="122"/>
    </row>
    <row r="144" spans="4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  <row r="149" spans="4:4" x14ac:dyDescent="0.15">
      <c r="D149" s="122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F869-EFC1-414D-9C52-19E3DE80F231}">
  <sheetPr>
    <pageSetUpPr fitToPage="1"/>
  </sheetPr>
  <dimension ref="A1:AE149"/>
  <sheetViews>
    <sheetView topLeftCell="A11" workbookViewId="0">
      <selection activeCell="B41" sqref="B41"/>
    </sheetView>
  </sheetViews>
  <sheetFormatPr baseColWidth="10" defaultColWidth="8.83203125" defaultRowHeight="13" x14ac:dyDescent="0.15"/>
  <cols>
    <col min="1" max="1" width="79.5" customWidth="1"/>
    <col min="2" max="2" width="16.5" customWidth="1"/>
    <col min="3" max="3" width="7.5" customWidth="1"/>
    <col min="4" max="4" width="17.5" customWidth="1"/>
    <col min="5" max="5" width="11.33203125" hidden="1" customWidth="1"/>
    <col min="6" max="6" width="13.1640625" hidden="1" customWidth="1"/>
    <col min="7" max="7" width="9.5" hidden="1" customWidth="1"/>
    <col min="8" max="8" width="13.6640625" hidden="1" customWidth="1"/>
    <col min="9" max="9" width="9.5" hidden="1" customWidth="1"/>
    <col min="10" max="10" width="13.6640625" hidden="1" customWidth="1"/>
    <col min="11" max="11" width="9.5" hidden="1" customWidth="1"/>
    <col min="12" max="12" width="13.6640625" hidden="1" customWidth="1"/>
    <col min="13" max="13" width="9.5" hidden="1" customWidth="1"/>
    <col min="14" max="14" width="13.6640625" hidden="1" customWidth="1"/>
    <col min="15" max="15" width="9.5" hidden="1" customWidth="1"/>
    <col min="16" max="16" width="13.6640625" hidden="1" customWidth="1"/>
    <col min="17" max="17" width="9.5" hidden="1" customWidth="1"/>
    <col min="18" max="18" width="13.6640625" hidden="1" customWidth="1"/>
    <col min="19" max="19" width="9.5" hidden="1" customWidth="1"/>
    <col min="20" max="20" width="12.83203125" hidden="1" customWidth="1"/>
    <col min="21" max="21" width="10.83203125" hidden="1" customWidth="1"/>
    <col min="22" max="22" width="15.33203125" hidden="1" customWidth="1"/>
    <col min="23" max="23" width="7.6640625" hidden="1" customWidth="1"/>
    <col min="24" max="24" width="13.6640625" hidden="1" customWidth="1"/>
    <col min="25" max="25" width="7.6640625" hidden="1" customWidth="1"/>
    <col min="26" max="26" width="14.5" hidden="1" customWidth="1"/>
    <col min="27" max="27" width="4" customWidth="1"/>
    <col min="28" max="28" width="122.5" customWidth="1"/>
    <col min="29" max="29" width="16.5" style="122" customWidth="1"/>
  </cols>
  <sheetData>
    <row r="1" spans="1:28" ht="20.25" customHeight="1" thickBo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  <c r="X1" s="5"/>
      <c r="Y1" s="6"/>
      <c r="Z1" s="5"/>
    </row>
    <row r="2" spans="1:28" ht="13.5" customHeight="1" x14ac:dyDescent="0.15">
      <c r="A2" s="197" t="s">
        <v>82</v>
      </c>
      <c r="B2" s="7"/>
      <c r="C2" s="193" t="s">
        <v>75</v>
      </c>
      <c r="D2" s="194"/>
      <c r="E2" s="193" t="s">
        <v>22</v>
      </c>
      <c r="F2" s="194"/>
      <c r="G2" s="193" t="s">
        <v>23</v>
      </c>
      <c r="H2" s="194"/>
      <c r="I2" s="193" t="s">
        <v>24</v>
      </c>
      <c r="J2" s="194"/>
      <c r="K2" s="193" t="s">
        <v>25</v>
      </c>
      <c r="L2" s="194"/>
      <c r="M2" s="193" t="s">
        <v>26</v>
      </c>
      <c r="N2" s="194"/>
      <c r="O2" s="193" t="s">
        <v>27</v>
      </c>
      <c r="P2" s="194"/>
      <c r="Q2" s="193" t="s">
        <v>28</v>
      </c>
      <c r="R2" s="194"/>
      <c r="S2" s="193" t="s">
        <v>29</v>
      </c>
      <c r="T2" s="194"/>
      <c r="U2" s="193" t="s">
        <v>21</v>
      </c>
      <c r="V2" s="194"/>
      <c r="W2" s="193" t="s">
        <v>40</v>
      </c>
      <c r="X2" s="194"/>
      <c r="Y2" s="193" t="s">
        <v>41</v>
      </c>
      <c r="Z2" s="194"/>
    </row>
    <row r="3" spans="1:28" ht="45.75" customHeight="1" thickBot="1" x14ac:dyDescent="0.2">
      <c r="A3" s="198"/>
      <c r="B3" s="8" t="s">
        <v>0</v>
      </c>
      <c r="C3" s="195"/>
      <c r="D3" s="196"/>
      <c r="E3" s="195"/>
      <c r="F3" s="196"/>
      <c r="G3" s="195"/>
      <c r="H3" s="196"/>
      <c r="I3" s="195"/>
      <c r="J3" s="196"/>
      <c r="K3" s="195"/>
      <c r="L3" s="196"/>
      <c r="M3" s="195"/>
      <c r="N3" s="196"/>
      <c r="O3" s="195"/>
      <c r="P3" s="196"/>
      <c r="Q3" s="195"/>
      <c r="R3" s="196"/>
      <c r="S3" s="195"/>
      <c r="T3" s="196"/>
      <c r="U3" s="195"/>
      <c r="V3" s="196"/>
      <c r="W3" s="195"/>
      <c r="X3" s="196"/>
      <c r="Y3" s="195"/>
      <c r="Z3" s="196"/>
    </row>
    <row r="4" spans="1:28" ht="19" thickBot="1" x14ac:dyDescent="0.2">
      <c r="A4" s="192">
        <f>D113</f>
        <v>7840.1654297394998</v>
      </c>
      <c r="B4" s="8" t="s">
        <v>0</v>
      </c>
      <c r="C4" s="195"/>
      <c r="D4" s="196"/>
      <c r="E4" s="195"/>
      <c r="F4" s="196"/>
      <c r="G4" s="195"/>
      <c r="H4" s="196"/>
      <c r="I4" s="195"/>
      <c r="J4" s="196"/>
      <c r="K4" s="195"/>
      <c r="L4" s="196"/>
      <c r="M4" s="195"/>
      <c r="N4" s="196"/>
      <c r="O4" s="195"/>
      <c r="P4" s="196"/>
      <c r="Q4" s="195"/>
      <c r="R4" s="196"/>
      <c r="S4" s="195"/>
      <c r="T4" s="196"/>
      <c r="U4" s="195"/>
      <c r="V4" s="196"/>
      <c r="W4" s="195"/>
      <c r="X4" s="196"/>
      <c r="Y4" s="195"/>
      <c r="Z4" s="196"/>
    </row>
    <row r="5" spans="1:28" ht="21.75" customHeight="1" thickBot="1" x14ac:dyDescent="0.2">
      <c r="A5" s="9"/>
      <c r="B5" s="8" t="s">
        <v>0</v>
      </c>
      <c r="C5" s="195"/>
      <c r="D5" s="196"/>
      <c r="E5" s="195"/>
      <c r="F5" s="196"/>
      <c r="G5" s="195"/>
      <c r="H5" s="196"/>
      <c r="I5" s="195"/>
      <c r="J5" s="196"/>
      <c r="K5" s="195"/>
      <c r="L5" s="196"/>
      <c r="M5" s="195"/>
      <c r="N5" s="196"/>
      <c r="O5" s="195"/>
      <c r="P5" s="196"/>
      <c r="Q5" s="195"/>
      <c r="R5" s="196"/>
      <c r="S5" s="195"/>
      <c r="T5" s="196"/>
      <c r="U5" s="195"/>
      <c r="V5" s="196"/>
      <c r="W5" s="195"/>
      <c r="X5" s="196"/>
      <c r="Y5" s="195"/>
      <c r="Z5" s="196"/>
    </row>
    <row r="6" spans="1:28" ht="15" thickBot="1" x14ac:dyDescent="0.2">
      <c r="A6" s="10" t="s">
        <v>76</v>
      </c>
      <c r="B6" s="11" t="s">
        <v>0</v>
      </c>
      <c r="C6" s="199" t="s">
        <v>18</v>
      </c>
      <c r="D6" s="200"/>
      <c r="E6" s="199" t="s">
        <v>18</v>
      </c>
      <c r="F6" s="200"/>
      <c r="G6" s="199" t="s">
        <v>18</v>
      </c>
      <c r="H6" s="200"/>
      <c r="I6" s="201" t="s">
        <v>18</v>
      </c>
      <c r="J6" s="200"/>
      <c r="K6" s="201" t="s">
        <v>18</v>
      </c>
      <c r="L6" s="200"/>
      <c r="M6" s="199" t="s">
        <v>18</v>
      </c>
      <c r="N6" s="200"/>
      <c r="O6" s="199" t="s">
        <v>18</v>
      </c>
      <c r="P6" s="200"/>
      <c r="Q6" s="199" t="s">
        <v>18</v>
      </c>
      <c r="R6" s="200"/>
      <c r="S6" s="199" t="s">
        <v>18</v>
      </c>
      <c r="T6" s="200"/>
      <c r="U6" s="199" t="s">
        <v>18</v>
      </c>
      <c r="V6" s="200"/>
      <c r="W6" s="199" t="s">
        <v>18</v>
      </c>
      <c r="X6" s="200"/>
      <c r="Y6" s="199" t="s">
        <v>18</v>
      </c>
      <c r="Z6" s="200"/>
    </row>
    <row r="7" spans="1:28" ht="14" x14ac:dyDescent="0.15">
      <c r="A7" s="12" t="s">
        <v>1</v>
      </c>
      <c r="B7" s="12" t="s">
        <v>2</v>
      </c>
      <c r="C7" s="13"/>
      <c r="D7" s="14"/>
      <c r="E7" s="15"/>
      <c r="F7" s="16"/>
      <c r="G7" s="15"/>
      <c r="H7" s="16"/>
      <c r="I7" s="15"/>
      <c r="J7" s="16"/>
      <c r="K7" s="13"/>
      <c r="L7" s="14"/>
      <c r="M7" s="13"/>
      <c r="N7" s="14"/>
      <c r="O7" s="13"/>
      <c r="P7" s="14"/>
      <c r="Q7" s="13"/>
      <c r="R7" s="14"/>
      <c r="S7" s="13"/>
      <c r="T7" s="14"/>
      <c r="U7" s="13"/>
      <c r="V7" s="14"/>
      <c r="W7" s="13"/>
      <c r="X7" s="14"/>
      <c r="Y7" s="13"/>
      <c r="Z7" s="14"/>
    </row>
    <row r="8" spans="1:28" ht="21" thickBot="1" x14ac:dyDescent="0.25">
      <c r="A8" s="17"/>
      <c r="B8" s="18" t="s">
        <v>3</v>
      </c>
      <c r="C8" s="19" t="s">
        <v>4</v>
      </c>
      <c r="D8" s="20" t="s">
        <v>5</v>
      </c>
      <c r="E8" s="19" t="s">
        <v>4</v>
      </c>
      <c r="F8" s="20" t="s">
        <v>5</v>
      </c>
      <c r="G8" s="19" t="s">
        <v>4</v>
      </c>
      <c r="H8" s="20" t="s">
        <v>5</v>
      </c>
      <c r="I8" s="19" t="s">
        <v>4</v>
      </c>
      <c r="J8" s="20" t="s">
        <v>5</v>
      </c>
      <c r="K8" s="19" t="s">
        <v>4</v>
      </c>
      <c r="L8" s="20" t="s">
        <v>5</v>
      </c>
      <c r="M8" s="19" t="s">
        <v>4</v>
      </c>
      <c r="N8" s="20" t="s">
        <v>5</v>
      </c>
      <c r="O8" s="19" t="s">
        <v>4</v>
      </c>
      <c r="P8" s="20" t="s">
        <v>5</v>
      </c>
      <c r="Q8" s="19" t="s">
        <v>4</v>
      </c>
      <c r="R8" s="20" t="s">
        <v>5</v>
      </c>
      <c r="S8" s="19" t="s">
        <v>4</v>
      </c>
      <c r="T8" s="20" t="s">
        <v>5</v>
      </c>
      <c r="U8" s="19" t="s">
        <v>4</v>
      </c>
      <c r="V8" s="20" t="s">
        <v>5</v>
      </c>
      <c r="W8" s="19" t="s">
        <v>4</v>
      </c>
      <c r="X8" s="20" t="s">
        <v>5</v>
      </c>
      <c r="Y8" s="19" t="s">
        <v>4</v>
      </c>
      <c r="Z8" s="20" t="s">
        <v>5</v>
      </c>
      <c r="AB8" s="190" t="s">
        <v>46</v>
      </c>
    </row>
    <row r="9" spans="1:28" ht="14" x14ac:dyDescent="0.15">
      <c r="A9" s="21" t="s">
        <v>47</v>
      </c>
      <c r="B9" s="22">
        <v>37</v>
      </c>
      <c r="C9" s="23">
        <v>3</v>
      </c>
      <c r="D9" s="24">
        <f>C9*$B$9</f>
        <v>111</v>
      </c>
      <c r="E9" s="23">
        <v>0</v>
      </c>
      <c r="F9" s="24">
        <f>E9*$B$9</f>
        <v>0</v>
      </c>
      <c r="G9" s="23">
        <v>0</v>
      </c>
      <c r="H9" s="24">
        <f>G9*$B$9</f>
        <v>0</v>
      </c>
      <c r="I9" s="23">
        <v>0</v>
      </c>
      <c r="J9" s="24">
        <f>I9*$B$9</f>
        <v>0</v>
      </c>
      <c r="K9" s="23">
        <v>0</v>
      </c>
      <c r="L9" s="24">
        <f>K9*$B$9</f>
        <v>0</v>
      </c>
      <c r="M9" s="23">
        <v>0</v>
      </c>
      <c r="N9" s="24">
        <f>M9*$B$9</f>
        <v>0</v>
      </c>
      <c r="O9" s="23">
        <v>0</v>
      </c>
      <c r="P9" s="24">
        <f>O9*$B$9</f>
        <v>0</v>
      </c>
      <c r="Q9" s="23">
        <v>0</v>
      </c>
      <c r="R9" s="24">
        <f>Q9*$B$9</f>
        <v>0</v>
      </c>
      <c r="S9" s="23">
        <v>0</v>
      </c>
      <c r="T9" s="24">
        <f>S9*$B$9</f>
        <v>0</v>
      </c>
      <c r="U9" s="23">
        <v>0</v>
      </c>
      <c r="V9" s="24">
        <f>U9*$B$9</f>
        <v>0</v>
      </c>
      <c r="W9" s="23">
        <v>0</v>
      </c>
      <c r="X9" s="24">
        <f>W9*$B$9</f>
        <v>0</v>
      </c>
      <c r="Y9" s="23">
        <v>0</v>
      </c>
      <c r="Z9" s="24">
        <f>Y9*$B$9</f>
        <v>0</v>
      </c>
      <c r="AB9" s="102" t="s">
        <v>59</v>
      </c>
    </row>
    <row r="10" spans="1:28" ht="22.25" customHeight="1" x14ac:dyDescent="0.15">
      <c r="A10" s="25" t="s">
        <v>36</v>
      </c>
      <c r="B10" s="189">
        <v>28.85</v>
      </c>
      <c r="C10" s="23">
        <v>3</v>
      </c>
      <c r="D10" s="24">
        <f>C10*$B$10</f>
        <v>86.550000000000011</v>
      </c>
      <c r="E10" s="23">
        <v>0</v>
      </c>
      <c r="F10" s="24">
        <f>E10*$B$10</f>
        <v>0</v>
      </c>
      <c r="G10" s="23">
        <v>0</v>
      </c>
      <c r="H10" s="24">
        <f>G10*$B$10</f>
        <v>0</v>
      </c>
      <c r="I10" s="23">
        <v>0</v>
      </c>
      <c r="J10" s="24">
        <f>I10*$B$10</f>
        <v>0</v>
      </c>
      <c r="K10" s="23">
        <v>0</v>
      </c>
      <c r="L10" s="24">
        <f>K10*$B$10</f>
        <v>0</v>
      </c>
      <c r="M10" s="23">
        <v>0</v>
      </c>
      <c r="N10" s="24">
        <f>M10*$B$10</f>
        <v>0</v>
      </c>
      <c r="O10" s="23">
        <v>0</v>
      </c>
      <c r="P10" s="24">
        <f>O10*$B$10</f>
        <v>0</v>
      </c>
      <c r="Q10" s="23">
        <v>0</v>
      </c>
      <c r="R10" s="24">
        <f>Q10*$B$10</f>
        <v>0</v>
      </c>
      <c r="S10" s="23">
        <v>0</v>
      </c>
      <c r="T10" s="24">
        <f>S10*$B$10</f>
        <v>0</v>
      </c>
      <c r="U10" s="23">
        <v>0</v>
      </c>
      <c r="V10" s="24">
        <f>U10*$B$10</f>
        <v>0</v>
      </c>
      <c r="W10" s="23">
        <v>0</v>
      </c>
      <c r="X10" s="24">
        <f>W10*$B$10</f>
        <v>0</v>
      </c>
      <c r="Y10" s="23">
        <v>0</v>
      </c>
      <c r="Z10" s="24">
        <f>Y10*$B$10</f>
        <v>0</v>
      </c>
      <c r="AB10" s="186"/>
    </row>
    <row r="11" spans="1:28" ht="14" x14ac:dyDescent="0.15">
      <c r="A11" s="25" t="s">
        <v>38</v>
      </c>
      <c r="B11" s="26">
        <v>23</v>
      </c>
      <c r="C11" s="23"/>
      <c r="D11" s="24">
        <f>C11*$B$11</f>
        <v>0</v>
      </c>
      <c r="E11" s="23">
        <v>0</v>
      </c>
      <c r="F11" s="24">
        <f>E11*$B$11</f>
        <v>0</v>
      </c>
      <c r="G11" s="23">
        <v>0</v>
      </c>
      <c r="H11" s="24">
        <f>G11*$B$11</f>
        <v>0</v>
      </c>
      <c r="I11" s="23">
        <v>0</v>
      </c>
      <c r="J11" s="24">
        <f>I11*$B$11</f>
        <v>0</v>
      </c>
      <c r="K11" s="23">
        <v>0</v>
      </c>
      <c r="L11" s="24">
        <f>K11*$B$11</f>
        <v>0</v>
      </c>
      <c r="M11" s="23">
        <v>0</v>
      </c>
      <c r="N11" s="24">
        <f>M11*$B$11</f>
        <v>0</v>
      </c>
      <c r="O11" s="23">
        <v>0</v>
      </c>
      <c r="P11" s="24">
        <f>O11*$B$11</f>
        <v>0</v>
      </c>
      <c r="Q11" s="23">
        <v>0</v>
      </c>
      <c r="R11" s="24">
        <f>Q11*$B$11</f>
        <v>0</v>
      </c>
      <c r="S11" s="23">
        <v>0</v>
      </c>
      <c r="T11" s="24">
        <f>S11*$B$11</f>
        <v>0</v>
      </c>
      <c r="U11" s="23">
        <v>0</v>
      </c>
      <c r="V11" s="24">
        <f>U11*$B$11</f>
        <v>0</v>
      </c>
      <c r="W11" s="23">
        <v>0</v>
      </c>
      <c r="X11" s="24">
        <f>W11*$B$11</f>
        <v>0</v>
      </c>
      <c r="Y11" s="23">
        <v>0</v>
      </c>
      <c r="Z11" s="24">
        <f>Y11*$B$11</f>
        <v>0</v>
      </c>
      <c r="AB11" s="102" t="s">
        <v>60</v>
      </c>
    </row>
    <row r="12" spans="1:28" ht="14" x14ac:dyDescent="0.15">
      <c r="A12" s="27" t="s">
        <v>62</v>
      </c>
      <c r="B12" s="26">
        <v>16</v>
      </c>
      <c r="C12" s="28">
        <v>3</v>
      </c>
      <c r="D12" s="24">
        <f>C12*$B$12</f>
        <v>48</v>
      </c>
      <c r="E12" s="23">
        <v>0</v>
      </c>
      <c r="F12" s="24">
        <f>E12*$B$12</f>
        <v>0</v>
      </c>
      <c r="G12" s="23">
        <v>0</v>
      </c>
      <c r="H12" s="24">
        <f>G12*$B$12</f>
        <v>0</v>
      </c>
      <c r="I12" s="23">
        <v>0</v>
      </c>
      <c r="J12" s="24">
        <f>I12*$B$12</f>
        <v>0</v>
      </c>
      <c r="K12" s="23">
        <v>0</v>
      </c>
      <c r="L12" s="24">
        <f>K12*$B$12</f>
        <v>0</v>
      </c>
      <c r="M12" s="23">
        <v>0</v>
      </c>
      <c r="N12" s="24">
        <f>M12*$B$12</f>
        <v>0</v>
      </c>
      <c r="O12" s="23">
        <v>0</v>
      </c>
      <c r="P12" s="24">
        <f>O12*$B$12</f>
        <v>0</v>
      </c>
      <c r="Q12" s="23">
        <v>0</v>
      </c>
      <c r="R12" s="24">
        <f>Q12*$B$12</f>
        <v>0</v>
      </c>
      <c r="S12" s="23">
        <v>0</v>
      </c>
      <c r="T12" s="24">
        <f>S12*$B$12</f>
        <v>0</v>
      </c>
      <c r="U12" s="23">
        <v>0</v>
      </c>
      <c r="V12" s="24">
        <f>U12*$B$12</f>
        <v>0</v>
      </c>
      <c r="W12" s="23">
        <v>0</v>
      </c>
      <c r="X12" s="24">
        <f>W12*$B$12</f>
        <v>0</v>
      </c>
      <c r="Y12" s="23">
        <v>2</v>
      </c>
      <c r="Z12" s="24">
        <f>Y12*$B$12</f>
        <v>32</v>
      </c>
      <c r="AB12" s="102" t="s">
        <v>61</v>
      </c>
    </row>
    <row r="13" spans="1:28" ht="14" x14ac:dyDescent="0.15">
      <c r="A13" s="30" t="s">
        <v>0</v>
      </c>
      <c r="B13" s="31"/>
      <c r="C13" s="32"/>
      <c r="D13" s="33"/>
      <c r="E13" s="32"/>
      <c r="F13" s="34"/>
      <c r="G13" s="32"/>
      <c r="H13" s="34"/>
      <c r="I13" s="32"/>
      <c r="J13" s="34"/>
      <c r="K13" s="32"/>
      <c r="L13" s="34"/>
      <c r="M13" s="32"/>
      <c r="N13" s="34"/>
      <c r="O13" s="32"/>
      <c r="P13" s="34"/>
      <c r="Q13" s="32"/>
      <c r="R13" s="34"/>
      <c r="S13" s="32"/>
      <c r="T13" s="34"/>
      <c r="U13" s="32"/>
      <c r="V13" s="34"/>
      <c r="W13" s="32"/>
      <c r="X13" s="34"/>
      <c r="Y13" s="32"/>
      <c r="Z13" s="34"/>
      <c r="AB13" s="187"/>
    </row>
    <row r="14" spans="1:28" ht="14" x14ac:dyDescent="0.15">
      <c r="A14" s="29" t="s">
        <v>6</v>
      </c>
      <c r="B14" s="26"/>
      <c r="C14" s="35"/>
      <c r="D14" s="24"/>
      <c r="E14" s="35"/>
      <c r="F14" s="36"/>
      <c r="G14" s="35"/>
      <c r="H14" s="36"/>
      <c r="I14" s="35"/>
      <c r="J14" s="36"/>
      <c r="K14" s="35"/>
      <c r="L14" s="36"/>
      <c r="M14" s="35"/>
      <c r="N14" s="36"/>
      <c r="O14" s="35"/>
      <c r="P14" s="36"/>
      <c r="Q14" s="35"/>
      <c r="R14" s="36"/>
      <c r="S14" s="35"/>
      <c r="T14" s="36"/>
      <c r="U14" s="35"/>
      <c r="V14" s="36"/>
      <c r="W14" s="35"/>
      <c r="X14" s="36"/>
      <c r="Y14" s="35"/>
      <c r="Z14" s="36"/>
    </row>
    <row r="15" spans="1:28" ht="14" x14ac:dyDescent="0.15">
      <c r="A15" s="37" t="s">
        <v>48</v>
      </c>
      <c r="B15" s="26">
        <v>35</v>
      </c>
      <c r="C15" s="23">
        <v>0</v>
      </c>
      <c r="D15" s="38">
        <f>B15*C15</f>
        <v>0</v>
      </c>
      <c r="E15" s="23">
        <v>0</v>
      </c>
      <c r="F15" s="38">
        <f>E15*$B$18</f>
        <v>0</v>
      </c>
      <c r="G15" s="23">
        <v>0</v>
      </c>
      <c r="H15" s="38">
        <f>G15*$B$18</f>
        <v>0</v>
      </c>
      <c r="I15" s="23">
        <v>0</v>
      </c>
      <c r="J15" s="38">
        <f>I15*$B$18</f>
        <v>0</v>
      </c>
      <c r="K15" s="23">
        <v>0</v>
      </c>
      <c r="L15" s="38">
        <f>K15*$B$18</f>
        <v>0</v>
      </c>
      <c r="M15" s="23">
        <v>0</v>
      </c>
      <c r="N15" s="38">
        <f>M15*$B$18</f>
        <v>0</v>
      </c>
      <c r="O15" s="23">
        <v>0</v>
      </c>
      <c r="P15" s="38">
        <f>O15*$B$18</f>
        <v>0</v>
      </c>
      <c r="Q15" s="23">
        <v>0</v>
      </c>
      <c r="R15" s="38">
        <f>Q15*$B$18</f>
        <v>0</v>
      </c>
      <c r="S15" s="23">
        <v>0</v>
      </c>
      <c r="T15" s="38">
        <f>S15*$B$18</f>
        <v>0</v>
      </c>
      <c r="U15" s="23">
        <v>0</v>
      </c>
      <c r="V15" s="38">
        <f>U15*$B$18</f>
        <v>0</v>
      </c>
      <c r="W15" s="23">
        <v>0</v>
      </c>
      <c r="X15" s="38">
        <f>W15*$B$18</f>
        <v>0</v>
      </c>
      <c r="Y15" s="23">
        <v>0</v>
      </c>
      <c r="Z15" s="38">
        <f>Y15*$B$18</f>
        <v>0</v>
      </c>
      <c r="AB15" t="s">
        <v>67</v>
      </c>
    </row>
    <row r="16" spans="1:28" ht="14" x14ac:dyDescent="0.15">
      <c r="A16" s="37" t="s">
        <v>57</v>
      </c>
      <c r="B16" s="26">
        <v>28</v>
      </c>
      <c r="C16" s="23">
        <v>0</v>
      </c>
      <c r="D16" s="38">
        <f t="shared" ref="D16:D19" si="0">B16*C16</f>
        <v>0</v>
      </c>
      <c r="E16" s="23">
        <v>0</v>
      </c>
      <c r="F16" s="38">
        <f>E16*$B$18</f>
        <v>0</v>
      </c>
      <c r="G16" s="23">
        <v>0</v>
      </c>
      <c r="H16" s="38">
        <f>G16*$B$18</f>
        <v>0</v>
      </c>
      <c r="I16" s="23">
        <v>0</v>
      </c>
      <c r="J16" s="38">
        <f>I16*$B$18</f>
        <v>0</v>
      </c>
      <c r="K16" s="23">
        <v>0</v>
      </c>
      <c r="L16" s="38">
        <f>K16*$B$18</f>
        <v>0</v>
      </c>
      <c r="M16" s="23">
        <v>0</v>
      </c>
      <c r="N16" s="38">
        <f>M16*$B$18</f>
        <v>0</v>
      </c>
      <c r="O16" s="23">
        <v>0</v>
      </c>
      <c r="P16" s="38">
        <f>O16*$B$18</f>
        <v>0</v>
      </c>
      <c r="Q16" s="23">
        <v>0</v>
      </c>
      <c r="R16" s="38">
        <f>Q16*$B$18</f>
        <v>0</v>
      </c>
      <c r="S16" s="23">
        <v>0</v>
      </c>
      <c r="T16" s="38">
        <f>S16*$B$18</f>
        <v>0</v>
      </c>
      <c r="U16" s="23">
        <v>0</v>
      </c>
      <c r="V16" s="38">
        <f>U16*$B$18</f>
        <v>0</v>
      </c>
      <c r="W16" s="23">
        <v>0</v>
      </c>
      <c r="X16" s="38">
        <f>W16*$B$18</f>
        <v>0</v>
      </c>
      <c r="Y16" s="23">
        <v>0</v>
      </c>
      <c r="Z16" s="38">
        <f>Y16*$B$18</f>
        <v>0</v>
      </c>
      <c r="AB16" t="s">
        <v>66</v>
      </c>
    </row>
    <row r="17" spans="1:28" ht="14" x14ac:dyDescent="0.15">
      <c r="A17" s="37" t="s">
        <v>58</v>
      </c>
      <c r="B17" s="26">
        <v>23</v>
      </c>
      <c r="C17" s="23">
        <v>0</v>
      </c>
      <c r="D17" s="38">
        <f t="shared" si="0"/>
        <v>0</v>
      </c>
      <c r="E17" s="23">
        <v>0</v>
      </c>
      <c r="F17" s="38">
        <f>E17*$B$18</f>
        <v>0</v>
      </c>
      <c r="G17" s="23">
        <v>0</v>
      </c>
      <c r="H17" s="38">
        <f>G17*$B$18</f>
        <v>0</v>
      </c>
      <c r="I17" s="23">
        <v>0</v>
      </c>
      <c r="J17" s="38">
        <f>I17*$B$18</f>
        <v>0</v>
      </c>
      <c r="K17" s="23">
        <v>0</v>
      </c>
      <c r="L17" s="38">
        <f>K17*$B$18</f>
        <v>0</v>
      </c>
      <c r="M17" s="23">
        <v>0</v>
      </c>
      <c r="N17" s="38">
        <f>M17*$B$18</f>
        <v>0</v>
      </c>
      <c r="O17" s="23">
        <v>0</v>
      </c>
      <c r="P17" s="38">
        <f>O17*$B$18</f>
        <v>0</v>
      </c>
      <c r="Q17" s="23">
        <v>0</v>
      </c>
      <c r="R17" s="38">
        <f>Q17*$B$18</f>
        <v>0</v>
      </c>
      <c r="S17" s="23">
        <v>0</v>
      </c>
      <c r="T17" s="38">
        <f>S17*$B$18</f>
        <v>0</v>
      </c>
      <c r="U17" s="23">
        <v>0</v>
      </c>
      <c r="V17" s="38">
        <f>U17*$B$18</f>
        <v>0</v>
      </c>
      <c r="W17" s="23">
        <v>0</v>
      </c>
      <c r="X17" s="38">
        <f>W17*$B$18</f>
        <v>0</v>
      </c>
      <c r="Y17" s="23">
        <v>0</v>
      </c>
      <c r="Z17" s="38">
        <f>Y17*$B$18</f>
        <v>0</v>
      </c>
      <c r="AB17" t="s">
        <v>66</v>
      </c>
    </row>
    <row r="18" spans="1:28" ht="14" x14ac:dyDescent="0.15">
      <c r="A18" s="37" t="s">
        <v>70</v>
      </c>
      <c r="B18" s="26">
        <v>28</v>
      </c>
      <c r="C18" s="23">
        <v>0</v>
      </c>
      <c r="D18" s="38">
        <f t="shared" si="0"/>
        <v>0</v>
      </c>
      <c r="E18" s="23">
        <v>0</v>
      </c>
      <c r="F18" s="38">
        <f>E18*$B$18</f>
        <v>0</v>
      </c>
      <c r="G18" s="23">
        <v>0</v>
      </c>
      <c r="H18" s="38">
        <f>G18*$B$18</f>
        <v>0</v>
      </c>
      <c r="I18" s="23">
        <v>0</v>
      </c>
      <c r="J18" s="38">
        <f>I18*$B$18</f>
        <v>0</v>
      </c>
      <c r="K18" s="23">
        <v>0</v>
      </c>
      <c r="L18" s="38">
        <f>K18*$B$18</f>
        <v>0</v>
      </c>
      <c r="M18" s="23">
        <v>0</v>
      </c>
      <c r="N18" s="38">
        <f>M18*$B$18</f>
        <v>0</v>
      </c>
      <c r="O18" s="23">
        <v>0</v>
      </c>
      <c r="P18" s="38">
        <f>O18*$B$18</f>
        <v>0</v>
      </c>
      <c r="Q18" s="23">
        <v>0</v>
      </c>
      <c r="R18" s="38">
        <f>Q18*$B$18</f>
        <v>0</v>
      </c>
      <c r="S18" s="23">
        <v>0</v>
      </c>
      <c r="T18" s="38">
        <f>S18*$B$18</f>
        <v>0</v>
      </c>
      <c r="U18" s="23">
        <v>0</v>
      </c>
      <c r="V18" s="38">
        <f>U18*$B$18</f>
        <v>0</v>
      </c>
      <c r="W18" s="23">
        <v>0</v>
      </c>
      <c r="X18" s="38">
        <f>W18*$B$18</f>
        <v>0</v>
      </c>
      <c r="Y18" s="23">
        <v>0</v>
      </c>
      <c r="Z18" s="38">
        <f>Y18*$B$18</f>
        <v>0</v>
      </c>
      <c r="AB18" t="s">
        <v>69</v>
      </c>
    </row>
    <row r="19" spans="1:28" ht="14" x14ac:dyDescent="0.15">
      <c r="A19" s="37" t="s">
        <v>7</v>
      </c>
      <c r="B19" s="26">
        <v>28</v>
      </c>
      <c r="C19" s="23">
        <v>0</v>
      </c>
      <c r="D19" s="38">
        <f t="shared" si="0"/>
        <v>0</v>
      </c>
      <c r="E19" s="23">
        <v>0</v>
      </c>
      <c r="F19" s="38">
        <f>E19*$B$19</f>
        <v>0</v>
      </c>
      <c r="G19" s="23">
        <v>0</v>
      </c>
      <c r="H19" s="38">
        <f>G19*$B$19</f>
        <v>0</v>
      </c>
      <c r="I19" s="23">
        <v>0</v>
      </c>
      <c r="J19" s="38">
        <f>I19*$B$19</f>
        <v>0</v>
      </c>
      <c r="K19" s="23">
        <v>0</v>
      </c>
      <c r="L19" s="38">
        <f>K19*$B$19</f>
        <v>0</v>
      </c>
      <c r="M19" s="23">
        <v>0</v>
      </c>
      <c r="N19" s="38">
        <f>M19*$B$19</f>
        <v>0</v>
      </c>
      <c r="O19" s="23">
        <v>0</v>
      </c>
      <c r="P19" s="38">
        <f>O19*$B$19</f>
        <v>0</v>
      </c>
      <c r="Q19" s="23">
        <v>0</v>
      </c>
      <c r="R19" s="38">
        <f>Q19*$B$19</f>
        <v>0</v>
      </c>
      <c r="S19" s="23">
        <v>0</v>
      </c>
      <c r="T19" s="38">
        <f>S19*$B$19</f>
        <v>0</v>
      </c>
      <c r="U19" s="23">
        <v>0</v>
      </c>
      <c r="V19" s="38">
        <f>U19*$B$19</f>
        <v>0</v>
      </c>
      <c r="W19" s="23">
        <v>0</v>
      </c>
      <c r="X19" s="38">
        <f>W19*$B$19</f>
        <v>0</v>
      </c>
      <c r="Y19" s="23">
        <v>0</v>
      </c>
      <c r="Z19" s="38">
        <f>Y19*$B$19</f>
        <v>0</v>
      </c>
      <c r="AB19" s="102" t="s">
        <v>68</v>
      </c>
    </row>
    <row r="20" spans="1:28" ht="14" x14ac:dyDescent="0.15">
      <c r="A20" s="39"/>
      <c r="B20" s="40"/>
      <c r="C20" s="41"/>
      <c r="D20" s="42"/>
      <c r="E20" s="41"/>
      <c r="F20" s="44"/>
      <c r="G20" s="43"/>
      <c r="H20" s="44"/>
      <c r="I20" s="43"/>
      <c r="J20" s="44"/>
      <c r="K20" s="43"/>
      <c r="L20" s="44"/>
      <c r="M20" s="43"/>
      <c r="N20" s="44"/>
      <c r="O20" s="43"/>
      <c r="P20" s="44"/>
      <c r="Q20" s="43"/>
      <c r="R20" s="44"/>
      <c r="S20" s="43"/>
      <c r="T20" s="44"/>
      <c r="U20" s="43"/>
      <c r="V20" s="44"/>
      <c r="W20" s="43"/>
      <c r="X20" s="42"/>
      <c r="Y20" s="43"/>
      <c r="Z20" s="42"/>
    </row>
    <row r="21" spans="1:28" ht="14" x14ac:dyDescent="0.15">
      <c r="A21" s="45" t="s">
        <v>8</v>
      </c>
      <c r="B21" s="26"/>
      <c r="C21" s="46">
        <f t="shared" ref="C21:D21" si="1">SUM(C9:C20)</f>
        <v>9</v>
      </c>
      <c r="D21" s="48">
        <f t="shared" si="1"/>
        <v>245.55</v>
      </c>
      <c r="E21" s="46">
        <f t="shared" ref="E21:V21" si="2">SUM(E9:E12)</f>
        <v>0</v>
      </c>
      <c r="F21" s="47">
        <f t="shared" si="2"/>
        <v>0</v>
      </c>
      <c r="G21" s="46">
        <f t="shared" si="2"/>
        <v>0</v>
      </c>
      <c r="H21" s="47">
        <f t="shared" si="2"/>
        <v>0</v>
      </c>
      <c r="I21" s="46">
        <f t="shared" si="2"/>
        <v>0</v>
      </c>
      <c r="J21" s="47">
        <f t="shared" si="2"/>
        <v>0</v>
      </c>
      <c r="K21" s="46">
        <f t="shared" si="2"/>
        <v>0</v>
      </c>
      <c r="L21" s="47">
        <f t="shared" si="2"/>
        <v>0</v>
      </c>
      <c r="M21" s="46">
        <f t="shared" si="2"/>
        <v>0</v>
      </c>
      <c r="N21" s="47">
        <f t="shared" si="2"/>
        <v>0</v>
      </c>
      <c r="O21" s="46">
        <f t="shared" si="2"/>
        <v>0</v>
      </c>
      <c r="P21" s="47">
        <f t="shared" si="2"/>
        <v>0</v>
      </c>
      <c r="Q21" s="46">
        <f t="shared" si="2"/>
        <v>0</v>
      </c>
      <c r="R21" s="47">
        <f t="shared" si="2"/>
        <v>0</v>
      </c>
      <c r="S21" s="46">
        <f t="shared" si="2"/>
        <v>0</v>
      </c>
      <c r="T21" s="47">
        <f t="shared" si="2"/>
        <v>0</v>
      </c>
      <c r="U21" s="46">
        <f t="shared" si="2"/>
        <v>0</v>
      </c>
      <c r="V21" s="47">
        <f t="shared" si="2"/>
        <v>0</v>
      </c>
      <c r="W21" s="46"/>
      <c r="X21" s="48">
        <f>SUM(X9:X12)</f>
        <v>0</v>
      </c>
      <c r="Y21" s="46">
        <f>SUM(Y9:Y20)</f>
        <v>2</v>
      </c>
      <c r="Z21" s="48">
        <f>SUM(Z9:Z12)</f>
        <v>32</v>
      </c>
      <c r="AB21" s="99"/>
    </row>
    <row r="22" spans="1:28" ht="14" x14ac:dyDescent="0.15">
      <c r="A22" s="49"/>
      <c r="B22" s="50"/>
      <c r="C22" s="51"/>
      <c r="D22" s="52"/>
      <c r="E22" s="51"/>
      <c r="F22" s="53"/>
      <c r="G22" s="51"/>
      <c r="H22" s="53"/>
      <c r="I22" s="51"/>
      <c r="J22" s="53"/>
      <c r="K22" s="51"/>
      <c r="L22" s="53"/>
      <c r="M22" s="51"/>
      <c r="N22" s="53"/>
      <c r="O22" s="51"/>
      <c r="P22" s="53"/>
      <c r="Q22" s="51"/>
      <c r="R22" s="53"/>
      <c r="S22" s="51"/>
      <c r="T22" s="53"/>
      <c r="U22" s="51"/>
      <c r="V22" s="53"/>
      <c r="W22" s="51"/>
      <c r="X22" s="53"/>
      <c r="Y22" s="51"/>
      <c r="Z22" s="53"/>
      <c r="AB22" s="99"/>
    </row>
    <row r="23" spans="1:28" ht="14" x14ac:dyDescent="0.15">
      <c r="A23" s="54" t="s">
        <v>19</v>
      </c>
      <c r="B23" s="55">
        <v>6.7000000000000002E-3</v>
      </c>
      <c r="C23" s="56" t="s">
        <v>0</v>
      </c>
      <c r="D23" s="57">
        <f>D21*$B$23</f>
        <v>1.6451850000000001</v>
      </c>
      <c r="E23" s="56" t="s">
        <v>0</v>
      </c>
      <c r="F23" s="57">
        <f>F21*$B$23</f>
        <v>0</v>
      </c>
      <c r="G23" s="56" t="s">
        <v>0</v>
      </c>
      <c r="H23" s="57">
        <f>H21*$B$23</f>
        <v>0</v>
      </c>
      <c r="I23" s="56" t="s">
        <v>0</v>
      </c>
      <c r="J23" s="57">
        <f>J21*$B$23</f>
        <v>0</v>
      </c>
      <c r="K23" s="56" t="s">
        <v>0</v>
      </c>
      <c r="L23" s="57">
        <f>L21*$B$23</f>
        <v>0</v>
      </c>
      <c r="M23" s="56" t="s">
        <v>0</v>
      </c>
      <c r="N23" s="57">
        <f>N21*$B$23</f>
        <v>0</v>
      </c>
      <c r="O23" s="56" t="s">
        <v>0</v>
      </c>
      <c r="P23" s="57">
        <f>P21*$B$23</f>
        <v>0</v>
      </c>
      <c r="Q23" s="56" t="s">
        <v>0</v>
      </c>
      <c r="R23" s="57">
        <f>R21*$B$23</f>
        <v>0</v>
      </c>
      <c r="S23" s="56" t="s">
        <v>0</v>
      </c>
      <c r="T23" s="57">
        <f>T21*$B$23</f>
        <v>0</v>
      </c>
      <c r="U23" s="56" t="s">
        <v>0</v>
      </c>
      <c r="V23" s="57">
        <f>V21*$B$23</f>
        <v>0</v>
      </c>
      <c r="W23" s="56" t="s">
        <v>0</v>
      </c>
      <c r="X23" s="57">
        <f>X21*$B$23</f>
        <v>0</v>
      </c>
      <c r="Y23" s="56" t="s">
        <v>0</v>
      </c>
      <c r="Z23" s="57">
        <f>Z21*$B$23</f>
        <v>0.21440000000000001</v>
      </c>
      <c r="AB23" s="99"/>
    </row>
    <row r="24" spans="1:28" ht="15" thickBot="1" x14ac:dyDescent="0.2">
      <c r="A24" s="49"/>
      <c r="B24" s="58"/>
      <c r="C24" s="59"/>
      <c r="D24" s="60"/>
      <c r="E24" s="59"/>
      <c r="F24" s="60"/>
      <c r="G24" s="59"/>
      <c r="H24" s="60"/>
      <c r="I24" s="59"/>
      <c r="J24" s="60"/>
      <c r="K24" s="59"/>
      <c r="L24" s="60"/>
      <c r="M24" s="59"/>
      <c r="N24" s="60"/>
      <c r="O24" s="59"/>
      <c r="P24" s="60"/>
      <c r="Q24" s="59"/>
      <c r="R24" s="60"/>
      <c r="S24" s="59"/>
      <c r="T24" s="60"/>
      <c r="U24" s="59"/>
      <c r="V24" s="60"/>
      <c r="W24" s="59"/>
      <c r="X24" s="60"/>
      <c r="Y24" s="59"/>
      <c r="Z24" s="60"/>
      <c r="AB24" s="99"/>
    </row>
    <row r="25" spans="1:28" ht="15" thickBot="1" x14ac:dyDescent="0.2">
      <c r="A25" s="61" t="s">
        <v>9</v>
      </c>
      <c r="B25" s="62"/>
      <c r="C25" s="63">
        <f>SUM(C21:C21)</f>
        <v>9</v>
      </c>
      <c r="D25" s="64">
        <f>SUM(D21:D21, D23)</f>
        <v>247.19518500000001</v>
      </c>
      <c r="E25" s="63">
        <f>SUM(E21:E21)</f>
        <v>0</v>
      </c>
      <c r="F25" s="64">
        <f>SUM(F21:F21, F23:F23)</f>
        <v>0</v>
      </c>
      <c r="G25" s="63">
        <f>SUM(G21:G21)</f>
        <v>0</v>
      </c>
      <c r="H25" s="64">
        <f>SUM(H21:H21, H23:H23)</f>
        <v>0</v>
      </c>
      <c r="I25" s="63">
        <f>SUM(I21:I21)</f>
        <v>0</v>
      </c>
      <c r="J25" s="64">
        <f>SUM(J21:J21, J23:J23)</f>
        <v>0</v>
      </c>
      <c r="K25" s="63">
        <f>SUM(K21:K21)</f>
        <v>0</v>
      </c>
      <c r="L25" s="64">
        <f>SUM(L21:L21, L23:L23)</f>
        <v>0</v>
      </c>
      <c r="M25" s="63">
        <f>SUM(M21:M21)</f>
        <v>0</v>
      </c>
      <c r="N25" s="64">
        <f>SUM(N21:N21, N23:N23)</f>
        <v>0</v>
      </c>
      <c r="O25" s="63">
        <f>SUM(O21:O21)</f>
        <v>0</v>
      </c>
      <c r="P25" s="64">
        <f>SUM(P21:P21, P23:P23)</f>
        <v>0</v>
      </c>
      <c r="Q25" s="63">
        <f>SUM(Q21:Q21)</f>
        <v>0</v>
      </c>
      <c r="R25" s="64">
        <f>SUM(R21:R21, R23:R23)</f>
        <v>0</v>
      </c>
      <c r="S25" s="63">
        <f>SUM(S21:S21)</f>
        <v>0</v>
      </c>
      <c r="T25" s="64">
        <f>SUM(T21:T21, T23:T23)</f>
        <v>0</v>
      </c>
      <c r="U25" s="63">
        <f>SUM(U21:U21)</f>
        <v>0</v>
      </c>
      <c r="V25" s="64">
        <f>SUM(V21:V21, V23:V23)</f>
        <v>0</v>
      </c>
      <c r="W25" s="63">
        <f>SUM(W21:W21)</f>
        <v>0</v>
      </c>
      <c r="X25" s="64">
        <f>SUM(X21:X21, X23:X23)</f>
        <v>0</v>
      </c>
      <c r="Y25" s="63">
        <f>SUM(Y21:Y21)</f>
        <v>2</v>
      </c>
      <c r="Z25" s="64">
        <f>SUM(Z21:Z21, Z23:Z23)</f>
        <v>32.214399999999998</v>
      </c>
      <c r="AB25" s="99"/>
    </row>
    <row r="26" spans="1:28" ht="15" thickBot="1" x14ac:dyDescent="0.2">
      <c r="A26" s="65"/>
      <c r="B26" s="66"/>
      <c r="C26" s="67"/>
      <c r="D26" s="68"/>
      <c r="E26" s="67"/>
      <c r="F26" s="68"/>
      <c r="G26" s="67"/>
      <c r="H26" s="68"/>
      <c r="I26" s="67"/>
      <c r="J26" s="68"/>
      <c r="K26" s="67"/>
      <c r="L26" s="68"/>
      <c r="M26" s="67"/>
      <c r="N26" s="68"/>
      <c r="O26" s="67"/>
      <c r="P26" s="68"/>
      <c r="Q26" s="67"/>
      <c r="R26" s="68"/>
      <c r="S26" s="67"/>
      <c r="T26" s="68"/>
      <c r="U26" s="67"/>
      <c r="V26" s="68"/>
      <c r="W26" s="67"/>
      <c r="X26" s="68"/>
      <c r="Y26" s="67"/>
      <c r="Z26" s="68"/>
      <c r="AB26" s="99"/>
    </row>
    <row r="27" spans="1:28" ht="14" x14ac:dyDescent="0.15">
      <c r="A27" s="69" t="s">
        <v>10</v>
      </c>
      <c r="B27" s="70"/>
      <c r="C27" s="71"/>
      <c r="D27" s="24"/>
      <c r="E27" s="71"/>
      <c r="F27" s="24"/>
      <c r="G27" s="71"/>
      <c r="H27" s="24"/>
      <c r="I27" s="71"/>
      <c r="J27" s="24"/>
      <c r="K27" s="71"/>
      <c r="L27" s="24"/>
      <c r="M27" s="71"/>
      <c r="N27" s="24"/>
      <c r="O27" s="71"/>
      <c r="P27" s="24"/>
      <c r="Q27" s="71"/>
      <c r="R27" s="24"/>
      <c r="S27" s="71"/>
      <c r="T27" s="24"/>
      <c r="U27" s="71"/>
      <c r="V27" s="24"/>
      <c r="W27" s="71"/>
      <c r="X27" s="24"/>
      <c r="Y27" s="71"/>
      <c r="Z27" s="24"/>
      <c r="AB27" s="99"/>
    </row>
    <row r="28" spans="1:28" ht="14" x14ac:dyDescent="0.15">
      <c r="A28" s="72" t="s">
        <v>74</v>
      </c>
      <c r="B28" s="73">
        <v>0</v>
      </c>
      <c r="C28" s="71">
        <v>1</v>
      </c>
      <c r="D28" s="38">
        <f>C28*$B$28</f>
        <v>0</v>
      </c>
      <c r="E28" s="71">
        <v>0</v>
      </c>
      <c r="F28" s="38">
        <f>E28*$B$28</f>
        <v>0</v>
      </c>
      <c r="G28" s="71">
        <v>0</v>
      </c>
      <c r="H28" s="38">
        <f>G28*$B$28</f>
        <v>0</v>
      </c>
      <c r="I28" s="71">
        <v>0</v>
      </c>
      <c r="J28" s="38">
        <f>I28*$B$28</f>
        <v>0</v>
      </c>
      <c r="K28" s="71">
        <v>0</v>
      </c>
      <c r="L28" s="38">
        <f>K28*$B$28</f>
        <v>0</v>
      </c>
      <c r="M28" s="71">
        <v>0</v>
      </c>
      <c r="N28" s="38">
        <f>M28*$B$28</f>
        <v>0</v>
      </c>
      <c r="O28" s="71">
        <v>0</v>
      </c>
      <c r="P28" s="38">
        <f>O28*$B$28</f>
        <v>0</v>
      </c>
      <c r="Q28" s="71">
        <v>0</v>
      </c>
      <c r="R28" s="38">
        <f>Q28*$B$28</f>
        <v>0</v>
      </c>
      <c r="S28" s="71">
        <v>0</v>
      </c>
      <c r="T28" s="38">
        <f>S28*$B$28</f>
        <v>0</v>
      </c>
      <c r="U28" s="71">
        <v>0</v>
      </c>
      <c r="V28" s="38">
        <f>U28*$B$28</f>
        <v>0</v>
      </c>
      <c r="W28" s="71">
        <v>0</v>
      </c>
      <c r="X28" s="38">
        <f>W28*$B$28</f>
        <v>0</v>
      </c>
      <c r="Y28" s="71">
        <v>0</v>
      </c>
      <c r="Z28" s="38">
        <f>Y28*$B$28</f>
        <v>0</v>
      </c>
      <c r="AB28" s="168" t="s">
        <v>63</v>
      </c>
    </row>
    <row r="29" spans="1:28" ht="14" x14ac:dyDescent="0.15">
      <c r="A29" s="72" t="s">
        <v>64</v>
      </c>
      <c r="B29" s="73">
        <v>0</v>
      </c>
      <c r="C29" s="71">
        <v>4</v>
      </c>
      <c r="D29" s="38">
        <f>C29*B29</f>
        <v>0</v>
      </c>
      <c r="E29" s="71">
        <v>0</v>
      </c>
      <c r="F29" s="38">
        <f>E29*$B$28</f>
        <v>0</v>
      </c>
      <c r="G29" s="71">
        <v>0</v>
      </c>
      <c r="H29" s="38">
        <f>G29*$B$28</f>
        <v>0</v>
      </c>
      <c r="I29" s="71">
        <v>0</v>
      </c>
      <c r="J29" s="38">
        <f>I29*$B$28</f>
        <v>0</v>
      </c>
      <c r="K29" s="71">
        <v>0</v>
      </c>
      <c r="L29" s="38">
        <f>K29*$B$28</f>
        <v>0</v>
      </c>
      <c r="M29" s="71">
        <v>0</v>
      </c>
      <c r="N29" s="38">
        <f>M29*$B$28</f>
        <v>0</v>
      </c>
      <c r="O29" s="71">
        <v>0</v>
      </c>
      <c r="P29" s="38">
        <f>O29*$B$28</f>
        <v>0</v>
      </c>
      <c r="Q29" s="71">
        <v>0</v>
      </c>
      <c r="R29" s="38">
        <f>Q29*$B$28</f>
        <v>0</v>
      </c>
      <c r="S29" s="71">
        <v>0</v>
      </c>
      <c r="T29" s="38">
        <f>S29*$B$28</f>
        <v>0</v>
      </c>
      <c r="U29" s="71">
        <v>0</v>
      </c>
      <c r="V29" s="38">
        <f>U29*$B$28</f>
        <v>0</v>
      </c>
      <c r="W29" s="71">
        <v>0</v>
      </c>
      <c r="X29" s="38">
        <f>W29*$B$28</f>
        <v>0</v>
      </c>
      <c r="Y29" s="71">
        <v>0</v>
      </c>
      <c r="Z29" s="38">
        <f>Y29*$B$28</f>
        <v>0</v>
      </c>
      <c r="AB29" s="168" t="s">
        <v>71</v>
      </c>
    </row>
    <row r="30" spans="1:28" ht="15" thickBot="1" x14ac:dyDescent="0.2">
      <c r="A30" s="74"/>
      <c r="B30" s="75"/>
      <c r="C30" s="76"/>
      <c r="D30" s="77"/>
      <c r="E30" s="76">
        <v>0</v>
      </c>
      <c r="F30" s="77">
        <f>E30*$B$30</f>
        <v>0</v>
      </c>
      <c r="G30" s="76">
        <v>0</v>
      </c>
      <c r="H30" s="77">
        <f>G30*$B$30</f>
        <v>0</v>
      </c>
      <c r="I30" s="76">
        <v>0</v>
      </c>
      <c r="J30" s="77">
        <f>I30*$B$30</f>
        <v>0</v>
      </c>
      <c r="K30" s="76">
        <v>0</v>
      </c>
      <c r="L30" s="77">
        <f>K30*$B$30</f>
        <v>0</v>
      </c>
      <c r="M30" s="76">
        <v>0</v>
      </c>
      <c r="N30" s="77">
        <f>M30*$B$30</f>
        <v>0</v>
      </c>
      <c r="O30" s="76">
        <v>0</v>
      </c>
      <c r="P30" s="77">
        <f>O30*$B$30</f>
        <v>0</v>
      </c>
      <c r="Q30" s="76">
        <v>0</v>
      </c>
      <c r="R30" s="77">
        <f>Q30*$B$30</f>
        <v>0</v>
      </c>
      <c r="S30" s="76">
        <v>0</v>
      </c>
      <c r="T30" s="77">
        <f>S30*$B$30</f>
        <v>0</v>
      </c>
      <c r="U30" s="76">
        <v>0</v>
      </c>
      <c r="V30" s="77">
        <f>U30*$B$30</f>
        <v>0</v>
      </c>
      <c r="W30" s="76"/>
      <c r="X30" s="77"/>
      <c r="Y30" s="76"/>
      <c r="Z30" s="77"/>
      <c r="AB30" s="99"/>
    </row>
    <row r="31" spans="1:28" ht="15" hidden="1" thickBot="1" x14ac:dyDescent="0.2">
      <c r="A31" s="78" t="s">
        <v>11</v>
      </c>
      <c r="B31" s="79"/>
      <c r="C31" s="80"/>
      <c r="D31" s="81"/>
      <c r="E31" s="80"/>
      <c r="F31" s="81"/>
      <c r="G31" s="82"/>
      <c r="H31" s="81"/>
      <c r="I31" s="82"/>
      <c r="J31" s="81"/>
      <c r="K31" s="82"/>
      <c r="L31" s="81"/>
      <c r="M31" s="82"/>
      <c r="N31" s="81"/>
      <c r="O31" s="82"/>
      <c r="P31" s="81"/>
      <c r="Q31" s="82"/>
      <c r="R31" s="81"/>
      <c r="S31" s="82"/>
      <c r="T31" s="81"/>
      <c r="U31" s="82"/>
      <c r="V31" s="81"/>
      <c r="W31" s="82"/>
      <c r="X31" s="81"/>
      <c r="Y31" s="82"/>
      <c r="Z31" s="81"/>
      <c r="AB31" s="99"/>
    </row>
    <row r="32" spans="1:28" ht="16" hidden="1" thickBot="1" x14ac:dyDescent="0.2">
      <c r="A32" s="103" t="s">
        <v>42</v>
      </c>
      <c r="B32" s="188">
        <v>0</v>
      </c>
      <c r="C32" s="71">
        <v>3</v>
      </c>
      <c r="D32" s="24">
        <f>C32*B32</f>
        <v>0</v>
      </c>
      <c r="E32" s="71">
        <v>0</v>
      </c>
      <c r="F32" s="24">
        <f>E32*$B$32</f>
        <v>0</v>
      </c>
      <c r="G32" s="71">
        <v>0</v>
      </c>
      <c r="H32" s="24">
        <f>G32*$B$32</f>
        <v>0</v>
      </c>
      <c r="I32" s="71">
        <v>0</v>
      </c>
      <c r="J32" s="24">
        <f>I32*$B$32</f>
        <v>0</v>
      </c>
      <c r="K32" s="71">
        <v>0</v>
      </c>
      <c r="L32" s="24">
        <f>K32*$B$32</f>
        <v>0</v>
      </c>
      <c r="M32" s="71">
        <v>0</v>
      </c>
      <c r="N32" s="24">
        <f>M32*$B$32</f>
        <v>0</v>
      </c>
      <c r="O32" s="71">
        <v>0</v>
      </c>
      <c r="P32" s="24">
        <f>O32*$B$32</f>
        <v>0</v>
      </c>
      <c r="Q32" s="71">
        <v>0</v>
      </c>
      <c r="R32" s="24">
        <f>Q32*$B$32</f>
        <v>0</v>
      </c>
      <c r="S32" s="71">
        <v>0</v>
      </c>
      <c r="T32" s="24">
        <f>S32*$B$32</f>
        <v>0</v>
      </c>
      <c r="U32" s="71">
        <v>0</v>
      </c>
      <c r="V32" s="24">
        <f>U32*$B$32</f>
        <v>0</v>
      </c>
      <c r="W32" s="71">
        <v>0</v>
      </c>
      <c r="X32" s="24">
        <f t="shared" ref="X32:X37" si="3">W32*B32</f>
        <v>0</v>
      </c>
      <c r="Y32" s="71">
        <v>0</v>
      </c>
      <c r="Z32" s="24">
        <f t="shared" ref="Z32:Z37" si="4">Y32*B32</f>
        <v>0</v>
      </c>
      <c r="AB32" s="185" t="s">
        <v>51</v>
      </c>
    </row>
    <row r="33" spans="1:28" ht="16" hidden="1" thickBot="1" x14ac:dyDescent="0.2">
      <c r="A33" s="103" t="s">
        <v>52</v>
      </c>
      <c r="B33" s="188">
        <v>0</v>
      </c>
      <c r="C33" s="71">
        <v>12</v>
      </c>
      <c r="D33" s="24">
        <f>C33*B33</f>
        <v>0</v>
      </c>
      <c r="E33" s="71">
        <v>0</v>
      </c>
      <c r="F33" s="24">
        <f>E33*$B$32</f>
        <v>0</v>
      </c>
      <c r="G33" s="71">
        <v>0</v>
      </c>
      <c r="H33" s="24">
        <f>G33*$B$32</f>
        <v>0</v>
      </c>
      <c r="I33" s="71">
        <v>0</v>
      </c>
      <c r="J33" s="24">
        <f>I33*$B$32</f>
        <v>0</v>
      </c>
      <c r="K33" s="71">
        <v>0</v>
      </c>
      <c r="L33" s="24">
        <f>K33*$B$32</f>
        <v>0</v>
      </c>
      <c r="M33" s="71">
        <v>0</v>
      </c>
      <c r="N33" s="24">
        <f>M33*$B$32</f>
        <v>0</v>
      </c>
      <c r="O33" s="71">
        <v>0</v>
      </c>
      <c r="P33" s="24">
        <f>O33*$B$32</f>
        <v>0</v>
      </c>
      <c r="Q33" s="71">
        <v>0</v>
      </c>
      <c r="R33" s="24">
        <f>Q33*$B$32</f>
        <v>0</v>
      </c>
      <c r="S33" s="71">
        <v>0</v>
      </c>
      <c r="T33" s="24">
        <f>S33*$B$32</f>
        <v>0</v>
      </c>
      <c r="U33" s="71">
        <v>0</v>
      </c>
      <c r="V33" s="24">
        <f>U33*$B$32</f>
        <v>0</v>
      </c>
      <c r="W33" s="71">
        <v>0</v>
      </c>
      <c r="X33" s="24">
        <f t="shared" si="3"/>
        <v>0</v>
      </c>
      <c r="Y33" s="71">
        <v>0</v>
      </c>
      <c r="Z33" s="24">
        <f t="shared" si="4"/>
        <v>0</v>
      </c>
      <c r="AB33" s="185" t="s">
        <v>53</v>
      </c>
    </row>
    <row r="34" spans="1:28" ht="15" hidden="1" thickBot="1" x14ac:dyDescent="0.2">
      <c r="A34" s="104" t="s">
        <v>54</v>
      </c>
      <c r="B34" s="83">
        <v>0</v>
      </c>
      <c r="C34" s="71">
        <v>252</v>
      </c>
      <c r="D34" s="24">
        <f t="shared" ref="D34:D37" si="5">C34*B34</f>
        <v>0</v>
      </c>
      <c r="E34" s="71">
        <v>0</v>
      </c>
      <c r="F34" s="24">
        <f>E34*$B$34</f>
        <v>0</v>
      </c>
      <c r="G34" s="71">
        <v>0</v>
      </c>
      <c r="H34" s="24">
        <f>G34*$B$34</f>
        <v>0</v>
      </c>
      <c r="I34" s="71">
        <v>0</v>
      </c>
      <c r="J34" s="24">
        <f>I34*$B$34</f>
        <v>0</v>
      </c>
      <c r="K34" s="71">
        <v>0</v>
      </c>
      <c r="L34" s="24">
        <f>K34*$B$34</f>
        <v>0</v>
      </c>
      <c r="M34" s="71">
        <v>0</v>
      </c>
      <c r="N34" s="24">
        <f>M34*$B$34</f>
        <v>0</v>
      </c>
      <c r="O34" s="71">
        <v>0</v>
      </c>
      <c r="P34" s="24">
        <f>O34*$B$34</f>
        <v>0</v>
      </c>
      <c r="Q34" s="71">
        <v>0</v>
      </c>
      <c r="R34" s="24">
        <f>Q34*$B$34</f>
        <v>0</v>
      </c>
      <c r="S34" s="71">
        <v>0</v>
      </c>
      <c r="T34" s="24">
        <f>S34*$B$34</f>
        <v>0</v>
      </c>
      <c r="U34" s="71">
        <v>0</v>
      </c>
      <c r="V34" s="24">
        <f>U34*$B$34</f>
        <v>0</v>
      </c>
      <c r="W34" s="71">
        <v>0</v>
      </c>
      <c r="X34" s="24">
        <f t="shared" si="3"/>
        <v>0</v>
      </c>
      <c r="Y34" s="71">
        <v>0</v>
      </c>
      <c r="Z34" s="24">
        <f t="shared" si="4"/>
        <v>0</v>
      </c>
      <c r="AB34" s="99" t="s">
        <v>55</v>
      </c>
    </row>
    <row r="35" spans="1:28" ht="15" hidden="1" thickBot="1" x14ac:dyDescent="0.2">
      <c r="A35" s="104" t="s">
        <v>43</v>
      </c>
      <c r="B35" s="83">
        <v>0</v>
      </c>
      <c r="C35" s="71">
        <v>12</v>
      </c>
      <c r="D35" s="24">
        <f t="shared" si="5"/>
        <v>0</v>
      </c>
      <c r="E35" s="71">
        <v>0</v>
      </c>
      <c r="F35" s="24">
        <f>E35*$B$34</f>
        <v>0</v>
      </c>
      <c r="G35" s="71">
        <v>0</v>
      </c>
      <c r="H35" s="24">
        <f>G35*$B$34</f>
        <v>0</v>
      </c>
      <c r="I35" s="71">
        <v>0</v>
      </c>
      <c r="J35" s="24">
        <f>I35*$B$34</f>
        <v>0</v>
      </c>
      <c r="K35" s="71">
        <v>0</v>
      </c>
      <c r="L35" s="24">
        <f>K35*$B$34</f>
        <v>0</v>
      </c>
      <c r="M35" s="71">
        <v>0</v>
      </c>
      <c r="N35" s="24">
        <f>M35*$B$34</f>
        <v>0</v>
      </c>
      <c r="O35" s="71">
        <v>0</v>
      </c>
      <c r="P35" s="24">
        <f>O35*$B$34</f>
        <v>0</v>
      </c>
      <c r="Q35" s="71">
        <v>0</v>
      </c>
      <c r="R35" s="24">
        <f>Q35*$B$34</f>
        <v>0</v>
      </c>
      <c r="S35" s="71">
        <v>0</v>
      </c>
      <c r="T35" s="24">
        <f>S35*$B$34</f>
        <v>0</v>
      </c>
      <c r="U35" s="71">
        <v>0</v>
      </c>
      <c r="V35" s="24">
        <f>U35*$B$34</f>
        <v>0</v>
      </c>
      <c r="W35" s="71">
        <v>0</v>
      </c>
      <c r="X35" s="24">
        <f t="shared" si="3"/>
        <v>0</v>
      </c>
      <c r="Y35" s="71">
        <v>0</v>
      </c>
      <c r="Z35" s="24">
        <f t="shared" si="4"/>
        <v>0</v>
      </c>
      <c r="AB35" s="99" t="s">
        <v>56</v>
      </c>
    </row>
    <row r="36" spans="1:28" ht="15" hidden="1" thickBot="1" x14ac:dyDescent="0.2">
      <c r="A36" s="105" t="s">
        <v>37</v>
      </c>
      <c r="B36" s="83">
        <v>0</v>
      </c>
      <c r="C36" s="71">
        <v>12</v>
      </c>
      <c r="D36" s="24">
        <f t="shared" si="5"/>
        <v>0</v>
      </c>
      <c r="E36" s="71">
        <v>0</v>
      </c>
      <c r="F36" s="24">
        <f>E36*$B$36</f>
        <v>0</v>
      </c>
      <c r="G36" s="71">
        <v>0</v>
      </c>
      <c r="H36" s="24">
        <f>G36*$B$36</f>
        <v>0</v>
      </c>
      <c r="I36" s="71">
        <v>0</v>
      </c>
      <c r="J36" s="24">
        <f>I36*$B$36</f>
        <v>0</v>
      </c>
      <c r="K36" s="71">
        <v>0</v>
      </c>
      <c r="L36" s="24">
        <f>K36*$B$36</f>
        <v>0</v>
      </c>
      <c r="M36" s="71">
        <v>0</v>
      </c>
      <c r="N36" s="24">
        <f>M36*$B$36</f>
        <v>0</v>
      </c>
      <c r="O36" s="71">
        <v>0</v>
      </c>
      <c r="P36" s="24">
        <f>O36*$B$36</f>
        <v>0</v>
      </c>
      <c r="Q36" s="71">
        <v>0</v>
      </c>
      <c r="R36" s="24">
        <f>Q36*$B$36</f>
        <v>0</v>
      </c>
      <c r="S36" s="71">
        <v>0</v>
      </c>
      <c r="T36" s="24">
        <f>S36*$B$36</f>
        <v>0</v>
      </c>
      <c r="U36" s="71">
        <v>0</v>
      </c>
      <c r="V36" s="24">
        <f>U36*$B$36</f>
        <v>0</v>
      </c>
      <c r="W36" s="71">
        <v>0</v>
      </c>
      <c r="X36" s="24">
        <f t="shared" si="3"/>
        <v>0</v>
      </c>
      <c r="Y36" s="71">
        <v>0</v>
      </c>
      <c r="Z36" s="24">
        <f t="shared" si="4"/>
        <v>0</v>
      </c>
      <c r="AB36" s="99"/>
    </row>
    <row r="37" spans="1:28" ht="30.75" hidden="1" customHeight="1" thickBot="1" x14ac:dyDescent="0.2">
      <c r="A37" s="106" t="s">
        <v>50</v>
      </c>
      <c r="B37" s="101">
        <v>0</v>
      </c>
      <c r="C37" s="71">
        <v>3</v>
      </c>
      <c r="D37" s="24">
        <f t="shared" si="5"/>
        <v>0</v>
      </c>
      <c r="E37" s="71">
        <v>0</v>
      </c>
      <c r="F37" s="24" t="e">
        <f>E37*#REF!</f>
        <v>#REF!</v>
      </c>
      <c r="G37" s="71">
        <v>0</v>
      </c>
      <c r="H37" s="24" t="e">
        <f>G37*#REF!</f>
        <v>#REF!</v>
      </c>
      <c r="I37" s="71">
        <v>0</v>
      </c>
      <c r="J37" s="24" t="e">
        <f>I37*#REF!</f>
        <v>#REF!</v>
      </c>
      <c r="K37" s="71">
        <v>0</v>
      </c>
      <c r="L37" s="24" t="e">
        <f>K37*#REF!</f>
        <v>#REF!</v>
      </c>
      <c r="M37" s="71">
        <v>0</v>
      </c>
      <c r="N37" s="24" t="e">
        <f>M37*#REF!</f>
        <v>#REF!</v>
      </c>
      <c r="O37" s="71">
        <v>0</v>
      </c>
      <c r="P37" s="24" t="e">
        <f>O37*#REF!</f>
        <v>#REF!</v>
      </c>
      <c r="Q37" s="71">
        <v>0</v>
      </c>
      <c r="R37" s="24" t="e">
        <f>Q37*#REF!</f>
        <v>#REF!</v>
      </c>
      <c r="S37" s="71">
        <v>0</v>
      </c>
      <c r="T37" s="24" t="e">
        <f>S37*#REF!</f>
        <v>#REF!</v>
      </c>
      <c r="U37" s="71">
        <v>0</v>
      </c>
      <c r="V37" s="24" t="e">
        <f>U37*#REF!</f>
        <v>#REF!</v>
      </c>
      <c r="W37" s="71">
        <v>0</v>
      </c>
      <c r="X37" s="24">
        <f t="shared" si="3"/>
        <v>0</v>
      </c>
      <c r="Y37" s="71">
        <v>0</v>
      </c>
      <c r="Z37" s="24">
        <f t="shared" si="4"/>
        <v>0</v>
      </c>
      <c r="AB37" s="99" t="s">
        <v>44</v>
      </c>
    </row>
    <row r="38" spans="1:28" ht="15" thickBot="1" x14ac:dyDescent="0.2">
      <c r="A38" s="84" t="s">
        <v>12</v>
      </c>
      <c r="B38" s="85"/>
      <c r="C38" s="86"/>
      <c r="D38" s="87"/>
      <c r="E38" s="86"/>
      <c r="F38" s="87"/>
      <c r="G38" s="88"/>
      <c r="H38" s="87"/>
      <c r="I38" s="88"/>
      <c r="J38" s="87"/>
      <c r="K38" s="88"/>
      <c r="L38" s="87"/>
      <c r="M38" s="88"/>
      <c r="N38" s="87"/>
      <c r="O38" s="88"/>
      <c r="P38" s="87"/>
      <c r="Q38" s="88"/>
      <c r="R38" s="87"/>
      <c r="S38" s="88"/>
      <c r="T38" s="87"/>
      <c r="U38" s="88"/>
      <c r="V38" s="87"/>
      <c r="W38" s="88"/>
      <c r="X38" s="88"/>
      <c r="Y38" s="88"/>
      <c r="Z38" s="87"/>
      <c r="AB38" s="99"/>
    </row>
    <row r="39" spans="1:28" ht="14" x14ac:dyDescent="0.15">
      <c r="A39" s="172"/>
      <c r="B39" s="173"/>
      <c r="C39" s="174"/>
      <c r="D39" s="175"/>
      <c r="E39" s="176"/>
      <c r="F39" s="175"/>
      <c r="G39" s="176"/>
      <c r="H39" s="175"/>
      <c r="I39" s="176"/>
      <c r="J39" s="175"/>
      <c r="K39" s="176"/>
      <c r="L39" s="175"/>
      <c r="M39" s="176"/>
      <c r="N39" s="175"/>
      <c r="O39" s="176"/>
      <c r="P39" s="175"/>
      <c r="Q39" s="176"/>
      <c r="R39" s="175"/>
      <c r="S39" s="176"/>
      <c r="T39" s="175"/>
      <c r="U39" s="176"/>
      <c r="V39" s="175"/>
      <c r="W39" s="176"/>
      <c r="X39" s="175"/>
      <c r="Y39" s="176"/>
      <c r="Z39" s="175"/>
      <c r="AB39" s="177"/>
    </row>
    <row r="40" spans="1:28" ht="15" x14ac:dyDescent="0.15">
      <c r="A40" s="89" t="s">
        <v>10</v>
      </c>
      <c r="B40" s="90"/>
      <c r="C40" s="71">
        <v>1</v>
      </c>
      <c r="D40" s="38">
        <f>C40*$B$40</f>
        <v>0</v>
      </c>
      <c r="E40" s="71">
        <v>0</v>
      </c>
      <c r="F40" s="38">
        <f>E40*$B$40</f>
        <v>0</v>
      </c>
      <c r="G40" s="71">
        <v>0</v>
      </c>
      <c r="H40" s="38">
        <f>G40*$B$40</f>
        <v>0</v>
      </c>
      <c r="I40" s="71">
        <v>0</v>
      </c>
      <c r="J40" s="38">
        <f>I40*$B$40</f>
        <v>0</v>
      </c>
      <c r="K40" s="71">
        <v>0</v>
      </c>
      <c r="L40" s="38">
        <f>K40*$B$40</f>
        <v>0</v>
      </c>
      <c r="M40" s="71">
        <v>0</v>
      </c>
      <c r="N40" s="38">
        <f>M40*$B$40</f>
        <v>0</v>
      </c>
      <c r="O40" s="71">
        <v>0</v>
      </c>
      <c r="P40" s="38">
        <f>O40*$B$40</f>
        <v>0</v>
      </c>
      <c r="Q40" s="71">
        <v>0</v>
      </c>
      <c r="R40" s="38">
        <f>Q40*$B$40</f>
        <v>0</v>
      </c>
      <c r="S40" s="71">
        <v>0</v>
      </c>
      <c r="T40" s="38">
        <f>S40*$B$40</f>
        <v>0</v>
      </c>
      <c r="U40" s="71">
        <v>0</v>
      </c>
      <c r="V40" s="38">
        <f>U40*$B$40</f>
        <v>0</v>
      </c>
      <c r="W40" s="71">
        <v>0</v>
      </c>
      <c r="X40" s="24">
        <f>W40*B40</f>
        <v>0</v>
      </c>
      <c r="Y40" s="71">
        <v>0</v>
      </c>
      <c r="Z40" s="38">
        <f>Y40*$B$40</f>
        <v>0</v>
      </c>
      <c r="AB40" s="169" t="s">
        <v>49</v>
      </c>
    </row>
    <row r="41" spans="1:28" ht="15" x14ac:dyDescent="0.15">
      <c r="A41" s="191"/>
      <c r="B41" s="90">
        <v>0</v>
      </c>
      <c r="C41" s="71">
        <v>1</v>
      </c>
      <c r="D41" s="38">
        <f>C41*B41</f>
        <v>0</v>
      </c>
      <c r="E41" s="71">
        <v>0</v>
      </c>
      <c r="F41" s="38">
        <f>E41*$B$40</f>
        <v>0</v>
      </c>
      <c r="G41" s="71">
        <v>0</v>
      </c>
      <c r="H41" s="38">
        <f>G41*$B$40</f>
        <v>0</v>
      </c>
      <c r="I41" s="71">
        <v>0</v>
      </c>
      <c r="J41" s="38">
        <f>I41*$B$40</f>
        <v>0</v>
      </c>
      <c r="K41" s="71">
        <v>0</v>
      </c>
      <c r="L41" s="38">
        <f>K41*$B$40</f>
        <v>0</v>
      </c>
      <c r="M41" s="71">
        <v>0</v>
      </c>
      <c r="N41" s="38">
        <f>M41*$B$40</f>
        <v>0</v>
      </c>
      <c r="O41" s="71">
        <v>0</v>
      </c>
      <c r="P41" s="38">
        <f>O41*$B$40</f>
        <v>0</v>
      </c>
      <c r="Q41" s="71">
        <v>0</v>
      </c>
      <c r="R41" s="38">
        <f>Q41*$B$40</f>
        <v>0</v>
      </c>
      <c r="S41" s="71">
        <v>0</v>
      </c>
      <c r="T41" s="38">
        <f>S41*$B$40</f>
        <v>0</v>
      </c>
      <c r="U41" s="71">
        <v>0</v>
      </c>
      <c r="V41" s="38">
        <f>U41*$B$40</f>
        <v>0</v>
      </c>
      <c r="W41" s="71">
        <v>0</v>
      </c>
      <c r="X41" s="24">
        <f>W41*B41</f>
        <v>0</v>
      </c>
      <c r="Y41" s="71">
        <v>0</v>
      </c>
      <c r="Z41" s="38">
        <f>Y41*$B$40</f>
        <v>0</v>
      </c>
      <c r="AB41" s="169" t="s">
        <v>65</v>
      </c>
    </row>
    <row r="42" spans="1:28" ht="15" thickBot="1" x14ac:dyDescent="0.2">
      <c r="A42" s="91"/>
      <c r="B42" s="92"/>
      <c r="C42" s="71"/>
      <c r="D42" s="38"/>
      <c r="E42" s="71"/>
      <c r="F42" s="38"/>
      <c r="G42" s="71"/>
      <c r="H42" s="38"/>
      <c r="I42" s="71"/>
      <c r="J42" s="38"/>
      <c r="K42" s="71"/>
      <c r="L42" s="38"/>
      <c r="M42" s="71"/>
      <c r="N42" s="38"/>
      <c r="O42" s="71"/>
      <c r="P42" s="38"/>
      <c r="Q42" s="71"/>
      <c r="R42" s="38"/>
      <c r="S42" s="71"/>
      <c r="T42" s="38"/>
      <c r="U42" s="71"/>
      <c r="V42" s="38"/>
      <c r="W42" s="71"/>
      <c r="X42" s="38"/>
      <c r="Y42" s="71"/>
      <c r="Z42" s="38"/>
      <c r="AB42" s="99"/>
    </row>
    <row r="43" spans="1:28" ht="13.5" hidden="1" customHeight="1" thickBot="1" x14ac:dyDescent="0.2">
      <c r="A43" s="93"/>
      <c r="B43" s="94">
        <v>0</v>
      </c>
      <c r="C43" s="76">
        <v>0</v>
      </c>
      <c r="D43" s="95">
        <f>+C43*B43</f>
        <v>0</v>
      </c>
      <c r="E43" s="76">
        <v>0</v>
      </c>
      <c r="F43" s="42">
        <f>SUM($B43*E43)</f>
        <v>0</v>
      </c>
      <c r="G43" s="96">
        <v>0</v>
      </c>
      <c r="H43" s="42">
        <f>SUM($B43*G43)</f>
        <v>0</v>
      </c>
      <c r="I43" s="96">
        <v>0</v>
      </c>
      <c r="J43" s="42">
        <f>SUM($B43*I43)</f>
        <v>0</v>
      </c>
      <c r="K43" s="96">
        <v>0</v>
      </c>
      <c r="L43" s="42">
        <f>SUM($B43*K43)</f>
        <v>0</v>
      </c>
      <c r="M43" s="96">
        <v>0</v>
      </c>
      <c r="N43" s="42">
        <f>SUM($B43*M43)</f>
        <v>0</v>
      </c>
      <c r="O43" s="96">
        <v>0</v>
      </c>
      <c r="P43" s="42">
        <f>SUM($B43*O43)</f>
        <v>0</v>
      </c>
      <c r="Q43" s="96">
        <v>0</v>
      </c>
      <c r="R43" s="42">
        <f>SUM($B43*Q43)</f>
        <v>0</v>
      </c>
      <c r="S43" s="96">
        <v>0</v>
      </c>
      <c r="T43" s="42">
        <f>SUM($B43*S43)</f>
        <v>0</v>
      </c>
      <c r="U43" s="96">
        <v>0</v>
      </c>
      <c r="V43" s="42">
        <f>SUM($B43*U43)</f>
        <v>0</v>
      </c>
      <c r="W43" s="76">
        <v>0</v>
      </c>
      <c r="X43" s="95">
        <f>+W43*R43</f>
        <v>0</v>
      </c>
      <c r="Y43" s="76">
        <v>0</v>
      </c>
      <c r="Z43" s="95">
        <f>+Y43*T43</f>
        <v>0</v>
      </c>
      <c r="AB43" s="99"/>
    </row>
    <row r="44" spans="1:28" ht="14" x14ac:dyDescent="0.15">
      <c r="A44" s="107" t="s">
        <v>39</v>
      </c>
      <c r="B44" s="108"/>
      <c r="C44" s="109"/>
      <c r="D44" s="110"/>
      <c r="E44" s="109"/>
      <c r="F44" s="110"/>
      <c r="G44" s="111"/>
      <c r="H44" s="110"/>
      <c r="I44" s="111"/>
      <c r="J44" s="110"/>
      <c r="K44" s="111"/>
      <c r="L44" s="110"/>
      <c r="M44" s="111"/>
      <c r="N44" s="110"/>
      <c r="O44" s="111"/>
      <c r="P44" s="110"/>
      <c r="Q44" s="111"/>
      <c r="R44" s="110"/>
      <c r="S44" s="111"/>
      <c r="T44" s="110"/>
      <c r="U44" s="111"/>
      <c r="V44" s="110"/>
      <c r="W44" s="109"/>
      <c r="X44" s="110"/>
      <c r="Y44" s="109"/>
      <c r="Z44" s="110"/>
      <c r="AB44" s="99"/>
    </row>
    <row r="45" spans="1:28" ht="18.75" customHeight="1" x14ac:dyDescent="0.15">
      <c r="A45" s="112" t="s">
        <v>83</v>
      </c>
      <c r="B45" s="182">
        <v>1250</v>
      </c>
      <c r="C45" s="113">
        <v>1</v>
      </c>
      <c r="D45" s="114">
        <f>C45*$B$45</f>
        <v>1250</v>
      </c>
      <c r="E45" s="115">
        <v>0</v>
      </c>
      <c r="F45" s="114">
        <f>E45*$B$45</f>
        <v>0</v>
      </c>
      <c r="G45" s="115">
        <v>0</v>
      </c>
      <c r="H45" s="114">
        <f>G45*$B$45</f>
        <v>0</v>
      </c>
      <c r="I45" s="115">
        <v>0</v>
      </c>
      <c r="J45" s="114">
        <f>I45*$B$45</f>
        <v>0</v>
      </c>
      <c r="K45" s="115">
        <v>0</v>
      </c>
      <c r="L45" s="114">
        <f>K45*$B$45</f>
        <v>0</v>
      </c>
      <c r="M45" s="115">
        <v>0</v>
      </c>
      <c r="N45" s="114">
        <f>M45*$B$45</f>
        <v>0</v>
      </c>
      <c r="O45" s="115">
        <v>0</v>
      </c>
      <c r="P45" s="114">
        <f>O45*$B$45</f>
        <v>0</v>
      </c>
      <c r="Q45" s="115">
        <v>0</v>
      </c>
      <c r="R45" s="114">
        <f>Q45*$B$45</f>
        <v>0</v>
      </c>
      <c r="S45" s="115">
        <v>0</v>
      </c>
      <c r="T45" s="114">
        <f>S45*$B$45</f>
        <v>0</v>
      </c>
      <c r="U45" s="115">
        <v>0</v>
      </c>
      <c r="V45" s="114">
        <f>U45*$B$45</f>
        <v>0</v>
      </c>
      <c r="W45" s="113">
        <v>0</v>
      </c>
      <c r="X45" s="114">
        <f>W45*$B$45</f>
        <v>0</v>
      </c>
      <c r="Y45" s="113">
        <v>0</v>
      </c>
      <c r="Z45" s="114">
        <f>Y45*$B$45</f>
        <v>0</v>
      </c>
      <c r="AB45" s="99"/>
    </row>
    <row r="46" spans="1:28" ht="18.75" hidden="1" customHeight="1" x14ac:dyDescent="0.15">
      <c r="A46" s="112"/>
      <c r="B46" s="182"/>
      <c r="C46" s="113">
        <v>1</v>
      </c>
      <c r="D46" s="114">
        <f>C46*B46</f>
        <v>0</v>
      </c>
      <c r="E46" s="115">
        <v>0</v>
      </c>
      <c r="F46" s="114">
        <f>E46*$B$46</f>
        <v>0</v>
      </c>
      <c r="G46" s="115">
        <v>0</v>
      </c>
      <c r="H46" s="114">
        <f>G46*$B$46</f>
        <v>0</v>
      </c>
      <c r="I46" s="115">
        <v>0</v>
      </c>
      <c r="J46" s="114">
        <f>I46*$B$46</f>
        <v>0</v>
      </c>
      <c r="K46" s="115">
        <v>0</v>
      </c>
      <c r="L46" s="114">
        <f>K46*$B$46</f>
        <v>0</v>
      </c>
      <c r="M46" s="115">
        <v>0</v>
      </c>
      <c r="N46" s="114">
        <f>M46*$B$46</f>
        <v>0</v>
      </c>
      <c r="O46" s="115">
        <v>0</v>
      </c>
      <c r="P46" s="114">
        <f>O46*$B$46</f>
        <v>0</v>
      </c>
      <c r="Q46" s="115">
        <v>0</v>
      </c>
      <c r="R46" s="114">
        <f>Q46*$B$45</f>
        <v>0</v>
      </c>
      <c r="S46" s="115">
        <v>0</v>
      </c>
      <c r="T46" s="114">
        <f>S46*$B$45</f>
        <v>0</v>
      </c>
      <c r="U46" s="115">
        <v>0</v>
      </c>
      <c r="V46" s="114">
        <f>U46*$B$45</f>
        <v>0</v>
      </c>
      <c r="W46" s="113">
        <v>0</v>
      </c>
      <c r="X46" s="114">
        <f>W46*$B$46</f>
        <v>0</v>
      </c>
      <c r="Y46" s="113">
        <v>0</v>
      </c>
      <c r="Z46" s="114">
        <f>Y46*$B$46</f>
        <v>0</v>
      </c>
      <c r="AB46" s="99"/>
    </row>
    <row r="47" spans="1:28" ht="18.75" hidden="1" customHeight="1" x14ac:dyDescent="0.15">
      <c r="A47" s="112"/>
      <c r="B47" s="182"/>
      <c r="C47" s="113">
        <v>0</v>
      </c>
      <c r="D47" s="114">
        <f>C47*B47</f>
        <v>0</v>
      </c>
      <c r="E47" s="115">
        <v>0</v>
      </c>
      <c r="F47" s="114">
        <f>E47*$B$47</f>
        <v>0</v>
      </c>
      <c r="G47" s="115">
        <v>0</v>
      </c>
      <c r="H47" s="114">
        <f>G47*$B$47</f>
        <v>0</v>
      </c>
      <c r="I47" s="115">
        <v>0</v>
      </c>
      <c r="J47" s="114">
        <f>I47*$B$47</f>
        <v>0</v>
      </c>
      <c r="K47" s="115">
        <v>0</v>
      </c>
      <c r="L47" s="114">
        <f>K47*$B$47</f>
        <v>0</v>
      </c>
      <c r="M47" s="115">
        <v>0</v>
      </c>
      <c r="N47" s="114">
        <f>M47*$B$47</f>
        <v>0</v>
      </c>
      <c r="O47" s="115">
        <v>0</v>
      </c>
      <c r="P47" s="114">
        <f>O47*$B$47</f>
        <v>0</v>
      </c>
      <c r="Q47" s="115">
        <v>0</v>
      </c>
      <c r="R47" s="114">
        <f>Q47*$B$47</f>
        <v>0</v>
      </c>
      <c r="S47" s="115">
        <v>0</v>
      </c>
      <c r="T47" s="114">
        <f>S47*$B$47</f>
        <v>0</v>
      </c>
      <c r="U47" s="115">
        <v>0</v>
      </c>
      <c r="V47" s="114">
        <f>U47*$B$47</f>
        <v>0</v>
      </c>
      <c r="W47" s="113">
        <v>0</v>
      </c>
      <c r="X47" s="114">
        <f>W47*$B$47</f>
        <v>0</v>
      </c>
      <c r="Y47" s="113">
        <v>0</v>
      </c>
      <c r="Z47" s="114">
        <f>Y47*$B$47</f>
        <v>0</v>
      </c>
      <c r="AB47" s="99"/>
    </row>
    <row r="48" spans="1:28" ht="18.75" hidden="1" customHeight="1" x14ac:dyDescent="0.15">
      <c r="A48" s="112"/>
      <c r="B48" s="182"/>
      <c r="C48" s="113">
        <v>0</v>
      </c>
      <c r="D48" s="114">
        <f>C48*$B$48</f>
        <v>0</v>
      </c>
      <c r="E48" s="115">
        <v>0</v>
      </c>
      <c r="F48" s="114">
        <f>E48*$B$48</f>
        <v>0</v>
      </c>
      <c r="G48" s="115">
        <v>0</v>
      </c>
      <c r="H48" s="114">
        <f>G48*$B$48</f>
        <v>0</v>
      </c>
      <c r="I48" s="115">
        <v>0</v>
      </c>
      <c r="J48" s="114">
        <f>I48*$B$48</f>
        <v>0</v>
      </c>
      <c r="K48" s="115">
        <v>0</v>
      </c>
      <c r="L48" s="114">
        <f>K48*$B$48</f>
        <v>0</v>
      </c>
      <c r="M48" s="115">
        <v>0</v>
      </c>
      <c r="N48" s="114">
        <f>M48*$B$48</f>
        <v>0</v>
      </c>
      <c r="O48" s="115">
        <v>0</v>
      </c>
      <c r="P48" s="114">
        <f>O48*$B$48</f>
        <v>0</v>
      </c>
      <c r="Q48" s="115">
        <v>0</v>
      </c>
      <c r="R48" s="114">
        <f>Q48*$B$48</f>
        <v>0</v>
      </c>
      <c r="S48" s="115">
        <v>0</v>
      </c>
      <c r="T48" s="114">
        <f>S48*$B$48</f>
        <v>0</v>
      </c>
      <c r="U48" s="115">
        <v>0</v>
      </c>
      <c r="V48" s="114">
        <f>U48*$B$48</f>
        <v>0</v>
      </c>
      <c r="W48" s="113">
        <v>1</v>
      </c>
      <c r="X48" s="114">
        <f>W48*$B$48</f>
        <v>0</v>
      </c>
      <c r="Y48" s="113">
        <v>1</v>
      </c>
      <c r="Z48" s="114">
        <f>Y48*$B$48</f>
        <v>0</v>
      </c>
      <c r="AB48" s="99"/>
    </row>
    <row r="49" spans="1:31" ht="15" x14ac:dyDescent="0.15">
      <c r="A49" s="112" t="s">
        <v>79</v>
      </c>
      <c r="B49" s="182">
        <v>5000</v>
      </c>
      <c r="C49" s="113">
        <v>1</v>
      </c>
      <c r="D49" s="114">
        <f>C49*$B$49</f>
        <v>5000</v>
      </c>
      <c r="E49" s="115">
        <v>0</v>
      </c>
      <c r="F49" s="114">
        <f>E49*$B$48</f>
        <v>0</v>
      </c>
      <c r="G49" s="115">
        <v>0</v>
      </c>
      <c r="H49" s="114">
        <f>G49*$B$48</f>
        <v>0</v>
      </c>
      <c r="I49" s="115">
        <v>0</v>
      </c>
      <c r="J49" s="114">
        <f>I49*$B$48</f>
        <v>0</v>
      </c>
      <c r="K49" s="115">
        <v>0</v>
      </c>
      <c r="L49" s="114">
        <f>K49*$B$48</f>
        <v>0</v>
      </c>
      <c r="M49" s="115">
        <v>0</v>
      </c>
      <c r="N49" s="114">
        <f>M49*$B$48</f>
        <v>0</v>
      </c>
      <c r="O49" s="115">
        <v>0</v>
      </c>
      <c r="P49" s="114">
        <f>O49*$B$48</f>
        <v>0</v>
      </c>
      <c r="Q49" s="115">
        <v>0</v>
      </c>
      <c r="R49" s="114">
        <f>Q49*$B$48</f>
        <v>0</v>
      </c>
      <c r="S49" s="115">
        <v>0</v>
      </c>
      <c r="T49" s="114">
        <f>S49*$B$48</f>
        <v>0</v>
      </c>
      <c r="U49" s="115">
        <v>0</v>
      </c>
      <c r="V49" s="114">
        <f>U49*$B$48</f>
        <v>0</v>
      </c>
      <c r="W49" s="113">
        <v>0</v>
      </c>
      <c r="X49" s="114">
        <f>W49*$B$48</f>
        <v>0</v>
      </c>
      <c r="Y49" s="113">
        <v>0</v>
      </c>
      <c r="Z49" s="114">
        <f>Y49*$B$48</f>
        <v>0</v>
      </c>
      <c r="AB49" s="99"/>
      <c r="AE49" s="99"/>
    </row>
    <row r="50" spans="1:31" ht="15" hidden="1" customHeight="1" x14ac:dyDescent="0.15">
      <c r="A50" s="112"/>
      <c r="B50" s="182"/>
      <c r="C50" s="113">
        <v>0</v>
      </c>
      <c r="D50" s="114">
        <f>C50*$B$50</f>
        <v>0</v>
      </c>
      <c r="E50" s="115">
        <v>0</v>
      </c>
      <c r="F50" s="114">
        <f>E50*$B$50</f>
        <v>0</v>
      </c>
      <c r="G50" s="115">
        <v>0</v>
      </c>
      <c r="H50" s="114">
        <f>G50*$B$50</f>
        <v>0</v>
      </c>
      <c r="I50" s="115">
        <v>0</v>
      </c>
      <c r="J50" s="114">
        <f>I50*$B$50</f>
        <v>0</v>
      </c>
      <c r="K50" s="115">
        <v>0</v>
      </c>
      <c r="L50" s="114">
        <f>K50*$B$50</f>
        <v>0</v>
      </c>
      <c r="M50" s="115">
        <v>0</v>
      </c>
      <c r="N50" s="114">
        <f>M50*$B$50</f>
        <v>0</v>
      </c>
      <c r="O50" s="115">
        <v>0</v>
      </c>
      <c r="P50" s="114">
        <f>O50*$B$50</f>
        <v>0</v>
      </c>
      <c r="Q50" s="115">
        <v>0</v>
      </c>
      <c r="R50" s="114">
        <f>Q50*$B$50</f>
        <v>0</v>
      </c>
      <c r="S50" s="115">
        <v>0</v>
      </c>
      <c r="T50" s="114">
        <f>S50*$B$50</f>
        <v>0</v>
      </c>
      <c r="U50" s="115">
        <v>0</v>
      </c>
      <c r="V50" s="114">
        <f>U50*$B$50</f>
        <v>0</v>
      </c>
      <c r="W50" s="113">
        <v>0</v>
      </c>
      <c r="X50" s="114">
        <f>W50*$B$50</f>
        <v>0</v>
      </c>
      <c r="Y50" s="113">
        <v>0</v>
      </c>
      <c r="Z50" s="114">
        <f>Y50*$B$50</f>
        <v>0</v>
      </c>
      <c r="AB50" s="99"/>
    </row>
    <row r="51" spans="1:31" ht="15" hidden="1" customHeight="1" x14ac:dyDescent="0.15">
      <c r="A51" s="112"/>
      <c r="B51" s="182"/>
      <c r="C51" s="113">
        <v>0</v>
      </c>
      <c r="D51" s="114">
        <f>C51*$B$51</f>
        <v>0</v>
      </c>
      <c r="E51" s="115">
        <v>0</v>
      </c>
      <c r="F51" s="114">
        <f>E51*$B$50</f>
        <v>0</v>
      </c>
      <c r="G51" s="115">
        <v>0</v>
      </c>
      <c r="H51" s="114">
        <f>G51*$B$50</f>
        <v>0</v>
      </c>
      <c r="I51" s="115">
        <v>0</v>
      </c>
      <c r="J51" s="114">
        <f>I51*$B$50</f>
        <v>0</v>
      </c>
      <c r="K51" s="115">
        <v>0</v>
      </c>
      <c r="L51" s="114">
        <f>K51*$B$50</f>
        <v>0</v>
      </c>
      <c r="M51" s="115">
        <v>0</v>
      </c>
      <c r="N51" s="114">
        <f>M51*$B$50</f>
        <v>0</v>
      </c>
      <c r="O51" s="115">
        <v>0</v>
      </c>
      <c r="P51" s="114">
        <f>O51*$B$50</f>
        <v>0</v>
      </c>
      <c r="Q51" s="115">
        <v>0</v>
      </c>
      <c r="R51" s="114">
        <f>Q51*$B$50</f>
        <v>0</v>
      </c>
      <c r="S51" s="115">
        <v>0</v>
      </c>
      <c r="T51" s="114">
        <f>S51*$B$50</f>
        <v>0</v>
      </c>
      <c r="U51" s="115">
        <v>0</v>
      </c>
      <c r="V51" s="114">
        <f>U51*$B$50</f>
        <v>0</v>
      </c>
      <c r="W51" s="113">
        <v>0</v>
      </c>
      <c r="X51" s="114">
        <f>W51*$B$50</f>
        <v>0</v>
      </c>
      <c r="Y51" s="113">
        <v>0</v>
      </c>
      <c r="Z51" s="114">
        <f>Y51*$B$50</f>
        <v>0</v>
      </c>
      <c r="AB51" s="99"/>
    </row>
    <row r="52" spans="1:31" ht="15" hidden="1" customHeight="1" x14ac:dyDescent="0.15">
      <c r="A52" s="112"/>
      <c r="B52" s="182"/>
      <c r="C52" s="113">
        <v>0</v>
      </c>
      <c r="D52" s="114">
        <f>C52*$B$52</f>
        <v>0</v>
      </c>
      <c r="E52" s="115">
        <v>0</v>
      </c>
      <c r="F52" s="114">
        <f>E52*$B$52</f>
        <v>0</v>
      </c>
      <c r="G52" s="115">
        <v>0</v>
      </c>
      <c r="H52" s="114">
        <f>G52*$B$52</f>
        <v>0</v>
      </c>
      <c r="I52" s="115">
        <v>0</v>
      </c>
      <c r="J52" s="114">
        <f>I52*$B$52</f>
        <v>0</v>
      </c>
      <c r="K52" s="115">
        <v>0</v>
      </c>
      <c r="L52" s="114">
        <f>K52*$B$52</f>
        <v>0</v>
      </c>
      <c r="M52" s="115">
        <v>0</v>
      </c>
      <c r="N52" s="114">
        <f>M52*$B$52</f>
        <v>0</v>
      </c>
      <c r="O52" s="115">
        <v>0</v>
      </c>
      <c r="P52" s="114">
        <f>O52*$B$52</f>
        <v>0</v>
      </c>
      <c r="Q52" s="115">
        <v>0</v>
      </c>
      <c r="R52" s="114">
        <f>Q52*$B$52</f>
        <v>0</v>
      </c>
      <c r="S52" s="115">
        <v>0</v>
      </c>
      <c r="T52" s="114">
        <f>S52*$B$52</f>
        <v>0</v>
      </c>
      <c r="U52" s="115">
        <v>0</v>
      </c>
      <c r="V52" s="114">
        <f>U52*$B$52</f>
        <v>0</v>
      </c>
      <c r="W52" s="113">
        <v>0</v>
      </c>
      <c r="X52" s="114">
        <f>W52*$B$52</f>
        <v>0</v>
      </c>
      <c r="Y52" s="113">
        <v>0</v>
      </c>
      <c r="Z52" s="114">
        <f>Y52*$B$52</f>
        <v>0</v>
      </c>
      <c r="AB52" s="99"/>
    </row>
    <row r="53" spans="1:31" ht="15" hidden="1" customHeight="1" x14ac:dyDescent="0.15">
      <c r="A53" s="116"/>
      <c r="B53" s="182"/>
      <c r="C53" s="113">
        <v>0</v>
      </c>
      <c r="D53" s="114">
        <f>C53*$B$53</f>
        <v>0</v>
      </c>
      <c r="E53" s="115">
        <v>0</v>
      </c>
      <c r="F53" s="114">
        <f>E53*$B$52</f>
        <v>0</v>
      </c>
      <c r="G53" s="115">
        <v>0</v>
      </c>
      <c r="H53" s="114">
        <f>G53*$B$52</f>
        <v>0</v>
      </c>
      <c r="I53" s="115">
        <v>0</v>
      </c>
      <c r="J53" s="114">
        <f>I53*$B$52</f>
        <v>0</v>
      </c>
      <c r="K53" s="115">
        <v>0</v>
      </c>
      <c r="L53" s="114">
        <f>K53*$B$52</f>
        <v>0</v>
      </c>
      <c r="M53" s="115">
        <v>0</v>
      </c>
      <c r="N53" s="114">
        <f>M53*$B$52</f>
        <v>0</v>
      </c>
      <c r="O53" s="115">
        <v>0</v>
      </c>
      <c r="P53" s="114">
        <f>O53*$B$52</f>
        <v>0</v>
      </c>
      <c r="Q53" s="115">
        <v>0</v>
      </c>
      <c r="R53" s="114">
        <f>Q53*$B$52</f>
        <v>0</v>
      </c>
      <c r="S53" s="115">
        <v>0</v>
      </c>
      <c r="T53" s="114">
        <f>S53*$B$52</f>
        <v>0</v>
      </c>
      <c r="U53" s="115">
        <v>0</v>
      </c>
      <c r="V53" s="114">
        <f>U53*$B$52</f>
        <v>0</v>
      </c>
      <c r="W53" s="113">
        <v>0</v>
      </c>
      <c r="X53" s="114">
        <f>W53*$B$52</f>
        <v>0</v>
      </c>
      <c r="Y53" s="113">
        <v>0</v>
      </c>
      <c r="Z53" s="114">
        <f>Y53*$B$52</f>
        <v>0</v>
      </c>
      <c r="AB53" s="99"/>
    </row>
    <row r="54" spans="1:31" ht="15" hidden="1" customHeight="1" x14ac:dyDescent="0.15">
      <c r="A54" s="116"/>
      <c r="B54" s="182"/>
      <c r="C54" s="113">
        <v>0</v>
      </c>
      <c r="D54" s="114">
        <f>C54*$B$54</f>
        <v>0</v>
      </c>
      <c r="E54" s="115">
        <v>0</v>
      </c>
      <c r="F54" s="114">
        <f>E54*$B$54</f>
        <v>0</v>
      </c>
      <c r="G54" s="115">
        <v>0</v>
      </c>
      <c r="H54" s="114">
        <f>G54*$B$54</f>
        <v>0</v>
      </c>
      <c r="I54" s="115">
        <v>0</v>
      </c>
      <c r="J54" s="114">
        <f>I54*$B$54</f>
        <v>0</v>
      </c>
      <c r="K54" s="115">
        <v>0</v>
      </c>
      <c r="L54" s="114">
        <f>K54*$B$54</f>
        <v>0</v>
      </c>
      <c r="M54" s="115">
        <v>0</v>
      </c>
      <c r="N54" s="114">
        <f>M54*$B$54</f>
        <v>0</v>
      </c>
      <c r="O54" s="115">
        <v>0</v>
      </c>
      <c r="P54" s="114">
        <f>O54*$B$54</f>
        <v>0</v>
      </c>
      <c r="Q54" s="115">
        <v>0</v>
      </c>
      <c r="R54" s="114">
        <f>Q54*$B$54</f>
        <v>0</v>
      </c>
      <c r="S54" s="115">
        <v>0</v>
      </c>
      <c r="T54" s="114">
        <f>S54*$B$54</f>
        <v>0</v>
      </c>
      <c r="U54" s="115">
        <v>0</v>
      </c>
      <c r="V54" s="114">
        <f>U54*$B$54</f>
        <v>0</v>
      </c>
      <c r="W54" s="113">
        <v>0</v>
      </c>
      <c r="X54" s="114">
        <f>W54*$B$54</f>
        <v>0</v>
      </c>
      <c r="Y54" s="113">
        <v>0</v>
      </c>
      <c r="Z54" s="114">
        <f>Y54*$B$54</f>
        <v>0</v>
      </c>
      <c r="AB54" s="99"/>
    </row>
    <row r="55" spans="1:31" ht="15" hidden="1" customHeight="1" x14ac:dyDescent="0.15">
      <c r="A55" s="116"/>
      <c r="B55" s="182"/>
      <c r="C55" s="113">
        <v>0</v>
      </c>
      <c r="D55" s="114">
        <f>C55*$B$54</f>
        <v>0</v>
      </c>
      <c r="E55" s="115">
        <v>0</v>
      </c>
      <c r="F55" s="114">
        <f>E55*$B$54</f>
        <v>0</v>
      </c>
      <c r="G55" s="115">
        <v>0</v>
      </c>
      <c r="H55" s="114">
        <f>G55*$B$54</f>
        <v>0</v>
      </c>
      <c r="I55" s="115">
        <v>0</v>
      </c>
      <c r="J55" s="114">
        <f>I55*$B$54</f>
        <v>0</v>
      </c>
      <c r="K55" s="115">
        <v>0</v>
      </c>
      <c r="L55" s="114">
        <f>K55*$B$54</f>
        <v>0</v>
      </c>
      <c r="M55" s="115">
        <v>0</v>
      </c>
      <c r="N55" s="114">
        <f>M55*$B$54</f>
        <v>0</v>
      </c>
      <c r="O55" s="115">
        <v>0</v>
      </c>
      <c r="P55" s="114">
        <f>O55*$B$54</f>
        <v>0</v>
      </c>
      <c r="Q55" s="115">
        <v>0</v>
      </c>
      <c r="R55" s="114">
        <f>Q55*$B$54</f>
        <v>0</v>
      </c>
      <c r="S55" s="115">
        <v>0</v>
      </c>
      <c r="T55" s="114">
        <f>S55*$B$54</f>
        <v>0</v>
      </c>
      <c r="U55" s="115">
        <v>0</v>
      </c>
      <c r="V55" s="114">
        <f>U55*$B$54</f>
        <v>0</v>
      </c>
      <c r="W55" s="113">
        <v>0</v>
      </c>
      <c r="X55" s="114">
        <f>W55*$B$54</f>
        <v>0</v>
      </c>
      <c r="Y55" s="113">
        <v>0</v>
      </c>
      <c r="Z55" s="114">
        <f>Y55*$B$54</f>
        <v>0</v>
      </c>
      <c r="AB55" s="99"/>
    </row>
    <row r="56" spans="1:31" ht="15" hidden="1" customHeight="1" x14ac:dyDescent="0.15">
      <c r="A56" s="116"/>
      <c r="B56" s="182"/>
      <c r="C56" s="113">
        <v>0</v>
      </c>
      <c r="D56" s="114">
        <f>C56*$B$56</f>
        <v>0</v>
      </c>
      <c r="E56" s="115">
        <v>0</v>
      </c>
      <c r="F56" s="114">
        <f>E56*$B$52</f>
        <v>0</v>
      </c>
      <c r="G56" s="115">
        <v>0</v>
      </c>
      <c r="H56" s="114">
        <f>G56*$B$52</f>
        <v>0</v>
      </c>
      <c r="I56" s="115">
        <v>0</v>
      </c>
      <c r="J56" s="114">
        <f>I56*$B$52</f>
        <v>0</v>
      </c>
      <c r="K56" s="115">
        <v>0</v>
      </c>
      <c r="L56" s="114">
        <f>K56*$B$52</f>
        <v>0</v>
      </c>
      <c r="M56" s="115">
        <v>0</v>
      </c>
      <c r="N56" s="114">
        <f>M56*$B$52</f>
        <v>0</v>
      </c>
      <c r="O56" s="115">
        <v>0</v>
      </c>
      <c r="P56" s="114">
        <f>O56*$B$52</f>
        <v>0</v>
      </c>
      <c r="Q56" s="115">
        <v>0</v>
      </c>
      <c r="R56" s="114">
        <f>Q56*$B$52</f>
        <v>0</v>
      </c>
      <c r="S56" s="115">
        <v>0</v>
      </c>
      <c r="T56" s="114">
        <f>S56*$B$52</f>
        <v>0</v>
      </c>
      <c r="U56" s="115">
        <v>0</v>
      </c>
      <c r="V56" s="114">
        <f>U56*$B$52</f>
        <v>0</v>
      </c>
      <c r="W56" s="113">
        <v>0</v>
      </c>
      <c r="X56" s="114">
        <f>W56*$B$52</f>
        <v>0</v>
      </c>
      <c r="Y56" s="113">
        <v>0</v>
      </c>
      <c r="Z56" s="114">
        <f>Y56*$B$52</f>
        <v>0</v>
      </c>
      <c r="AB56" s="99"/>
    </row>
    <row r="57" spans="1:31" ht="15" hidden="1" customHeight="1" x14ac:dyDescent="0.15">
      <c r="A57" s="116"/>
      <c r="B57" s="182"/>
      <c r="C57" s="113">
        <v>0</v>
      </c>
      <c r="D57" s="114">
        <f>C57*$B$57</f>
        <v>0</v>
      </c>
      <c r="E57" s="115">
        <v>0</v>
      </c>
      <c r="F57" s="114">
        <f>E57*$B$57</f>
        <v>0</v>
      </c>
      <c r="G57" s="115">
        <v>0</v>
      </c>
      <c r="H57" s="114">
        <f>G57*$B$57</f>
        <v>0</v>
      </c>
      <c r="I57" s="115">
        <v>0</v>
      </c>
      <c r="J57" s="114">
        <f>I57*$B$57</f>
        <v>0</v>
      </c>
      <c r="K57" s="115">
        <v>0</v>
      </c>
      <c r="L57" s="114">
        <f>K57*$B$57</f>
        <v>0</v>
      </c>
      <c r="M57" s="115">
        <v>0</v>
      </c>
      <c r="N57" s="114">
        <f>M57*$B$57</f>
        <v>0</v>
      </c>
      <c r="O57" s="115">
        <v>0</v>
      </c>
      <c r="P57" s="114">
        <f>O57*$B$57</f>
        <v>0</v>
      </c>
      <c r="Q57" s="115">
        <v>0</v>
      </c>
      <c r="R57" s="114">
        <f>Q57*$B$57</f>
        <v>0</v>
      </c>
      <c r="S57" s="115">
        <v>0</v>
      </c>
      <c r="T57" s="114">
        <f>S57*$B$57</f>
        <v>0</v>
      </c>
      <c r="U57" s="115">
        <v>0</v>
      </c>
      <c r="V57" s="114">
        <f>U57*$B$57</f>
        <v>0</v>
      </c>
      <c r="W57" s="113">
        <v>0</v>
      </c>
      <c r="X57" s="114">
        <f>W57*$B$57</f>
        <v>0</v>
      </c>
      <c r="Y57" s="113">
        <v>0</v>
      </c>
      <c r="Z57" s="114">
        <f>Y57*$B$57</f>
        <v>0</v>
      </c>
      <c r="AB57" s="99"/>
    </row>
    <row r="58" spans="1:31" ht="15" hidden="1" customHeight="1" x14ac:dyDescent="0.15">
      <c r="A58" s="116"/>
      <c r="B58" s="182"/>
      <c r="C58" s="113">
        <v>0</v>
      </c>
      <c r="D58" s="114">
        <f>C58*$B$58</f>
        <v>0</v>
      </c>
      <c r="E58" s="115">
        <v>0</v>
      </c>
      <c r="F58" s="114">
        <f>E58*$B$57</f>
        <v>0</v>
      </c>
      <c r="G58" s="115">
        <v>0</v>
      </c>
      <c r="H58" s="114">
        <f>G58*$B$57</f>
        <v>0</v>
      </c>
      <c r="I58" s="115">
        <v>0</v>
      </c>
      <c r="J58" s="114">
        <f>I58*$B$57</f>
        <v>0</v>
      </c>
      <c r="K58" s="115">
        <v>0</v>
      </c>
      <c r="L58" s="114">
        <f>K58*$B$57</f>
        <v>0</v>
      </c>
      <c r="M58" s="115">
        <v>0</v>
      </c>
      <c r="N58" s="114">
        <f>M58*$B$57</f>
        <v>0</v>
      </c>
      <c r="O58" s="115">
        <v>0</v>
      </c>
      <c r="P58" s="114">
        <f>O58*$B$57</f>
        <v>0</v>
      </c>
      <c r="Q58" s="115">
        <v>0</v>
      </c>
      <c r="R58" s="114">
        <f>Q58*$B$57</f>
        <v>0</v>
      </c>
      <c r="S58" s="115">
        <v>0</v>
      </c>
      <c r="T58" s="114">
        <f>S58*$B$57</f>
        <v>0</v>
      </c>
      <c r="U58" s="115">
        <v>0</v>
      </c>
      <c r="V58" s="114">
        <f>U58*$B$57</f>
        <v>0</v>
      </c>
      <c r="W58" s="113">
        <v>0</v>
      </c>
      <c r="X58" s="114">
        <f>W58*$B$57</f>
        <v>0</v>
      </c>
      <c r="Y58" s="113">
        <v>0</v>
      </c>
      <c r="Z58" s="114">
        <f>Y58*$B$57</f>
        <v>0</v>
      </c>
      <c r="AB58" s="99"/>
    </row>
    <row r="59" spans="1:31" ht="15" hidden="1" customHeight="1" x14ac:dyDescent="0.15">
      <c r="A59" s="116"/>
      <c r="B59" s="182"/>
      <c r="C59" s="113">
        <v>0</v>
      </c>
      <c r="D59" s="114">
        <f>C59*$B$59</f>
        <v>0</v>
      </c>
      <c r="E59" s="115">
        <v>0</v>
      </c>
      <c r="F59" s="114">
        <f>E59*$B$59</f>
        <v>0</v>
      </c>
      <c r="G59" s="115">
        <v>0</v>
      </c>
      <c r="H59" s="114">
        <f>G59*$B$59</f>
        <v>0</v>
      </c>
      <c r="I59" s="115">
        <v>0</v>
      </c>
      <c r="J59" s="114">
        <f>I59*$B$59</f>
        <v>0</v>
      </c>
      <c r="K59" s="115">
        <v>0</v>
      </c>
      <c r="L59" s="114">
        <f>K59*$B$59</f>
        <v>0</v>
      </c>
      <c r="M59" s="115">
        <v>0</v>
      </c>
      <c r="N59" s="114">
        <f>M59*$B$59</f>
        <v>0</v>
      </c>
      <c r="O59" s="115">
        <v>0</v>
      </c>
      <c r="P59" s="114">
        <f>O59*$B$59</f>
        <v>0</v>
      </c>
      <c r="Q59" s="115">
        <v>0</v>
      </c>
      <c r="R59" s="114">
        <f>Q59*$B$59</f>
        <v>0</v>
      </c>
      <c r="S59" s="115">
        <v>0</v>
      </c>
      <c r="T59" s="114">
        <f>S59*$B$59</f>
        <v>0</v>
      </c>
      <c r="U59" s="115">
        <v>0</v>
      </c>
      <c r="V59" s="114">
        <f>U59*$B$59</f>
        <v>0</v>
      </c>
      <c r="W59" s="113">
        <v>0</v>
      </c>
      <c r="X59" s="114">
        <f>W59*$B$59</f>
        <v>0</v>
      </c>
      <c r="Y59" s="113">
        <v>0</v>
      </c>
      <c r="Z59" s="114">
        <f>Y59*$B$59</f>
        <v>0</v>
      </c>
      <c r="AB59" s="99"/>
    </row>
    <row r="60" spans="1:31" s="1" customFormat="1" ht="15" hidden="1" customHeight="1" x14ac:dyDescent="0.15">
      <c r="A60" s="116"/>
      <c r="B60" s="182"/>
      <c r="C60" s="113">
        <v>0</v>
      </c>
      <c r="D60" s="117">
        <f>C60*$B$60</f>
        <v>0</v>
      </c>
      <c r="E60" s="115">
        <v>0</v>
      </c>
      <c r="F60" s="117">
        <f>E60*$B$60</f>
        <v>0</v>
      </c>
      <c r="G60" s="115">
        <v>0</v>
      </c>
      <c r="H60" s="117">
        <f>G60*$B$60</f>
        <v>0</v>
      </c>
      <c r="I60" s="115">
        <v>0</v>
      </c>
      <c r="J60" s="117">
        <f>I60*$B$60</f>
        <v>0</v>
      </c>
      <c r="K60" s="115">
        <v>0</v>
      </c>
      <c r="L60" s="117">
        <f>K60*$B$60</f>
        <v>0</v>
      </c>
      <c r="M60" s="115">
        <v>0</v>
      </c>
      <c r="N60" s="117">
        <f>M60*$B$60</f>
        <v>0</v>
      </c>
      <c r="O60" s="115">
        <v>0</v>
      </c>
      <c r="P60" s="117">
        <f>O60*$B$60</f>
        <v>0</v>
      </c>
      <c r="Q60" s="115">
        <v>0</v>
      </c>
      <c r="R60" s="117">
        <f>Q60*$B$60</f>
        <v>0</v>
      </c>
      <c r="S60" s="115">
        <v>0</v>
      </c>
      <c r="T60" s="117">
        <f>S60*$B$60</f>
        <v>0</v>
      </c>
      <c r="U60" s="115">
        <v>0</v>
      </c>
      <c r="V60" s="117">
        <f>U60*$B$60</f>
        <v>0</v>
      </c>
      <c r="W60" s="113">
        <v>0</v>
      </c>
      <c r="X60" s="117">
        <f>W60*$B$60</f>
        <v>0</v>
      </c>
      <c r="Y60" s="113">
        <v>0</v>
      </c>
      <c r="Z60" s="117">
        <f>Y60*$B$60</f>
        <v>0</v>
      </c>
      <c r="AB60" s="99"/>
      <c r="AC60" s="123"/>
    </row>
    <row r="61" spans="1:31" s="1" customFormat="1" ht="15" hidden="1" customHeight="1" x14ac:dyDescent="0.15">
      <c r="A61" s="118"/>
      <c r="B61" s="182"/>
      <c r="C61" s="113">
        <v>0</v>
      </c>
      <c r="D61" s="114">
        <f>C61*$B$61</f>
        <v>0</v>
      </c>
      <c r="E61" s="113">
        <v>0</v>
      </c>
      <c r="F61" s="114">
        <f>E61*$B$61</f>
        <v>0</v>
      </c>
      <c r="G61" s="113">
        <v>0</v>
      </c>
      <c r="H61" s="114">
        <f>G61*$B$61</f>
        <v>0</v>
      </c>
      <c r="I61" s="113">
        <v>0</v>
      </c>
      <c r="J61" s="114">
        <f>I61*$B$61</f>
        <v>0</v>
      </c>
      <c r="K61" s="113">
        <v>0</v>
      </c>
      <c r="L61" s="114">
        <f>K61*$B$61</f>
        <v>0</v>
      </c>
      <c r="M61" s="113">
        <v>0</v>
      </c>
      <c r="N61" s="114">
        <f>M61*$B$61</f>
        <v>0</v>
      </c>
      <c r="O61" s="113">
        <v>0</v>
      </c>
      <c r="P61" s="114">
        <f>O61*$B$61</f>
        <v>0</v>
      </c>
      <c r="Q61" s="113">
        <v>0</v>
      </c>
      <c r="R61" s="114">
        <f>Q61*$B$61</f>
        <v>0</v>
      </c>
      <c r="S61" s="113">
        <v>0</v>
      </c>
      <c r="T61" s="114">
        <f>S61*$B$61</f>
        <v>0</v>
      </c>
      <c r="U61" s="113">
        <v>0</v>
      </c>
      <c r="V61" s="114">
        <f>U61*$B$61</f>
        <v>0</v>
      </c>
      <c r="W61" s="113">
        <v>0</v>
      </c>
      <c r="X61" s="114">
        <f>W61*$B$61</f>
        <v>0</v>
      </c>
      <c r="Y61" s="113">
        <v>0</v>
      </c>
      <c r="Z61" s="114">
        <f>Y61*$B$61</f>
        <v>0</v>
      </c>
      <c r="AB61" s="99"/>
      <c r="AC61" s="123"/>
    </row>
    <row r="62" spans="1:31" s="1" customFormat="1" ht="15" hidden="1" customHeight="1" x14ac:dyDescent="0.15">
      <c r="A62" s="119"/>
      <c r="B62" s="182"/>
      <c r="C62" s="113">
        <v>0</v>
      </c>
      <c r="D62" s="117">
        <f>C62*$B$62</f>
        <v>0</v>
      </c>
      <c r="E62" s="113">
        <v>0</v>
      </c>
      <c r="F62" s="117">
        <f>E62*$B$62</f>
        <v>0</v>
      </c>
      <c r="G62" s="113">
        <v>0</v>
      </c>
      <c r="H62" s="117">
        <f>G62*$B$62</f>
        <v>0</v>
      </c>
      <c r="I62" s="113">
        <v>0</v>
      </c>
      <c r="J62" s="117">
        <f>I62*$B$62</f>
        <v>0</v>
      </c>
      <c r="K62" s="113">
        <v>0</v>
      </c>
      <c r="L62" s="117">
        <f>K62*$B$62</f>
        <v>0</v>
      </c>
      <c r="M62" s="113">
        <v>0</v>
      </c>
      <c r="N62" s="117">
        <f>M62*$B$62</f>
        <v>0</v>
      </c>
      <c r="O62" s="113">
        <v>0</v>
      </c>
      <c r="P62" s="117">
        <f>O62*$B$62</f>
        <v>0</v>
      </c>
      <c r="Q62" s="113">
        <v>0</v>
      </c>
      <c r="R62" s="117">
        <f>Q62*$B$62</f>
        <v>0</v>
      </c>
      <c r="S62" s="113">
        <v>0</v>
      </c>
      <c r="T62" s="117">
        <f>S62*$B$62</f>
        <v>0</v>
      </c>
      <c r="U62" s="113">
        <v>0</v>
      </c>
      <c r="V62" s="117">
        <f>U62*$B$62</f>
        <v>0</v>
      </c>
      <c r="W62" s="113">
        <v>0</v>
      </c>
      <c r="X62" s="117">
        <f>W62*$B$62</f>
        <v>0</v>
      </c>
      <c r="Y62" s="113">
        <v>0</v>
      </c>
      <c r="Z62" s="117">
        <f>Y62*$B$62</f>
        <v>0</v>
      </c>
      <c r="AB62" s="99"/>
      <c r="AC62" s="123"/>
    </row>
    <row r="63" spans="1:31" s="1" customFormat="1" ht="15" hidden="1" customHeight="1" x14ac:dyDescent="0.15">
      <c r="A63" s="119"/>
      <c r="B63" s="182"/>
      <c r="C63" s="113">
        <v>0</v>
      </c>
      <c r="D63" s="114">
        <f>C63*$B$63</f>
        <v>0</v>
      </c>
      <c r="E63" s="113">
        <v>0</v>
      </c>
      <c r="F63" s="114">
        <f t="shared" ref="F63:F68" si="6">E63*$B$63</f>
        <v>0</v>
      </c>
      <c r="G63" s="113">
        <v>0</v>
      </c>
      <c r="H63" s="114">
        <f t="shared" ref="H63:H68" si="7">G63*$B$63</f>
        <v>0</v>
      </c>
      <c r="I63" s="113">
        <v>0</v>
      </c>
      <c r="J63" s="114">
        <f t="shared" ref="J63:J68" si="8">I63*$B$63</f>
        <v>0</v>
      </c>
      <c r="K63" s="113">
        <v>0</v>
      </c>
      <c r="L63" s="114">
        <f t="shared" ref="L63:L68" si="9">K63*$B$63</f>
        <v>0</v>
      </c>
      <c r="M63" s="113">
        <v>0</v>
      </c>
      <c r="N63" s="114">
        <f t="shared" ref="N63:N68" si="10">M63*$B$63</f>
        <v>0</v>
      </c>
      <c r="O63" s="113">
        <v>0</v>
      </c>
      <c r="P63" s="114">
        <f t="shared" ref="P63:P68" si="11">O63*$B$63</f>
        <v>0</v>
      </c>
      <c r="Q63" s="113">
        <v>0</v>
      </c>
      <c r="R63" s="114">
        <f t="shared" ref="R63:R68" si="12">Q63*$B$63</f>
        <v>0</v>
      </c>
      <c r="S63" s="113">
        <v>0</v>
      </c>
      <c r="T63" s="114">
        <f t="shared" ref="T63:T68" si="13">S63*$B$63</f>
        <v>0</v>
      </c>
      <c r="U63" s="113">
        <v>0</v>
      </c>
      <c r="V63" s="114">
        <f t="shared" ref="V63:V68" si="14">U63*$B$63</f>
        <v>0</v>
      </c>
      <c r="W63" s="113">
        <v>0</v>
      </c>
      <c r="X63" s="114">
        <f>W63*$B$63</f>
        <v>0</v>
      </c>
      <c r="Y63" s="113">
        <v>0</v>
      </c>
      <c r="Z63" s="114">
        <f>Y63*$B$63</f>
        <v>0</v>
      </c>
      <c r="AB63" s="99"/>
      <c r="AC63" s="123"/>
    </row>
    <row r="64" spans="1:31" s="1" customFormat="1" ht="15" hidden="1" customHeight="1" x14ac:dyDescent="0.15">
      <c r="A64" s="119"/>
      <c r="B64" s="182"/>
      <c r="C64" s="113">
        <v>0</v>
      </c>
      <c r="D64" s="114">
        <f>C64*$B$64</f>
        <v>0</v>
      </c>
      <c r="E64" s="113">
        <v>0</v>
      </c>
      <c r="F64" s="114">
        <f t="shared" si="6"/>
        <v>0</v>
      </c>
      <c r="G64" s="113">
        <v>0</v>
      </c>
      <c r="H64" s="114">
        <f t="shared" si="7"/>
        <v>0</v>
      </c>
      <c r="I64" s="113">
        <v>0</v>
      </c>
      <c r="J64" s="114">
        <f t="shared" si="8"/>
        <v>0</v>
      </c>
      <c r="K64" s="113">
        <v>0</v>
      </c>
      <c r="L64" s="114">
        <f t="shared" si="9"/>
        <v>0</v>
      </c>
      <c r="M64" s="113">
        <v>0</v>
      </c>
      <c r="N64" s="114">
        <f t="shared" si="10"/>
        <v>0</v>
      </c>
      <c r="O64" s="113">
        <v>0</v>
      </c>
      <c r="P64" s="114">
        <f t="shared" si="11"/>
        <v>0</v>
      </c>
      <c r="Q64" s="113">
        <v>0</v>
      </c>
      <c r="R64" s="114">
        <f t="shared" si="12"/>
        <v>0</v>
      </c>
      <c r="S64" s="113">
        <v>0</v>
      </c>
      <c r="T64" s="114">
        <f t="shared" si="13"/>
        <v>0</v>
      </c>
      <c r="U64" s="113">
        <v>0</v>
      </c>
      <c r="V64" s="114">
        <f t="shared" si="14"/>
        <v>0</v>
      </c>
      <c r="W64" s="113">
        <v>0</v>
      </c>
      <c r="X64" s="114">
        <f>W64*$B$63</f>
        <v>0</v>
      </c>
      <c r="Y64" s="113">
        <v>0</v>
      </c>
      <c r="Z64" s="114">
        <f>Y64*$B$63</f>
        <v>0</v>
      </c>
      <c r="AB64" s="99"/>
      <c r="AC64" s="123"/>
    </row>
    <row r="65" spans="1:31" s="1" customFormat="1" ht="15" hidden="1" customHeight="1" x14ac:dyDescent="0.15">
      <c r="A65" s="119"/>
      <c r="B65" s="182"/>
      <c r="C65" s="113">
        <v>0</v>
      </c>
      <c r="D65" s="114">
        <f>C65*$B$65</f>
        <v>0</v>
      </c>
      <c r="E65" s="113">
        <v>0</v>
      </c>
      <c r="F65" s="114">
        <f t="shared" si="6"/>
        <v>0</v>
      </c>
      <c r="G65" s="113">
        <v>0</v>
      </c>
      <c r="H65" s="114">
        <f t="shared" si="7"/>
        <v>0</v>
      </c>
      <c r="I65" s="113">
        <v>0</v>
      </c>
      <c r="J65" s="114">
        <f t="shared" si="8"/>
        <v>0</v>
      </c>
      <c r="K65" s="113">
        <v>0</v>
      </c>
      <c r="L65" s="114">
        <f t="shared" si="9"/>
        <v>0</v>
      </c>
      <c r="M65" s="113">
        <v>0</v>
      </c>
      <c r="N65" s="114">
        <f t="shared" si="10"/>
        <v>0</v>
      </c>
      <c r="O65" s="113">
        <v>0</v>
      </c>
      <c r="P65" s="114">
        <f t="shared" si="11"/>
        <v>0</v>
      </c>
      <c r="Q65" s="113">
        <v>0</v>
      </c>
      <c r="R65" s="114">
        <f t="shared" si="12"/>
        <v>0</v>
      </c>
      <c r="S65" s="113">
        <v>0</v>
      </c>
      <c r="T65" s="114">
        <f t="shared" si="13"/>
        <v>0</v>
      </c>
      <c r="U65" s="113">
        <v>0</v>
      </c>
      <c r="V65" s="114">
        <f t="shared" si="14"/>
        <v>0</v>
      </c>
      <c r="W65" s="113">
        <v>0</v>
      </c>
      <c r="X65" s="114">
        <f>W65*$B$63</f>
        <v>0</v>
      </c>
      <c r="Y65" s="113">
        <v>0</v>
      </c>
      <c r="Z65" s="114">
        <f>Y65*$B$63</f>
        <v>0</v>
      </c>
      <c r="AB65" s="99"/>
      <c r="AC65" s="123"/>
    </row>
    <row r="66" spans="1:31" s="1" customFormat="1" ht="33" customHeight="1" x14ac:dyDescent="0.15">
      <c r="A66" s="112"/>
      <c r="B66" s="182"/>
      <c r="C66" s="113">
        <v>1</v>
      </c>
      <c r="D66" s="114"/>
      <c r="E66" s="113">
        <v>0</v>
      </c>
      <c r="F66" s="114">
        <f t="shared" si="6"/>
        <v>0</v>
      </c>
      <c r="G66" s="113">
        <v>0</v>
      </c>
      <c r="H66" s="114">
        <f t="shared" si="7"/>
        <v>0</v>
      </c>
      <c r="I66" s="113">
        <v>0</v>
      </c>
      <c r="J66" s="114">
        <f t="shared" si="8"/>
        <v>0</v>
      </c>
      <c r="K66" s="113">
        <v>0</v>
      </c>
      <c r="L66" s="114">
        <f t="shared" si="9"/>
        <v>0</v>
      </c>
      <c r="M66" s="113">
        <v>0</v>
      </c>
      <c r="N66" s="114">
        <f t="shared" si="10"/>
        <v>0</v>
      </c>
      <c r="O66" s="113">
        <v>0</v>
      </c>
      <c r="P66" s="114">
        <f t="shared" si="11"/>
        <v>0</v>
      </c>
      <c r="Q66" s="113">
        <v>0</v>
      </c>
      <c r="R66" s="114">
        <f t="shared" si="12"/>
        <v>0</v>
      </c>
      <c r="S66" s="113">
        <v>0</v>
      </c>
      <c r="T66" s="114">
        <f t="shared" si="13"/>
        <v>0</v>
      </c>
      <c r="U66" s="113">
        <v>0</v>
      </c>
      <c r="V66" s="114">
        <f t="shared" si="14"/>
        <v>0</v>
      </c>
      <c r="W66" s="113">
        <v>0</v>
      </c>
      <c r="X66" s="114">
        <f>W66*$B$63</f>
        <v>0</v>
      </c>
      <c r="Y66" s="113">
        <v>0</v>
      </c>
      <c r="Z66" s="114">
        <f>Y66*$B$63</f>
        <v>0</v>
      </c>
      <c r="AB66" s="99"/>
      <c r="AC66" s="123"/>
    </row>
    <row r="67" spans="1:31" s="1" customFormat="1" ht="17.25" customHeight="1" x14ac:dyDescent="0.15">
      <c r="A67" s="112"/>
      <c r="B67" s="182"/>
      <c r="C67" s="113">
        <v>0</v>
      </c>
      <c r="D67" s="114">
        <f t="shared" ref="D67" si="15">C67*$B$49</f>
        <v>0</v>
      </c>
      <c r="E67" s="113">
        <v>0</v>
      </c>
      <c r="F67" s="114">
        <f t="shared" si="6"/>
        <v>0</v>
      </c>
      <c r="G67" s="113">
        <v>0</v>
      </c>
      <c r="H67" s="114">
        <f t="shared" si="7"/>
        <v>0</v>
      </c>
      <c r="I67" s="113">
        <v>0</v>
      </c>
      <c r="J67" s="114">
        <f t="shared" si="8"/>
        <v>0</v>
      </c>
      <c r="K67" s="113">
        <v>0</v>
      </c>
      <c r="L67" s="114">
        <f t="shared" si="9"/>
        <v>0</v>
      </c>
      <c r="M67" s="113">
        <v>0</v>
      </c>
      <c r="N67" s="114">
        <f t="shared" si="10"/>
        <v>0</v>
      </c>
      <c r="O67" s="113">
        <v>0</v>
      </c>
      <c r="P67" s="114">
        <f t="shared" si="11"/>
        <v>0</v>
      </c>
      <c r="Q67" s="113">
        <v>0</v>
      </c>
      <c r="R67" s="114">
        <f t="shared" si="12"/>
        <v>0</v>
      </c>
      <c r="S67" s="113">
        <v>0</v>
      </c>
      <c r="T67" s="114">
        <f t="shared" si="13"/>
        <v>0</v>
      </c>
      <c r="U67" s="113">
        <v>0</v>
      </c>
      <c r="V67" s="114">
        <f t="shared" si="14"/>
        <v>0</v>
      </c>
      <c r="W67" s="113">
        <v>0</v>
      </c>
      <c r="X67" s="114">
        <f>W67*B67</f>
        <v>0</v>
      </c>
      <c r="Y67" s="113">
        <v>0</v>
      </c>
      <c r="Z67" s="114">
        <f>Y67*B67</f>
        <v>0</v>
      </c>
      <c r="AB67" s="99"/>
      <c r="AC67" s="123"/>
    </row>
    <row r="68" spans="1:31" s="1" customFormat="1" ht="17.25" hidden="1" customHeight="1" x14ac:dyDescent="0.15">
      <c r="A68" s="112"/>
      <c r="B68" s="182"/>
      <c r="C68" s="113">
        <v>0</v>
      </c>
      <c r="D68" s="114">
        <f t="shared" ref="D68" si="16">C68*$B$50</f>
        <v>0</v>
      </c>
      <c r="E68" s="113">
        <v>0</v>
      </c>
      <c r="F68" s="114">
        <f t="shared" si="6"/>
        <v>0</v>
      </c>
      <c r="G68" s="113">
        <v>0</v>
      </c>
      <c r="H68" s="114">
        <f t="shared" si="7"/>
        <v>0</v>
      </c>
      <c r="I68" s="113">
        <v>0</v>
      </c>
      <c r="J68" s="114">
        <f t="shared" si="8"/>
        <v>0</v>
      </c>
      <c r="K68" s="113">
        <v>0</v>
      </c>
      <c r="L68" s="114">
        <f t="shared" si="9"/>
        <v>0</v>
      </c>
      <c r="M68" s="113">
        <v>0</v>
      </c>
      <c r="N68" s="114">
        <f t="shared" si="10"/>
        <v>0</v>
      </c>
      <c r="O68" s="113">
        <v>0</v>
      </c>
      <c r="P68" s="114">
        <f t="shared" si="11"/>
        <v>0</v>
      </c>
      <c r="Q68" s="113">
        <v>0</v>
      </c>
      <c r="R68" s="114">
        <f t="shared" si="12"/>
        <v>0</v>
      </c>
      <c r="S68" s="113">
        <v>0</v>
      </c>
      <c r="T68" s="114">
        <f t="shared" si="13"/>
        <v>0</v>
      </c>
      <c r="U68" s="113">
        <v>0</v>
      </c>
      <c r="V68" s="114">
        <f t="shared" si="14"/>
        <v>0</v>
      </c>
      <c r="W68" s="113"/>
      <c r="X68" s="114">
        <f>W68*B68</f>
        <v>0</v>
      </c>
      <c r="Y68" s="113">
        <v>0</v>
      </c>
      <c r="Z68" s="114">
        <f>Y68*B68</f>
        <v>0</v>
      </c>
      <c r="AB68" s="99"/>
      <c r="AC68" s="123"/>
    </row>
    <row r="69" spans="1:31" s="1" customFormat="1" ht="13.5" hidden="1" customHeight="1" thickBot="1" x14ac:dyDescent="0.2">
      <c r="A69" s="178"/>
      <c r="B69" s="179"/>
      <c r="C69" s="113">
        <v>0</v>
      </c>
      <c r="D69" s="114">
        <f t="shared" ref="D69" si="17">C69*$B$51</f>
        <v>0</v>
      </c>
      <c r="E69" s="71">
        <v>0</v>
      </c>
      <c r="F69" s="24">
        <f>E69*$B$69</f>
        <v>0</v>
      </c>
      <c r="G69" s="71">
        <v>0</v>
      </c>
      <c r="H69" s="24">
        <f>G69*$B$69</f>
        <v>0</v>
      </c>
      <c r="I69" s="71">
        <v>0</v>
      </c>
      <c r="J69" s="24">
        <f>I69*$B$69</f>
        <v>0</v>
      </c>
      <c r="K69" s="71">
        <v>0</v>
      </c>
      <c r="L69" s="24">
        <f>K69*$B$69</f>
        <v>0</v>
      </c>
      <c r="M69" s="71">
        <v>0</v>
      </c>
      <c r="N69" s="24">
        <f>M69*$B$69</f>
        <v>0</v>
      </c>
      <c r="O69" s="71">
        <v>0</v>
      </c>
      <c r="P69" s="24">
        <f>O69*$B$69</f>
        <v>0</v>
      </c>
      <c r="Q69" s="71">
        <v>0</v>
      </c>
      <c r="R69" s="24">
        <f>Q69*$B$69</f>
        <v>0</v>
      </c>
      <c r="S69" s="71">
        <v>0</v>
      </c>
      <c r="T69" s="24">
        <f>S69*$B$69</f>
        <v>0</v>
      </c>
      <c r="U69" s="71">
        <v>0</v>
      </c>
      <c r="V69" s="24">
        <f>U69*$B$69</f>
        <v>0</v>
      </c>
      <c r="W69" s="71">
        <v>0</v>
      </c>
      <c r="X69" s="24">
        <f>W69*$B$69</f>
        <v>0</v>
      </c>
      <c r="Y69" s="71">
        <v>0</v>
      </c>
      <c r="Z69" s="24">
        <f>Y69*$B$69</f>
        <v>0</v>
      </c>
      <c r="AB69" s="99"/>
      <c r="AC69" s="123"/>
    </row>
    <row r="70" spans="1:31" s="1" customFormat="1" ht="13.5" hidden="1" customHeight="1" thickBot="1" x14ac:dyDescent="0.2">
      <c r="A70" s="178"/>
      <c r="B70" s="179"/>
      <c r="C70" s="113">
        <v>0</v>
      </c>
      <c r="D70" s="114">
        <f t="shared" ref="D70" si="18">C70*$B$52</f>
        <v>0</v>
      </c>
      <c r="E70" s="71">
        <v>0</v>
      </c>
      <c r="F70" s="97">
        <f>E70*$B$70</f>
        <v>0</v>
      </c>
      <c r="G70" s="71">
        <v>0</v>
      </c>
      <c r="H70" s="97">
        <f>G70*$B$70</f>
        <v>0</v>
      </c>
      <c r="I70" s="71">
        <v>0</v>
      </c>
      <c r="J70" s="97">
        <f>I70*$B$70</f>
        <v>0</v>
      </c>
      <c r="K70" s="71">
        <v>0</v>
      </c>
      <c r="L70" s="97">
        <f>K70*$B$70</f>
        <v>0</v>
      </c>
      <c r="M70" s="71">
        <v>0</v>
      </c>
      <c r="N70" s="97">
        <f>M70*$B$70</f>
        <v>0</v>
      </c>
      <c r="O70" s="71">
        <v>0</v>
      </c>
      <c r="P70" s="97">
        <f>O70*$B$70</f>
        <v>0</v>
      </c>
      <c r="Q70" s="71">
        <v>0</v>
      </c>
      <c r="R70" s="97">
        <f>Q70*$B$70</f>
        <v>0</v>
      </c>
      <c r="S70" s="71">
        <v>0</v>
      </c>
      <c r="T70" s="97">
        <f>S70*$B$70</f>
        <v>0</v>
      </c>
      <c r="U70" s="71">
        <v>0</v>
      </c>
      <c r="V70" s="97">
        <f>U70*$B$70</f>
        <v>0</v>
      </c>
      <c r="W70" s="71">
        <v>0</v>
      </c>
      <c r="X70" s="97">
        <f>W70*$B$70</f>
        <v>0</v>
      </c>
      <c r="Y70" s="71">
        <v>0</v>
      </c>
      <c r="Z70" s="97">
        <f>Y70*$B$70</f>
        <v>0</v>
      </c>
      <c r="AB70" s="99"/>
      <c r="AC70" s="123"/>
    </row>
    <row r="71" spans="1:31" s="1" customFormat="1" ht="13.5" hidden="1" customHeight="1" thickBot="1" x14ac:dyDescent="0.2">
      <c r="A71" s="180"/>
      <c r="B71" s="181"/>
      <c r="C71" s="113">
        <v>0</v>
      </c>
      <c r="D71" s="114">
        <f t="shared" ref="D71" si="19">C71*$B$53</f>
        <v>0</v>
      </c>
      <c r="E71" s="71">
        <v>0</v>
      </c>
      <c r="F71" s="24">
        <f>E71*$B$71</f>
        <v>0</v>
      </c>
      <c r="G71" s="71">
        <v>0</v>
      </c>
      <c r="H71" s="24">
        <f>G71*$B$71</f>
        <v>0</v>
      </c>
      <c r="I71" s="71">
        <v>0</v>
      </c>
      <c r="J71" s="24">
        <f>I71*$B$71</f>
        <v>0</v>
      </c>
      <c r="K71" s="71">
        <v>0</v>
      </c>
      <c r="L71" s="24">
        <f>K71*$B$71</f>
        <v>0</v>
      </c>
      <c r="M71" s="71">
        <v>0</v>
      </c>
      <c r="N71" s="24">
        <f>M71*$B$71</f>
        <v>0</v>
      </c>
      <c r="O71" s="71">
        <v>0</v>
      </c>
      <c r="P71" s="24">
        <f>O71*$B$71</f>
        <v>0</v>
      </c>
      <c r="Q71" s="71">
        <v>0</v>
      </c>
      <c r="R71" s="24">
        <f>Q71*$B$71</f>
        <v>0</v>
      </c>
      <c r="S71" s="71">
        <v>0</v>
      </c>
      <c r="T71" s="24">
        <f>S71*$B$71</f>
        <v>0</v>
      </c>
      <c r="U71" s="71">
        <v>0</v>
      </c>
      <c r="V71" s="24">
        <f>U71*$B$71</f>
        <v>0</v>
      </c>
      <c r="W71" s="71">
        <v>0</v>
      </c>
      <c r="X71" s="24">
        <f>W71*$B$71</f>
        <v>0</v>
      </c>
      <c r="Y71" s="71">
        <v>0</v>
      </c>
      <c r="Z71" s="24">
        <f>Y71*$B$71</f>
        <v>0</v>
      </c>
      <c r="AB71" s="99"/>
      <c r="AC71" s="123"/>
    </row>
    <row r="72" spans="1:31" s="1" customFormat="1" ht="13.5" hidden="1" customHeight="1" thickBot="1" x14ac:dyDescent="0.2">
      <c r="A72" s="128"/>
      <c r="B72" s="129"/>
      <c r="C72" s="113">
        <v>0</v>
      </c>
      <c r="D72" s="114">
        <f t="shared" ref="D72:D73" si="20">C72*$B$54</f>
        <v>0</v>
      </c>
      <c r="E72" s="131">
        <v>0</v>
      </c>
      <c r="F72" s="130">
        <f>E72*$B$72</f>
        <v>0</v>
      </c>
      <c r="G72" s="131">
        <v>0</v>
      </c>
      <c r="H72" s="130">
        <f>G72*$B$72</f>
        <v>0</v>
      </c>
      <c r="I72" s="131">
        <v>0</v>
      </c>
      <c r="J72" s="130">
        <f>I72*$B$72</f>
        <v>0</v>
      </c>
      <c r="K72" s="131">
        <v>0</v>
      </c>
      <c r="L72" s="130">
        <f>K72*$B$72</f>
        <v>0</v>
      </c>
      <c r="M72" s="131">
        <v>0</v>
      </c>
      <c r="N72" s="130">
        <f>M72*$B$72</f>
        <v>0</v>
      </c>
      <c r="O72" s="131">
        <v>0</v>
      </c>
      <c r="P72" s="130">
        <f>O72*$B$72</f>
        <v>0</v>
      </c>
      <c r="Q72" s="131">
        <v>0</v>
      </c>
      <c r="R72" s="130">
        <f>Q72*$B$72</f>
        <v>0</v>
      </c>
      <c r="S72" s="131">
        <v>0</v>
      </c>
      <c r="T72" s="130">
        <f>S72*$B$72</f>
        <v>0</v>
      </c>
      <c r="U72" s="131">
        <v>0</v>
      </c>
      <c r="V72" s="130">
        <f>U72*$B$72</f>
        <v>0</v>
      </c>
      <c r="W72" s="76">
        <v>0</v>
      </c>
      <c r="X72" s="130">
        <f>W72*$B$72</f>
        <v>0</v>
      </c>
      <c r="Y72" s="76">
        <v>0</v>
      </c>
      <c r="Z72" s="130">
        <f>Y72*$B$72</f>
        <v>0</v>
      </c>
      <c r="AB72" s="99"/>
      <c r="AC72" s="123"/>
    </row>
    <row r="73" spans="1:31" ht="18.75" hidden="1" customHeight="1" x14ac:dyDescent="0.15">
      <c r="A73" s="112"/>
      <c r="B73" s="182"/>
      <c r="C73" s="113">
        <v>0</v>
      </c>
      <c r="D73" s="114">
        <f t="shared" si="20"/>
        <v>0</v>
      </c>
      <c r="E73" s="115">
        <v>0</v>
      </c>
      <c r="F73" s="114">
        <f>E73*$B$45</f>
        <v>0</v>
      </c>
      <c r="G73" s="115">
        <v>0</v>
      </c>
      <c r="H73" s="114">
        <f>G73*$B$45</f>
        <v>0</v>
      </c>
      <c r="I73" s="115">
        <v>0</v>
      </c>
      <c r="J73" s="114">
        <f>I73*$B$45</f>
        <v>0</v>
      </c>
      <c r="K73" s="115">
        <v>0</v>
      </c>
      <c r="L73" s="114">
        <f>K73*$B$45</f>
        <v>0</v>
      </c>
      <c r="M73" s="115">
        <v>0</v>
      </c>
      <c r="N73" s="114">
        <f>M73*$B$45</f>
        <v>0</v>
      </c>
      <c r="O73" s="115">
        <v>0</v>
      </c>
      <c r="P73" s="114">
        <f>O73*$B$45</f>
        <v>0</v>
      </c>
      <c r="Q73" s="115">
        <v>0</v>
      </c>
      <c r="R73" s="114">
        <f>Q73*$B$45</f>
        <v>0</v>
      </c>
      <c r="S73" s="115">
        <v>0</v>
      </c>
      <c r="T73" s="114">
        <f>S73*$B$45</f>
        <v>0</v>
      </c>
      <c r="U73" s="115">
        <v>0</v>
      </c>
      <c r="V73" s="114">
        <f>U73*$B$45</f>
        <v>0</v>
      </c>
      <c r="W73" s="113">
        <v>0</v>
      </c>
      <c r="X73" s="114">
        <f>W73*$B$45</f>
        <v>0</v>
      </c>
      <c r="Y73" s="113">
        <v>0</v>
      </c>
      <c r="Z73" s="114">
        <f>Y73*$B$45</f>
        <v>0</v>
      </c>
      <c r="AB73" s="99"/>
    </row>
    <row r="74" spans="1:31" ht="18.75" hidden="1" customHeight="1" x14ac:dyDescent="0.15">
      <c r="A74" s="112"/>
      <c r="B74" s="182"/>
      <c r="C74" s="113">
        <v>0</v>
      </c>
      <c r="D74" s="114">
        <f t="shared" ref="D74" si="21">C74*$B$56</f>
        <v>0</v>
      </c>
      <c r="E74" s="115">
        <v>0</v>
      </c>
      <c r="F74" s="114">
        <f>E74*$B$46</f>
        <v>0</v>
      </c>
      <c r="G74" s="115">
        <v>0</v>
      </c>
      <c r="H74" s="114">
        <f>G74*$B$46</f>
        <v>0</v>
      </c>
      <c r="I74" s="115">
        <v>0</v>
      </c>
      <c r="J74" s="114">
        <f>I74*$B$46</f>
        <v>0</v>
      </c>
      <c r="K74" s="115">
        <v>0</v>
      </c>
      <c r="L74" s="114">
        <f>K74*$B$46</f>
        <v>0</v>
      </c>
      <c r="M74" s="115">
        <v>0</v>
      </c>
      <c r="N74" s="114">
        <f>M74*$B$46</f>
        <v>0</v>
      </c>
      <c r="O74" s="115">
        <v>0</v>
      </c>
      <c r="P74" s="114">
        <f>O74*$B$46</f>
        <v>0</v>
      </c>
      <c r="Q74" s="115">
        <v>0</v>
      </c>
      <c r="R74" s="114">
        <f>Q74*$B$45</f>
        <v>0</v>
      </c>
      <c r="S74" s="115">
        <v>0</v>
      </c>
      <c r="T74" s="114">
        <f>S74*$B$45</f>
        <v>0</v>
      </c>
      <c r="U74" s="115">
        <v>0</v>
      </c>
      <c r="V74" s="114">
        <f>U74*$B$45</f>
        <v>0</v>
      </c>
      <c r="W74" s="113">
        <v>0</v>
      </c>
      <c r="X74" s="114">
        <f>W74*$B$46</f>
        <v>0</v>
      </c>
      <c r="Y74" s="113">
        <v>0</v>
      </c>
      <c r="Z74" s="114">
        <f>Y74*$B$46</f>
        <v>0</v>
      </c>
      <c r="AB74" s="99"/>
    </row>
    <row r="75" spans="1:31" ht="18.75" hidden="1" customHeight="1" x14ac:dyDescent="0.15">
      <c r="A75" s="112"/>
      <c r="B75" s="182"/>
      <c r="C75" s="113">
        <v>0</v>
      </c>
      <c r="D75" s="114">
        <f t="shared" ref="D75" si="22">C75*$B$57</f>
        <v>0</v>
      </c>
      <c r="E75" s="115">
        <v>0</v>
      </c>
      <c r="F75" s="114">
        <f>E75*$B$47</f>
        <v>0</v>
      </c>
      <c r="G75" s="115">
        <v>0</v>
      </c>
      <c r="H75" s="114">
        <f>G75*$B$47</f>
        <v>0</v>
      </c>
      <c r="I75" s="115">
        <v>0</v>
      </c>
      <c r="J75" s="114">
        <f>I75*$B$47</f>
        <v>0</v>
      </c>
      <c r="K75" s="115">
        <v>0</v>
      </c>
      <c r="L75" s="114">
        <f>K75*$B$47</f>
        <v>0</v>
      </c>
      <c r="M75" s="115">
        <v>0</v>
      </c>
      <c r="N75" s="114">
        <f>M75*$B$47</f>
        <v>0</v>
      </c>
      <c r="O75" s="115">
        <v>0</v>
      </c>
      <c r="P75" s="114">
        <f>O75*$B$47</f>
        <v>0</v>
      </c>
      <c r="Q75" s="115">
        <v>0</v>
      </c>
      <c r="R75" s="114">
        <f>Q75*$B$47</f>
        <v>0</v>
      </c>
      <c r="S75" s="115">
        <v>0</v>
      </c>
      <c r="T75" s="114">
        <f>S75*$B$47</f>
        <v>0</v>
      </c>
      <c r="U75" s="115">
        <v>0</v>
      </c>
      <c r="V75" s="114">
        <f>U75*$B$47</f>
        <v>0</v>
      </c>
      <c r="W75" s="113">
        <v>0</v>
      </c>
      <c r="X75" s="114">
        <f>W75*$B$47</f>
        <v>0</v>
      </c>
      <c r="Y75" s="113">
        <v>0</v>
      </c>
      <c r="Z75" s="114">
        <f>Y75*$B$47</f>
        <v>0</v>
      </c>
      <c r="AB75" s="99"/>
    </row>
    <row r="76" spans="1:31" ht="18.75" hidden="1" customHeight="1" x14ac:dyDescent="0.15">
      <c r="A76" s="112"/>
      <c r="B76" s="182"/>
      <c r="C76" s="113">
        <v>0</v>
      </c>
      <c r="D76" s="114">
        <f t="shared" ref="D76" si="23">C76*$B$58</f>
        <v>0</v>
      </c>
      <c r="E76" s="115">
        <v>0</v>
      </c>
      <c r="F76" s="114">
        <f>E76*$B$48</f>
        <v>0</v>
      </c>
      <c r="G76" s="115">
        <v>0</v>
      </c>
      <c r="H76" s="114">
        <f>G76*$B$48</f>
        <v>0</v>
      </c>
      <c r="I76" s="115">
        <v>0</v>
      </c>
      <c r="J76" s="114">
        <f>I76*$B$48</f>
        <v>0</v>
      </c>
      <c r="K76" s="115">
        <v>0</v>
      </c>
      <c r="L76" s="114">
        <f>K76*$B$48</f>
        <v>0</v>
      </c>
      <c r="M76" s="115">
        <v>0</v>
      </c>
      <c r="N76" s="114">
        <f>M76*$B$48</f>
        <v>0</v>
      </c>
      <c r="O76" s="115">
        <v>0</v>
      </c>
      <c r="P76" s="114">
        <f>O76*$B$48</f>
        <v>0</v>
      </c>
      <c r="Q76" s="115">
        <v>0</v>
      </c>
      <c r="R76" s="114">
        <f>Q76*$B$48</f>
        <v>0</v>
      </c>
      <c r="S76" s="115">
        <v>0</v>
      </c>
      <c r="T76" s="114">
        <f>S76*$B$48</f>
        <v>0</v>
      </c>
      <c r="U76" s="115">
        <v>0</v>
      </c>
      <c r="V76" s="114">
        <f>U76*$B$48</f>
        <v>0</v>
      </c>
      <c r="W76" s="113">
        <v>1</v>
      </c>
      <c r="X76" s="114">
        <f>W76*$B$48</f>
        <v>0</v>
      </c>
      <c r="Y76" s="113">
        <v>1</v>
      </c>
      <c r="Z76" s="114">
        <f>Y76*$B$48</f>
        <v>0</v>
      </c>
      <c r="AB76" s="99"/>
    </row>
    <row r="77" spans="1:31" ht="14" hidden="1" x14ac:dyDescent="0.15">
      <c r="A77" s="112"/>
      <c r="B77" s="182"/>
      <c r="C77" s="113">
        <v>0</v>
      </c>
      <c r="D77" s="114">
        <f t="shared" ref="D77" si="24">C77*$B$59</f>
        <v>0</v>
      </c>
      <c r="E77" s="115">
        <v>0</v>
      </c>
      <c r="F77" s="114">
        <f>E77*$B$48</f>
        <v>0</v>
      </c>
      <c r="G77" s="115">
        <v>0</v>
      </c>
      <c r="H77" s="114">
        <f>G77*$B$48</f>
        <v>0</v>
      </c>
      <c r="I77" s="115">
        <v>0</v>
      </c>
      <c r="J77" s="114">
        <f>I77*$B$48</f>
        <v>0</v>
      </c>
      <c r="K77" s="115">
        <v>0</v>
      </c>
      <c r="L77" s="114">
        <f>K77*$B$48</f>
        <v>0</v>
      </c>
      <c r="M77" s="115">
        <v>0</v>
      </c>
      <c r="N77" s="114">
        <f>M77*$B$48</f>
        <v>0</v>
      </c>
      <c r="O77" s="115">
        <v>0</v>
      </c>
      <c r="P77" s="114">
        <f>O77*$B$48</f>
        <v>0</v>
      </c>
      <c r="Q77" s="115">
        <v>0</v>
      </c>
      <c r="R77" s="114">
        <f>Q77*$B$48</f>
        <v>0</v>
      </c>
      <c r="S77" s="115">
        <v>0</v>
      </c>
      <c r="T77" s="114">
        <f>S77*$B$48</f>
        <v>0</v>
      </c>
      <c r="U77" s="115">
        <v>0</v>
      </c>
      <c r="V77" s="114">
        <f>U77*$B$48</f>
        <v>0</v>
      </c>
      <c r="W77" s="113">
        <v>0</v>
      </c>
      <c r="X77" s="114">
        <f>W77*$B$48</f>
        <v>0</v>
      </c>
      <c r="Y77" s="113">
        <v>0</v>
      </c>
      <c r="Z77" s="114">
        <f>Y77*$B$48</f>
        <v>0</v>
      </c>
      <c r="AB77" s="99"/>
      <c r="AE77" s="99"/>
    </row>
    <row r="78" spans="1:31" ht="15" hidden="1" customHeight="1" x14ac:dyDescent="0.15">
      <c r="A78" s="112"/>
      <c r="B78" s="182"/>
      <c r="C78" s="113">
        <v>0</v>
      </c>
      <c r="D78" s="117">
        <f t="shared" ref="D78" si="25">C78*$B$60</f>
        <v>0</v>
      </c>
      <c r="E78" s="115">
        <v>0</v>
      </c>
      <c r="F78" s="114">
        <f>E78*$B$50</f>
        <v>0</v>
      </c>
      <c r="G78" s="115">
        <v>0</v>
      </c>
      <c r="H78" s="114">
        <f>G78*$B$50</f>
        <v>0</v>
      </c>
      <c r="I78" s="115">
        <v>0</v>
      </c>
      <c r="J78" s="114">
        <f>I78*$B$50</f>
        <v>0</v>
      </c>
      <c r="K78" s="115">
        <v>0</v>
      </c>
      <c r="L78" s="114">
        <f>K78*$B$50</f>
        <v>0</v>
      </c>
      <c r="M78" s="115">
        <v>0</v>
      </c>
      <c r="N78" s="114">
        <f>M78*$B$50</f>
        <v>0</v>
      </c>
      <c r="O78" s="115">
        <v>0</v>
      </c>
      <c r="P78" s="114">
        <f>O78*$B$50</f>
        <v>0</v>
      </c>
      <c r="Q78" s="115">
        <v>0</v>
      </c>
      <c r="R78" s="114">
        <f>Q78*$B$50</f>
        <v>0</v>
      </c>
      <c r="S78" s="115">
        <v>0</v>
      </c>
      <c r="T78" s="114">
        <f>S78*$B$50</f>
        <v>0</v>
      </c>
      <c r="U78" s="115">
        <v>0</v>
      </c>
      <c r="V78" s="114">
        <f>U78*$B$50</f>
        <v>0</v>
      </c>
      <c r="W78" s="113">
        <v>0</v>
      </c>
      <c r="X78" s="114">
        <f>W78*$B$50</f>
        <v>0</v>
      </c>
      <c r="Y78" s="113">
        <v>0</v>
      </c>
      <c r="Z78" s="114">
        <f>Y78*$B$50</f>
        <v>0</v>
      </c>
      <c r="AB78" s="99"/>
    </row>
    <row r="79" spans="1:31" ht="15" hidden="1" customHeight="1" x14ac:dyDescent="0.15">
      <c r="A79" s="112"/>
      <c r="B79" s="182"/>
      <c r="C79" s="113">
        <v>0</v>
      </c>
      <c r="D79" s="114">
        <f t="shared" ref="D79" si="26">C79*$B$61</f>
        <v>0</v>
      </c>
      <c r="E79" s="115">
        <v>0</v>
      </c>
      <c r="F79" s="114">
        <f>E79*$B$50</f>
        <v>0</v>
      </c>
      <c r="G79" s="115">
        <v>0</v>
      </c>
      <c r="H79" s="114">
        <f>G79*$B$50</f>
        <v>0</v>
      </c>
      <c r="I79" s="115">
        <v>0</v>
      </c>
      <c r="J79" s="114">
        <f>I79*$B$50</f>
        <v>0</v>
      </c>
      <c r="K79" s="115">
        <v>0</v>
      </c>
      <c r="L79" s="114">
        <f>K79*$B$50</f>
        <v>0</v>
      </c>
      <c r="M79" s="115">
        <v>0</v>
      </c>
      <c r="N79" s="114">
        <f>M79*$B$50</f>
        <v>0</v>
      </c>
      <c r="O79" s="115">
        <v>0</v>
      </c>
      <c r="P79" s="114">
        <f>O79*$B$50</f>
        <v>0</v>
      </c>
      <c r="Q79" s="115">
        <v>0</v>
      </c>
      <c r="R79" s="114">
        <f>Q79*$B$50</f>
        <v>0</v>
      </c>
      <c r="S79" s="115">
        <v>0</v>
      </c>
      <c r="T79" s="114">
        <f>S79*$B$50</f>
        <v>0</v>
      </c>
      <c r="U79" s="115">
        <v>0</v>
      </c>
      <c r="V79" s="114">
        <f>U79*$B$50</f>
        <v>0</v>
      </c>
      <c r="W79" s="113">
        <v>0</v>
      </c>
      <c r="X79" s="114">
        <f>W79*$B$50</f>
        <v>0</v>
      </c>
      <c r="Y79" s="113">
        <v>0</v>
      </c>
      <c r="Z79" s="114">
        <f>Y79*$B$50</f>
        <v>0</v>
      </c>
      <c r="AB79" s="99"/>
    </row>
    <row r="80" spans="1:31" ht="15" hidden="1" customHeight="1" x14ac:dyDescent="0.15">
      <c r="A80" s="112"/>
      <c r="B80" s="182"/>
      <c r="C80" s="113">
        <v>0</v>
      </c>
      <c r="D80" s="117">
        <f t="shared" ref="D80" si="27">C80*$B$62</f>
        <v>0</v>
      </c>
      <c r="E80" s="115">
        <v>0</v>
      </c>
      <c r="F80" s="114">
        <f>E80*$B$52</f>
        <v>0</v>
      </c>
      <c r="G80" s="115">
        <v>0</v>
      </c>
      <c r="H80" s="114">
        <f>G80*$B$52</f>
        <v>0</v>
      </c>
      <c r="I80" s="115">
        <v>0</v>
      </c>
      <c r="J80" s="114">
        <f>I80*$B$52</f>
        <v>0</v>
      </c>
      <c r="K80" s="115">
        <v>0</v>
      </c>
      <c r="L80" s="114">
        <f>K80*$B$52</f>
        <v>0</v>
      </c>
      <c r="M80" s="115">
        <v>0</v>
      </c>
      <c r="N80" s="114">
        <f>M80*$B$52</f>
        <v>0</v>
      </c>
      <c r="O80" s="115">
        <v>0</v>
      </c>
      <c r="P80" s="114">
        <f>O80*$B$52</f>
        <v>0</v>
      </c>
      <c r="Q80" s="115">
        <v>0</v>
      </c>
      <c r="R80" s="114">
        <f>Q80*$B$52</f>
        <v>0</v>
      </c>
      <c r="S80" s="115">
        <v>0</v>
      </c>
      <c r="T80" s="114">
        <f>S80*$B$52</f>
        <v>0</v>
      </c>
      <c r="U80" s="115">
        <v>0</v>
      </c>
      <c r="V80" s="114">
        <f>U80*$B$52</f>
        <v>0</v>
      </c>
      <c r="W80" s="113">
        <v>0</v>
      </c>
      <c r="X80" s="114">
        <f>W80*$B$52</f>
        <v>0</v>
      </c>
      <c r="Y80" s="113">
        <v>0</v>
      </c>
      <c r="Z80" s="114">
        <f>Y80*$B$52</f>
        <v>0</v>
      </c>
      <c r="AB80" s="99"/>
    </row>
    <row r="81" spans="1:29" ht="15" hidden="1" customHeight="1" x14ac:dyDescent="0.15">
      <c r="A81" s="116"/>
      <c r="B81" s="182"/>
      <c r="C81" s="113">
        <v>0</v>
      </c>
      <c r="D81" s="114">
        <f t="shared" ref="D81" si="28">C81*$B$63</f>
        <v>0</v>
      </c>
      <c r="E81" s="115">
        <v>0</v>
      </c>
      <c r="F81" s="114">
        <f>E81*$B$52</f>
        <v>0</v>
      </c>
      <c r="G81" s="115">
        <v>0</v>
      </c>
      <c r="H81" s="114">
        <f>G81*$B$52</f>
        <v>0</v>
      </c>
      <c r="I81" s="115">
        <v>0</v>
      </c>
      <c r="J81" s="114">
        <f>I81*$B$52</f>
        <v>0</v>
      </c>
      <c r="K81" s="115">
        <v>0</v>
      </c>
      <c r="L81" s="114">
        <f>K81*$B$52</f>
        <v>0</v>
      </c>
      <c r="M81" s="115">
        <v>0</v>
      </c>
      <c r="N81" s="114">
        <f>M81*$B$52</f>
        <v>0</v>
      </c>
      <c r="O81" s="115">
        <v>0</v>
      </c>
      <c r="P81" s="114">
        <f>O81*$B$52</f>
        <v>0</v>
      </c>
      <c r="Q81" s="115">
        <v>0</v>
      </c>
      <c r="R81" s="114">
        <f>Q81*$B$52</f>
        <v>0</v>
      </c>
      <c r="S81" s="115">
        <v>0</v>
      </c>
      <c r="T81" s="114">
        <f>S81*$B$52</f>
        <v>0</v>
      </c>
      <c r="U81" s="115">
        <v>0</v>
      </c>
      <c r="V81" s="114">
        <f>U81*$B$52</f>
        <v>0</v>
      </c>
      <c r="W81" s="113">
        <v>0</v>
      </c>
      <c r="X81" s="114">
        <f>W81*$B$52</f>
        <v>0</v>
      </c>
      <c r="Y81" s="113">
        <v>0</v>
      </c>
      <c r="Z81" s="114">
        <f>Y81*$B$52</f>
        <v>0</v>
      </c>
      <c r="AB81" s="99"/>
    </row>
    <row r="82" spans="1:29" ht="15" hidden="1" customHeight="1" x14ac:dyDescent="0.15">
      <c r="A82" s="116"/>
      <c r="B82" s="182"/>
      <c r="C82" s="113">
        <v>0</v>
      </c>
      <c r="D82" s="114">
        <f t="shared" ref="D82" si="29">C82*$B$64</f>
        <v>0</v>
      </c>
      <c r="E82" s="115">
        <v>0</v>
      </c>
      <c r="F82" s="114">
        <f>E82*$B$54</f>
        <v>0</v>
      </c>
      <c r="G82" s="115">
        <v>0</v>
      </c>
      <c r="H82" s="114">
        <f>G82*$B$54</f>
        <v>0</v>
      </c>
      <c r="I82" s="115">
        <v>0</v>
      </c>
      <c r="J82" s="114">
        <f>I82*$B$54</f>
        <v>0</v>
      </c>
      <c r="K82" s="115">
        <v>0</v>
      </c>
      <c r="L82" s="114">
        <f>K82*$B$54</f>
        <v>0</v>
      </c>
      <c r="M82" s="115">
        <v>0</v>
      </c>
      <c r="N82" s="114">
        <f>M82*$B$54</f>
        <v>0</v>
      </c>
      <c r="O82" s="115">
        <v>0</v>
      </c>
      <c r="P82" s="114">
        <f>O82*$B$54</f>
        <v>0</v>
      </c>
      <c r="Q82" s="115">
        <v>0</v>
      </c>
      <c r="R82" s="114">
        <f>Q82*$B$54</f>
        <v>0</v>
      </c>
      <c r="S82" s="115">
        <v>0</v>
      </c>
      <c r="T82" s="114">
        <f>S82*$B$54</f>
        <v>0</v>
      </c>
      <c r="U82" s="115">
        <v>0</v>
      </c>
      <c r="V82" s="114">
        <f>U82*$B$54</f>
        <v>0</v>
      </c>
      <c r="W82" s="113">
        <v>0</v>
      </c>
      <c r="X82" s="114">
        <f>W82*$B$54</f>
        <v>0</v>
      </c>
      <c r="Y82" s="113">
        <v>0</v>
      </c>
      <c r="Z82" s="114">
        <f>Y82*$B$54</f>
        <v>0</v>
      </c>
      <c r="AB82" s="99"/>
    </row>
    <row r="83" spans="1:29" ht="15" hidden="1" customHeight="1" x14ac:dyDescent="0.15">
      <c r="A83" s="116"/>
      <c r="B83" s="182"/>
      <c r="C83" s="113">
        <v>0</v>
      </c>
      <c r="D83" s="114">
        <f t="shared" ref="D83" si="30">C83*$B$65</f>
        <v>0</v>
      </c>
      <c r="E83" s="115">
        <v>0</v>
      </c>
      <c r="F83" s="114">
        <f>E83*$B$54</f>
        <v>0</v>
      </c>
      <c r="G83" s="115">
        <v>0</v>
      </c>
      <c r="H83" s="114">
        <f>G83*$B$54</f>
        <v>0</v>
      </c>
      <c r="I83" s="115">
        <v>0</v>
      </c>
      <c r="J83" s="114">
        <f>I83*$B$54</f>
        <v>0</v>
      </c>
      <c r="K83" s="115">
        <v>0</v>
      </c>
      <c r="L83" s="114">
        <f>K83*$B$54</f>
        <v>0</v>
      </c>
      <c r="M83" s="115">
        <v>0</v>
      </c>
      <c r="N83" s="114">
        <f>M83*$B$54</f>
        <v>0</v>
      </c>
      <c r="O83" s="115">
        <v>0</v>
      </c>
      <c r="P83" s="114">
        <f>O83*$B$54</f>
        <v>0</v>
      </c>
      <c r="Q83" s="115">
        <v>0</v>
      </c>
      <c r="R83" s="114">
        <f>Q83*$B$54</f>
        <v>0</v>
      </c>
      <c r="S83" s="115">
        <v>0</v>
      </c>
      <c r="T83" s="114">
        <f>S83*$B$54</f>
        <v>0</v>
      </c>
      <c r="U83" s="115">
        <v>0</v>
      </c>
      <c r="V83" s="114">
        <f>U83*$B$54</f>
        <v>0</v>
      </c>
      <c r="W83" s="113">
        <v>0</v>
      </c>
      <c r="X83" s="114">
        <f>W83*$B$54</f>
        <v>0</v>
      </c>
      <c r="Y83" s="113">
        <v>0</v>
      </c>
      <c r="Z83" s="114">
        <f>Y83*$B$54</f>
        <v>0</v>
      </c>
      <c r="AB83" s="99"/>
    </row>
    <row r="84" spans="1:29" ht="15" hidden="1" customHeight="1" x14ac:dyDescent="0.15">
      <c r="A84" s="116"/>
      <c r="B84" s="182"/>
      <c r="C84" s="113">
        <v>0</v>
      </c>
      <c r="D84" s="114">
        <f t="shared" ref="D84" si="31">C84*$B$68</f>
        <v>0</v>
      </c>
      <c r="E84" s="115">
        <v>0</v>
      </c>
      <c r="F84" s="114">
        <f>E84*$B$52</f>
        <v>0</v>
      </c>
      <c r="G84" s="115">
        <v>0</v>
      </c>
      <c r="H84" s="114">
        <f>G84*$B$52</f>
        <v>0</v>
      </c>
      <c r="I84" s="115">
        <v>0</v>
      </c>
      <c r="J84" s="114">
        <f>I84*$B$52</f>
        <v>0</v>
      </c>
      <c r="K84" s="115">
        <v>0</v>
      </c>
      <c r="L84" s="114">
        <f>K84*$B$52</f>
        <v>0</v>
      </c>
      <c r="M84" s="115">
        <v>0</v>
      </c>
      <c r="N84" s="114">
        <f>M84*$B$52</f>
        <v>0</v>
      </c>
      <c r="O84" s="115">
        <v>0</v>
      </c>
      <c r="P84" s="114">
        <f>O84*$B$52</f>
        <v>0</v>
      </c>
      <c r="Q84" s="115">
        <v>0</v>
      </c>
      <c r="R84" s="114">
        <f>Q84*$B$52</f>
        <v>0</v>
      </c>
      <c r="S84" s="115">
        <v>0</v>
      </c>
      <c r="T84" s="114">
        <f>S84*$B$52</f>
        <v>0</v>
      </c>
      <c r="U84" s="115">
        <v>0</v>
      </c>
      <c r="V84" s="114">
        <f>U84*$B$52</f>
        <v>0</v>
      </c>
      <c r="W84" s="113">
        <v>0</v>
      </c>
      <c r="X84" s="114">
        <f>W84*$B$52</f>
        <v>0</v>
      </c>
      <c r="Y84" s="113">
        <v>0</v>
      </c>
      <c r="Z84" s="114">
        <f>Y84*$B$52</f>
        <v>0</v>
      </c>
      <c r="AB84" s="99"/>
    </row>
    <row r="85" spans="1:29" ht="15" hidden="1" customHeight="1" x14ac:dyDescent="0.15">
      <c r="A85" s="116"/>
      <c r="B85" s="182"/>
      <c r="C85" s="113">
        <v>0</v>
      </c>
      <c r="D85" s="114">
        <f t="shared" ref="D85" si="32">C85*$B$49</f>
        <v>0</v>
      </c>
      <c r="E85" s="115">
        <v>0</v>
      </c>
      <c r="F85" s="114">
        <f>E85*$B$57</f>
        <v>0</v>
      </c>
      <c r="G85" s="115">
        <v>0</v>
      </c>
      <c r="H85" s="114">
        <f>G85*$B$57</f>
        <v>0</v>
      </c>
      <c r="I85" s="115">
        <v>0</v>
      </c>
      <c r="J85" s="114">
        <f>I85*$B$57</f>
        <v>0</v>
      </c>
      <c r="K85" s="115">
        <v>0</v>
      </c>
      <c r="L85" s="114">
        <f>K85*$B$57</f>
        <v>0</v>
      </c>
      <c r="M85" s="115">
        <v>0</v>
      </c>
      <c r="N85" s="114">
        <f>M85*$B$57</f>
        <v>0</v>
      </c>
      <c r="O85" s="115">
        <v>0</v>
      </c>
      <c r="P85" s="114">
        <f>O85*$B$57</f>
        <v>0</v>
      </c>
      <c r="Q85" s="115">
        <v>0</v>
      </c>
      <c r="R85" s="114">
        <f>Q85*$B$57</f>
        <v>0</v>
      </c>
      <c r="S85" s="115">
        <v>0</v>
      </c>
      <c r="T85" s="114">
        <f>S85*$B$57</f>
        <v>0</v>
      </c>
      <c r="U85" s="115">
        <v>0</v>
      </c>
      <c r="V85" s="114">
        <f>U85*$B$57</f>
        <v>0</v>
      </c>
      <c r="W85" s="113">
        <v>0</v>
      </c>
      <c r="X85" s="114">
        <f>W85*$B$57</f>
        <v>0</v>
      </c>
      <c r="Y85" s="113">
        <v>0</v>
      </c>
      <c r="Z85" s="114">
        <f>Y85*$B$57</f>
        <v>0</v>
      </c>
      <c r="AB85" s="99"/>
    </row>
    <row r="86" spans="1:29" ht="15" hidden="1" customHeight="1" x14ac:dyDescent="0.15">
      <c r="A86" s="116"/>
      <c r="B86" s="182"/>
      <c r="C86" s="113">
        <v>0</v>
      </c>
      <c r="D86" s="114">
        <f t="shared" ref="D86" si="33">C86*$B$50</f>
        <v>0</v>
      </c>
      <c r="E86" s="115">
        <v>0</v>
      </c>
      <c r="F86" s="114">
        <f>E86*$B$57</f>
        <v>0</v>
      </c>
      <c r="G86" s="115">
        <v>0</v>
      </c>
      <c r="H86" s="114">
        <f>G86*$B$57</f>
        <v>0</v>
      </c>
      <c r="I86" s="115">
        <v>0</v>
      </c>
      <c r="J86" s="114">
        <f>I86*$B$57</f>
        <v>0</v>
      </c>
      <c r="K86" s="115">
        <v>0</v>
      </c>
      <c r="L86" s="114">
        <f>K86*$B$57</f>
        <v>0</v>
      </c>
      <c r="M86" s="115">
        <v>0</v>
      </c>
      <c r="N86" s="114">
        <f>M86*$B$57</f>
        <v>0</v>
      </c>
      <c r="O86" s="115">
        <v>0</v>
      </c>
      <c r="P86" s="114">
        <f>O86*$B$57</f>
        <v>0</v>
      </c>
      <c r="Q86" s="115">
        <v>0</v>
      </c>
      <c r="R86" s="114">
        <f>Q86*$B$57</f>
        <v>0</v>
      </c>
      <c r="S86" s="115">
        <v>0</v>
      </c>
      <c r="T86" s="114">
        <f>S86*$B$57</f>
        <v>0</v>
      </c>
      <c r="U86" s="115">
        <v>0</v>
      </c>
      <c r="V86" s="114">
        <f>U86*$B$57</f>
        <v>0</v>
      </c>
      <c r="W86" s="113">
        <v>0</v>
      </c>
      <c r="X86" s="114">
        <f>W86*$B$57</f>
        <v>0</v>
      </c>
      <c r="Y86" s="113">
        <v>0</v>
      </c>
      <c r="Z86" s="114">
        <f>Y86*$B$57</f>
        <v>0</v>
      </c>
      <c r="AB86" s="99"/>
    </row>
    <row r="87" spans="1:29" ht="15" hidden="1" customHeight="1" x14ac:dyDescent="0.15">
      <c r="A87" s="116"/>
      <c r="B87" s="182"/>
      <c r="C87" s="113">
        <v>0</v>
      </c>
      <c r="D87" s="114">
        <f t="shared" ref="D87" si="34">C87*$B$51</f>
        <v>0</v>
      </c>
      <c r="E87" s="115">
        <v>0</v>
      </c>
      <c r="F87" s="114">
        <f>E87*$B$59</f>
        <v>0</v>
      </c>
      <c r="G87" s="115">
        <v>0</v>
      </c>
      <c r="H87" s="114">
        <f>G87*$B$59</f>
        <v>0</v>
      </c>
      <c r="I87" s="115">
        <v>0</v>
      </c>
      <c r="J87" s="114">
        <f>I87*$B$59</f>
        <v>0</v>
      </c>
      <c r="K87" s="115">
        <v>0</v>
      </c>
      <c r="L87" s="114">
        <f>K87*$B$59</f>
        <v>0</v>
      </c>
      <c r="M87" s="115">
        <v>0</v>
      </c>
      <c r="N87" s="114">
        <f>M87*$B$59</f>
        <v>0</v>
      </c>
      <c r="O87" s="115">
        <v>0</v>
      </c>
      <c r="P87" s="114">
        <f>O87*$B$59</f>
        <v>0</v>
      </c>
      <c r="Q87" s="115">
        <v>0</v>
      </c>
      <c r="R87" s="114">
        <f>Q87*$B$59</f>
        <v>0</v>
      </c>
      <c r="S87" s="115">
        <v>0</v>
      </c>
      <c r="T87" s="114">
        <f>S87*$B$59</f>
        <v>0</v>
      </c>
      <c r="U87" s="115">
        <v>0</v>
      </c>
      <c r="V87" s="114">
        <f>U87*$B$59</f>
        <v>0</v>
      </c>
      <c r="W87" s="113">
        <v>0</v>
      </c>
      <c r="X87" s="114">
        <f>W87*$B$59</f>
        <v>0</v>
      </c>
      <c r="Y87" s="113">
        <v>0</v>
      </c>
      <c r="Z87" s="114">
        <f>Y87*$B$59</f>
        <v>0</v>
      </c>
      <c r="AB87" s="99"/>
    </row>
    <row r="88" spans="1:29" s="1" customFormat="1" ht="15" hidden="1" customHeight="1" x14ac:dyDescent="0.15">
      <c r="A88" s="116"/>
      <c r="B88" s="182"/>
      <c r="C88" s="113">
        <v>0</v>
      </c>
      <c r="D88" s="114">
        <f t="shared" ref="D88" si="35">C88*$B$52</f>
        <v>0</v>
      </c>
      <c r="E88" s="115">
        <v>0</v>
      </c>
      <c r="F88" s="117">
        <f>E88*$B$60</f>
        <v>0</v>
      </c>
      <c r="G88" s="115">
        <v>0</v>
      </c>
      <c r="H88" s="117">
        <f>G88*$B$60</f>
        <v>0</v>
      </c>
      <c r="I88" s="115">
        <v>0</v>
      </c>
      <c r="J88" s="117">
        <f>I88*$B$60</f>
        <v>0</v>
      </c>
      <c r="K88" s="115">
        <v>0</v>
      </c>
      <c r="L88" s="117">
        <f>K88*$B$60</f>
        <v>0</v>
      </c>
      <c r="M88" s="115">
        <v>0</v>
      </c>
      <c r="N88" s="117">
        <f>M88*$B$60</f>
        <v>0</v>
      </c>
      <c r="O88" s="115">
        <v>0</v>
      </c>
      <c r="P88" s="117">
        <f>O88*$B$60</f>
        <v>0</v>
      </c>
      <c r="Q88" s="115">
        <v>0</v>
      </c>
      <c r="R88" s="117">
        <f>Q88*$B$60</f>
        <v>0</v>
      </c>
      <c r="S88" s="115">
        <v>0</v>
      </c>
      <c r="T88" s="117">
        <f>S88*$B$60</f>
        <v>0</v>
      </c>
      <c r="U88" s="115">
        <v>0</v>
      </c>
      <c r="V88" s="117">
        <f>U88*$B$60</f>
        <v>0</v>
      </c>
      <c r="W88" s="113">
        <v>0</v>
      </c>
      <c r="X88" s="117">
        <f>W88*$B$60</f>
        <v>0</v>
      </c>
      <c r="Y88" s="113">
        <v>0</v>
      </c>
      <c r="Z88" s="117">
        <f>Y88*$B$60</f>
        <v>0</v>
      </c>
      <c r="AB88" s="99"/>
      <c r="AC88" s="123"/>
    </row>
    <row r="89" spans="1:29" s="1" customFormat="1" ht="15" hidden="1" customHeight="1" x14ac:dyDescent="0.15">
      <c r="A89" s="118"/>
      <c r="B89" s="182"/>
      <c r="C89" s="113">
        <v>0</v>
      </c>
      <c r="D89" s="114">
        <f t="shared" ref="D89" si="36">C89*$B$53</f>
        <v>0</v>
      </c>
      <c r="E89" s="113">
        <v>0</v>
      </c>
      <c r="F89" s="114">
        <f>E89*$B$61</f>
        <v>0</v>
      </c>
      <c r="G89" s="113">
        <v>0</v>
      </c>
      <c r="H89" s="114">
        <f>G89*$B$61</f>
        <v>0</v>
      </c>
      <c r="I89" s="113">
        <v>0</v>
      </c>
      <c r="J89" s="114">
        <f>I89*$B$61</f>
        <v>0</v>
      </c>
      <c r="K89" s="113">
        <v>0</v>
      </c>
      <c r="L89" s="114">
        <f>K89*$B$61</f>
        <v>0</v>
      </c>
      <c r="M89" s="113">
        <v>0</v>
      </c>
      <c r="N89" s="114">
        <f>M89*$B$61</f>
        <v>0</v>
      </c>
      <c r="O89" s="113">
        <v>0</v>
      </c>
      <c r="P89" s="114">
        <f>O89*$B$61</f>
        <v>0</v>
      </c>
      <c r="Q89" s="113">
        <v>0</v>
      </c>
      <c r="R89" s="114">
        <f>Q89*$B$61</f>
        <v>0</v>
      </c>
      <c r="S89" s="113">
        <v>0</v>
      </c>
      <c r="T89" s="114">
        <f>S89*$B$61</f>
        <v>0</v>
      </c>
      <c r="U89" s="113">
        <v>0</v>
      </c>
      <c r="V89" s="114">
        <f>U89*$B$61</f>
        <v>0</v>
      </c>
      <c r="W89" s="113">
        <v>0</v>
      </c>
      <c r="X89" s="114">
        <f>W89*$B$61</f>
        <v>0</v>
      </c>
      <c r="Y89" s="113">
        <v>0</v>
      </c>
      <c r="Z89" s="114">
        <f>Y89*$B$61</f>
        <v>0</v>
      </c>
      <c r="AB89" s="99"/>
      <c r="AC89" s="123"/>
    </row>
    <row r="90" spans="1:29" s="1" customFormat="1" ht="15" hidden="1" customHeight="1" x14ac:dyDescent="0.15">
      <c r="A90" s="119"/>
      <c r="B90" s="182"/>
      <c r="C90" s="113">
        <v>0</v>
      </c>
      <c r="D90" s="114">
        <f t="shared" ref="D90:D91" si="37">C90*$B$54</f>
        <v>0</v>
      </c>
      <c r="E90" s="113">
        <v>0</v>
      </c>
      <c r="F90" s="117">
        <f>E90*$B$62</f>
        <v>0</v>
      </c>
      <c r="G90" s="113">
        <v>0</v>
      </c>
      <c r="H90" s="117">
        <f>G90*$B$62</f>
        <v>0</v>
      </c>
      <c r="I90" s="113">
        <v>0</v>
      </c>
      <c r="J90" s="117">
        <f>I90*$B$62</f>
        <v>0</v>
      </c>
      <c r="K90" s="113">
        <v>0</v>
      </c>
      <c r="L90" s="117">
        <f>K90*$B$62</f>
        <v>0</v>
      </c>
      <c r="M90" s="113">
        <v>0</v>
      </c>
      <c r="N90" s="117">
        <f>M90*$B$62</f>
        <v>0</v>
      </c>
      <c r="O90" s="113">
        <v>0</v>
      </c>
      <c r="P90" s="117">
        <f>O90*$B$62</f>
        <v>0</v>
      </c>
      <c r="Q90" s="113">
        <v>0</v>
      </c>
      <c r="R90" s="117">
        <f>Q90*$B$62</f>
        <v>0</v>
      </c>
      <c r="S90" s="113">
        <v>0</v>
      </c>
      <c r="T90" s="117">
        <f>S90*$B$62</f>
        <v>0</v>
      </c>
      <c r="U90" s="113">
        <v>0</v>
      </c>
      <c r="V90" s="117">
        <f>U90*$B$62</f>
        <v>0</v>
      </c>
      <c r="W90" s="113">
        <v>0</v>
      </c>
      <c r="X90" s="117">
        <f>W90*$B$62</f>
        <v>0</v>
      </c>
      <c r="Y90" s="113">
        <v>0</v>
      </c>
      <c r="Z90" s="117">
        <f>Y90*$B$62</f>
        <v>0</v>
      </c>
      <c r="AB90" s="99"/>
      <c r="AC90" s="123"/>
    </row>
    <row r="91" spans="1:29" s="1" customFormat="1" ht="15" hidden="1" customHeight="1" x14ac:dyDescent="0.15">
      <c r="A91" s="119"/>
      <c r="B91" s="182"/>
      <c r="C91" s="113">
        <v>0</v>
      </c>
      <c r="D91" s="114">
        <f t="shared" si="37"/>
        <v>0</v>
      </c>
      <c r="E91" s="113">
        <v>0</v>
      </c>
      <c r="F91" s="114">
        <f t="shared" ref="F91:F94" si="38">E91*$B$63</f>
        <v>0</v>
      </c>
      <c r="G91" s="113">
        <v>0</v>
      </c>
      <c r="H91" s="114">
        <f t="shared" ref="H91:H94" si="39">G91*$B$63</f>
        <v>0</v>
      </c>
      <c r="I91" s="113">
        <v>0</v>
      </c>
      <c r="J91" s="114">
        <f t="shared" ref="J91:J94" si="40">I91*$B$63</f>
        <v>0</v>
      </c>
      <c r="K91" s="113">
        <v>0</v>
      </c>
      <c r="L91" s="114">
        <f t="shared" ref="L91:L94" si="41">K91*$B$63</f>
        <v>0</v>
      </c>
      <c r="M91" s="113">
        <v>0</v>
      </c>
      <c r="N91" s="114">
        <f t="shared" ref="N91:N94" si="42">M91*$B$63</f>
        <v>0</v>
      </c>
      <c r="O91" s="113">
        <v>0</v>
      </c>
      <c r="P91" s="114">
        <f t="shared" ref="P91:P94" si="43">O91*$B$63</f>
        <v>0</v>
      </c>
      <c r="Q91" s="113">
        <v>0</v>
      </c>
      <c r="R91" s="114">
        <f t="shared" ref="R91:R94" si="44">Q91*$B$63</f>
        <v>0</v>
      </c>
      <c r="S91" s="113">
        <v>0</v>
      </c>
      <c r="T91" s="114">
        <f t="shared" ref="T91:T94" si="45">S91*$B$63</f>
        <v>0</v>
      </c>
      <c r="U91" s="113">
        <v>0</v>
      </c>
      <c r="V91" s="114">
        <f t="shared" ref="V91:V94" si="46">U91*$B$63</f>
        <v>0</v>
      </c>
      <c r="W91" s="113">
        <v>0</v>
      </c>
      <c r="X91" s="114">
        <f>W91*$B$63</f>
        <v>0</v>
      </c>
      <c r="Y91" s="113">
        <v>0</v>
      </c>
      <c r="Z91" s="114">
        <f>Y91*$B$63</f>
        <v>0</v>
      </c>
      <c r="AB91" s="99"/>
      <c r="AC91" s="123"/>
    </row>
    <row r="92" spans="1:29" s="1" customFormat="1" ht="15" hidden="1" customHeight="1" x14ac:dyDescent="0.15">
      <c r="A92" s="119"/>
      <c r="B92" s="182"/>
      <c r="C92" s="113">
        <v>0</v>
      </c>
      <c r="D92" s="114">
        <f t="shared" ref="D92" si="47">C92*$B$56</f>
        <v>0</v>
      </c>
      <c r="E92" s="113">
        <v>0</v>
      </c>
      <c r="F92" s="114">
        <f t="shared" si="38"/>
        <v>0</v>
      </c>
      <c r="G92" s="113">
        <v>0</v>
      </c>
      <c r="H92" s="114">
        <f t="shared" si="39"/>
        <v>0</v>
      </c>
      <c r="I92" s="113">
        <v>0</v>
      </c>
      <c r="J92" s="114">
        <f t="shared" si="40"/>
        <v>0</v>
      </c>
      <c r="K92" s="113">
        <v>0</v>
      </c>
      <c r="L92" s="114">
        <f t="shared" si="41"/>
        <v>0</v>
      </c>
      <c r="M92" s="113">
        <v>0</v>
      </c>
      <c r="N92" s="114">
        <f t="shared" si="42"/>
        <v>0</v>
      </c>
      <c r="O92" s="113">
        <v>0</v>
      </c>
      <c r="P92" s="114">
        <f t="shared" si="43"/>
        <v>0</v>
      </c>
      <c r="Q92" s="113">
        <v>0</v>
      </c>
      <c r="R92" s="114">
        <f t="shared" si="44"/>
        <v>0</v>
      </c>
      <c r="S92" s="113">
        <v>0</v>
      </c>
      <c r="T92" s="114">
        <f t="shared" si="45"/>
        <v>0</v>
      </c>
      <c r="U92" s="113">
        <v>0</v>
      </c>
      <c r="V92" s="114">
        <f t="shared" si="46"/>
        <v>0</v>
      </c>
      <c r="W92" s="113">
        <v>0</v>
      </c>
      <c r="X92" s="114">
        <f>W92*$B$63</f>
        <v>0</v>
      </c>
      <c r="Y92" s="113">
        <v>0</v>
      </c>
      <c r="Z92" s="114">
        <f>Y92*$B$63</f>
        <v>0</v>
      </c>
      <c r="AB92" s="99"/>
      <c r="AC92" s="123"/>
    </row>
    <row r="93" spans="1:29" s="1" customFormat="1" ht="15" hidden="1" customHeight="1" x14ac:dyDescent="0.15">
      <c r="A93" s="119"/>
      <c r="B93" s="182"/>
      <c r="C93" s="113">
        <v>0</v>
      </c>
      <c r="D93" s="114">
        <f t="shared" ref="D93" si="48">C93*$B$57</f>
        <v>0</v>
      </c>
      <c r="E93" s="113">
        <v>0</v>
      </c>
      <c r="F93" s="114">
        <f t="shared" si="38"/>
        <v>0</v>
      </c>
      <c r="G93" s="113">
        <v>0</v>
      </c>
      <c r="H93" s="114">
        <f t="shared" si="39"/>
        <v>0</v>
      </c>
      <c r="I93" s="113">
        <v>0</v>
      </c>
      <c r="J93" s="114">
        <f t="shared" si="40"/>
        <v>0</v>
      </c>
      <c r="K93" s="113">
        <v>0</v>
      </c>
      <c r="L93" s="114">
        <f t="shared" si="41"/>
        <v>0</v>
      </c>
      <c r="M93" s="113">
        <v>0</v>
      </c>
      <c r="N93" s="114">
        <f t="shared" si="42"/>
        <v>0</v>
      </c>
      <c r="O93" s="113">
        <v>0</v>
      </c>
      <c r="P93" s="114">
        <f t="shared" si="43"/>
        <v>0</v>
      </c>
      <c r="Q93" s="113">
        <v>0</v>
      </c>
      <c r="R93" s="114">
        <f t="shared" si="44"/>
        <v>0</v>
      </c>
      <c r="S93" s="113">
        <v>0</v>
      </c>
      <c r="T93" s="114">
        <f t="shared" si="45"/>
        <v>0</v>
      </c>
      <c r="U93" s="113">
        <v>0</v>
      </c>
      <c r="V93" s="114">
        <f t="shared" si="46"/>
        <v>0</v>
      </c>
      <c r="W93" s="113">
        <v>0</v>
      </c>
      <c r="X93" s="114">
        <f>W93*$B$63</f>
        <v>0</v>
      </c>
      <c r="Y93" s="113">
        <v>0</v>
      </c>
      <c r="Z93" s="114">
        <f>Y93*$B$63</f>
        <v>0</v>
      </c>
      <c r="AB93" s="99"/>
      <c r="AC93" s="123"/>
    </row>
    <row r="94" spans="1:29" s="1" customFormat="1" ht="15" hidden="1" customHeight="1" x14ac:dyDescent="0.15">
      <c r="A94" s="112"/>
      <c r="B94" s="182"/>
      <c r="C94" s="113">
        <v>0</v>
      </c>
      <c r="D94" s="114">
        <f t="shared" ref="D94" si="49">C94*$B$58</f>
        <v>0</v>
      </c>
      <c r="E94" s="113">
        <v>0</v>
      </c>
      <c r="F94" s="114">
        <f t="shared" si="38"/>
        <v>0</v>
      </c>
      <c r="G94" s="113">
        <v>0</v>
      </c>
      <c r="H94" s="114">
        <f t="shared" si="39"/>
        <v>0</v>
      </c>
      <c r="I94" s="113">
        <v>0</v>
      </c>
      <c r="J94" s="114">
        <f t="shared" si="40"/>
        <v>0</v>
      </c>
      <c r="K94" s="113">
        <v>0</v>
      </c>
      <c r="L94" s="114">
        <f t="shared" si="41"/>
        <v>0</v>
      </c>
      <c r="M94" s="113">
        <v>0</v>
      </c>
      <c r="N94" s="114">
        <f t="shared" si="42"/>
        <v>0</v>
      </c>
      <c r="O94" s="113">
        <v>0</v>
      </c>
      <c r="P94" s="114">
        <f t="shared" si="43"/>
        <v>0</v>
      </c>
      <c r="Q94" s="113">
        <v>0</v>
      </c>
      <c r="R94" s="114">
        <f t="shared" si="44"/>
        <v>0</v>
      </c>
      <c r="S94" s="113">
        <v>0</v>
      </c>
      <c r="T94" s="114">
        <f t="shared" si="45"/>
        <v>0</v>
      </c>
      <c r="U94" s="113">
        <v>0</v>
      </c>
      <c r="V94" s="114">
        <f t="shared" si="46"/>
        <v>0</v>
      </c>
      <c r="W94" s="113">
        <v>0</v>
      </c>
      <c r="X94" s="114">
        <f>W94*$B$63</f>
        <v>0</v>
      </c>
      <c r="Y94" s="113">
        <v>0</v>
      </c>
      <c r="Z94" s="114">
        <f>Y94*$B$63</f>
        <v>0</v>
      </c>
      <c r="AB94" s="99"/>
      <c r="AC94" s="123"/>
    </row>
    <row r="95" spans="1:29" s="1" customFormat="1" ht="30" hidden="1" customHeight="1" x14ac:dyDescent="0.15">
      <c r="A95" s="112" t="s">
        <v>45</v>
      </c>
      <c r="B95" s="182"/>
      <c r="C95" s="113">
        <v>0</v>
      </c>
      <c r="D95" s="114">
        <f>C95*$B$68</f>
        <v>0</v>
      </c>
      <c r="E95" s="113">
        <v>0</v>
      </c>
      <c r="F95" s="114">
        <f>E95*$B$63</f>
        <v>0</v>
      </c>
      <c r="G95" s="113">
        <v>0</v>
      </c>
      <c r="H95" s="114">
        <f>G95*$B$63</f>
        <v>0</v>
      </c>
      <c r="I95" s="113">
        <v>0</v>
      </c>
      <c r="J95" s="114">
        <f>I95*$B$63</f>
        <v>0</v>
      </c>
      <c r="K95" s="113">
        <v>0</v>
      </c>
      <c r="L95" s="114">
        <f>K95*$B$63</f>
        <v>0</v>
      </c>
      <c r="M95" s="113">
        <v>0</v>
      </c>
      <c r="N95" s="114">
        <f>M95*$B$63</f>
        <v>0</v>
      </c>
      <c r="O95" s="113">
        <v>0</v>
      </c>
      <c r="P95" s="114">
        <f>O95*$B$63</f>
        <v>0</v>
      </c>
      <c r="Q95" s="113">
        <v>0</v>
      </c>
      <c r="R95" s="114">
        <f>Q95*$B$63</f>
        <v>0</v>
      </c>
      <c r="S95" s="113">
        <v>0</v>
      </c>
      <c r="T95" s="114">
        <f>S95*$B$63</f>
        <v>0</v>
      </c>
      <c r="U95" s="113">
        <v>0</v>
      </c>
      <c r="V95" s="114">
        <f>U95*$B$63</f>
        <v>0</v>
      </c>
      <c r="W95" s="113">
        <v>0</v>
      </c>
      <c r="X95" s="114">
        <f>W95*B95</f>
        <v>0</v>
      </c>
      <c r="Y95" s="113"/>
      <c r="Z95" s="114">
        <f>Y95*B95</f>
        <v>0</v>
      </c>
      <c r="AB95" s="99"/>
      <c r="AC95" s="123"/>
    </row>
    <row r="96" spans="1:29" s="1" customFormat="1" ht="17.25" customHeight="1" thickBot="1" x14ac:dyDescent="0.2">
      <c r="A96" s="112"/>
      <c r="B96" s="182"/>
      <c r="C96" s="113">
        <v>0</v>
      </c>
      <c r="D96" s="114">
        <f>C96*$B$68</f>
        <v>0</v>
      </c>
      <c r="E96" s="113">
        <v>0</v>
      </c>
      <c r="F96" s="114">
        <f>E96*$B$63</f>
        <v>0</v>
      </c>
      <c r="G96" s="113">
        <v>0</v>
      </c>
      <c r="H96" s="114">
        <f>G96*$B$63</f>
        <v>0</v>
      </c>
      <c r="I96" s="113">
        <v>0</v>
      </c>
      <c r="J96" s="114">
        <f>I96*$B$63</f>
        <v>0</v>
      </c>
      <c r="K96" s="113">
        <v>0</v>
      </c>
      <c r="L96" s="114">
        <f>K96*$B$63</f>
        <v>0</v>
      </c>
      <c r="M96" s="113">
        <v>0</v>
      </c>
      <c r="N96" s="114">
        <f>M96*$B$63</f>
        <v>0</v>
      </c>
      <c r="O96" s="113">
        <v>0</v>
      </c>
      <c r="P96" s="114">
        <f>O96*$B$63</f>
        <v>0</v>
      </c>
      <c r="Q96" s="113">
        <v>0</v>
      </c>
      <c r="R96" s="114">
        <f>Q96*$B$63</f>
        <v>0</v>
      </c>
      <c r="S96" s="113">
        <v>0</v>
      </c>
      <c r="T96" s="114">
        <f>S96*$B$63</f>
        <v>0</v>
      </c>
      <c r="U96" s="113">
        <v>0</v>
      </c>
      <c r="V96" s="114">
        <f>U96*$B$63</f>
        <v>0</v>
      </c>
      <c r="W96" s="113"/>
      <c r="X96" s="114">
        <f>W96*B96</f>
        <v>0</v>
      </c>
      <c r="Y96" s="113">
        <v>0</v>
      </c>
      <c r="Z96" s="114">
        <f>Y96*B96</f>
        <v>0</v>
      </c>
      <c r="AB96" s="99"/>
      <c r="AC96" s="123"/>
    </row>
    <row r="97" spans="1:28" ht="14" x14ac:dyDescent="0.15">
      <c r="A97" s="134" t="s">
        <v>13</v>
      </c>
      <c r="B97" s="135"/>
      <c r="C97" s="120"/>
      <c r="D97" s="121">
        <f>SUM(D28:D96)</f>
        <v>6250</v>
      </c>
      <c r="E97" s="120"/>
      <c r="F97" s="121" t="e">
        <f>SUM(F26:F72)</f>
        <v>#REF!</v>
      </c>
      <c r="G97" s="120"/>
      <c r="H97" s="121" t="e">
        <f>SUM(H26:H72)</f>
        <v>#REF!</v>
      </c>
      <c r="I97" s="120"/>
      <c r="J97" s="121" t="e">
        <f>SUM(J26:J72)</f>
        <v>#REF!</v>
      </c>
      <c r="K97" s="120"/>
      <c r="L97" s="121" t="e">
        <f>SUM(L26:L72)</f>
        <v>#REF!</v>
      </c>
      <c r="M97" s="120"/>
      <c r="N97" s="121" t="e">
        <f>SUM(N26:N72)</f>
        <v>#REF!</v>
      </c>
      <c r="O97" s="120"/>
      <c r="P97" s="121" t="e">
        <f>SUM(P26:P72)</f>
        <v>#REF!</v>
      </c>
      <c r="Q97" s="120"/>
      <c r="R97" s="121" t="e">
        <f>SUM(R26:R72)</f>
        <v>#REF!</v>
      </c>
      <c r="S97" s="120"/>
      <c r="T97" s="121" t="e">
        <f>SUM(T26:T72)</f>
        <v>#REF!</v>
      </c>
      <c r="U97" s="120"/>
      <c r="V97" s="121" t="e">
        <f>SUM(V26:V72)</f>
        <v>#REF!</v>
      </c>
      <c r="W97" s="120"/>
      <c r="X97" s="121">
        <f>SUM(X28:X96)</f>
        <v>0</v>
      </c>
      <c r="Y97" s="120"/>
      <c r="Z97" s="121">
        <f>SUM(Z28:Z96)</f>
        <v>0</v>
      </c>
      <c r="AB97" s="183"/>
    </row>
    <row r="98" spans="1:28" ht="14" x14ac:dyDescent="0.15">
      <c r="A98" s="136" t="s">
        <v>14</v>
      </c>
      <c r="B98" s="132"/>
      <c r="C98" s="113"/>
      <c r="D98" s="114">
        <f>D97+D25</f>
        <v>6497.1951849999996</v>
      </c>
      <c r="E98" s="113"/>
      <c r="F98" s="114" t="e">
        <f>SUM(F97,F25)</f>
        <v>#REF!</v>
      </c>
      <c r="G98" s="113"/>
      <c r="H98" s="114" t="e">
        <f>SUM(H97,H25)</f>
        <v>#REF!</v>
      </c>
      <c r="I98" s="113"/>
      <c r="J98" s="114" t="e">
        <f>SUM(J97,J25)</f>
        <v>#REF!</v>
      </c>
      <c r="K98" s="113"/>
      <c r="L98" s="114" t="e">
        <f>SUM(L97,L25)</f>
        <v>#REF!</v>
      </c>
      <c r="M98" s="113"/>
      <c r="N98" s="114" t="e">
        <f>SUM(N97,N25)</f>
        <v>#REF!</v>
      </c>
      <c r="O98" s="113"/>
      <c r="P98" s="114" t="e">
        <f>SUM(P97,P25)</f>
        <v>#REF!</v>
      </c>
      <c r="Q98" s="113"/>
      <c r="R98" s="114" t="e">
        <f>SUM(R97,R25)</f>
        <v>#REF!</v>
      </c>
      <c r="S98" s="113"/>
      <c r="T98" s="114" t="e">
        <f>SUM(T97,T25)</f>
        <v>#REF!</v>
      </c>
      <c r="U98" s="113"/>
      <c r="V98" s="114" t="e">
        <f>SUM(V97,V25)</f>
        <v>#REF!</v>
      </c>
      <c r="W98" s="114" t="s">
        <v>0</v>
      </c>
      <c r="X98" s="114">
        <f>X97+X25</f>
        <v>0</v>
      </c>
      <c r="Y98" s="114" t="s">
        <v>0</v>
      </c>
      <c r="Z98" s="114">
        <f>Z97+Z25</f>
        <v>32.214399999999998</v>
      </c>
      <c r="AB98" s="183"/>
    </row>
    <row r="99" spans="1:28" ht="15" thickBot="1" x14ac:dyDescent="0.2">
      <c r="A99" s="137" t="s">
        <v>15</v>
      </c>
      <c r="B99" s="138">
        <v>9.7000000000000003E-2</v>
      </c>
      <c r="C99" s="126"/>
      <c r="D99" s="127">
        <f>D98*$B$99</f>
        <v>630.22793294500002</v>
      </c>
      <c r="E99" s="126"/>
      <c r="F99" s="127" t="e">
        <f>F98*$B$99</f>
        <v>#REF!</v>
      </c>
      <c r="G99" s="126"/>
      <c r="H99" s="127" t="e">
        <f>H98*$B$99</f>
        <v>#REF!</v>
      </c>
      <c r="I99" s="126"/>
      <c r="J99" s="127" t="e">
        <f>J98*$B$99</f>
        <v>#REF!</v>
      </c>
      <c r="K99" s="126"/>
      <c r="L99" s="127" t="e">
        <f>L98*$B$99</f>
        <v>#REF!</v>
      </c>
      <c r="M99" s="126"/>
      <c r="N99" s="127" t="e">
        <f>N98*$B$99</f>
        <v>#REF!</v>
      </c>
      <c r="O99" s="126"/>
      <c r="P99" s="127" t="e">
        <f>P98*$B$99</f>
        <v>#REF!</v>
      </c>
      <c r="Q99" s="126"/>
      <c r="R99" s="127" t="e">
        <f>R98*$B$99</f>
        <v>#REF!</v>
      </c>
      <c r="S99" s="126"/>
      <c r="T99" s="127" t="e">
        <f>T98*$B$99</f>
        <v>#REF!</v>
      </c>
      <c r="U99" s="126"/>
      <c r="V99" s="127" t="e">
        <f>V98*$B$99</f>
        <v>#REF!</v>
      </c>
      <c r="W99" s="126"/>
      <c r="X99" s="127">
        <f>X98*$B$99</f>
        <v>0</v>
      </c>
      <c r="Y99" s="126"/>
      <c r="Z99" s="127">
        <f>Z98*$B$99</f>
        <v>3.1247967999999999</v>
      </c>
      <c r="AB99" s="183"/>
    </row>
    <row r="100" spans="1:28" ht="14" x14ac:dyDescent="0.15">
      <c r="A100" s="134" t="s">
        <v>16</v>
      </c>
      <c r="B100" s="151"/>
      <c r="C100" s="120"/>
      <c r="D100" s="121">
        <f>D98+D99</f>
        <v>7127.4231179449998</v>
      </c>
      <c r="E100" s="120"/>
      <c r="F100" s="121" t="e">
        <f>F98+F99</f>
        <v>#REF!</v>
      </c>
      <c r="G100" s="120"/>
      <c r="H100" s="121" t="e">
        <f>H98+H99</f>
        <v>#REF!</v>
      </c>
      <c r="I100" s="120"/>
      <c r="J100" s="121" t="e">
        <f>J98+J99</f>
        <v>#REF!</v>
      </c>
      <c r="K100" s="120"/>
      <c r="L100" s="121" t="e">
        <f>L98+L99</f>
        <v>#REF!</v>
      </c>
      <c r="M100" s="120"/>
      <c r="N100" s="121" t="e">
        <f>N98+N99</f>
        <v>#REF!</v>
      </c>
      <c r="O100" s="120"/>
      <c r="P100" s="121" t="e">
        <f>P98+P99</f>
        <v>#REF!</v>
      </c>
      <c r="Q100" s="120"/>
      <c r="R100" s="121" t="e">
        <f>R98+R99</f>
        <v>#REF!</v>
      </c>
      <c r="S100" s="120"/>
      <c r="T100" s="121" t="e">
        <f>T98+T99</f>
        <v>#REF!</v>
      </c>
      <c r="U100" s="120"/>
      <c r="V100" s="121" t="e">
        <f>V98+V99</f>
        <v>#REF!</v>
      </c>
      <c r="W100" s="120"/>
      <c r="X100" s="121">
        <f>X98+X99</f>
        <v>0</v>
      </c>
      <c r="Y100" s="120"/>
      <c r="Z100" s="121">
        <f>Z98+Z99</f>
        <v>35.339196799999996</v>
      </c>
      <c r="AA100" s="2"/>
      <c r="AB100" s="183"/>
    </row>
    <row r="101" spans="1:28" ht="15.75" hidden="1" customHeight="1" thickBot="1" x14ac:dyDescent="0.2">
      <c r="A101" s="152"/>
      <c r="B101" s="139"/>
      <c r="C101" s="140"/>
      <c r="D101" s="141"/>
      <c r="E101" s="140"/>
      <c r="F101" s="141"/>
      <c r="G101" s="140"/>
      <c r="H101" s="141"/>
      <c r="I101" s="140"/>
      <c r="J101" s="141"/>
      <c r="K101" s="140"/>
      <c r="L101" s="141"/>
      <c r="M101" s="140"/>
      <c r="N101" s="141"/>
      <c r="O101" s="140"/>
      <c r="P101" s="141"/>
      <c r="Q101" s="140"/>
      <c r="R101" s="141"/>
      <c r="S101" s="140"/>
      <c r="T101" s="141"/>
      <c r="U101" s="140"/>
      <c r="V101" s="141"/>
      <c r="W101" s="140"/>
      <c r="X101" s="141"/>
      <c r="Y101" s="140"/>
      <c r="Z101" s="141"/>
      <c r="AB101" s="183"/>
    </row>
    <row r="102" spans="1:28" ht="15" hidden="1" customHeight="1" x14ac:dyDescent="0.15">
      <c r="A102" s="136" t="s">
        <v>34</v>
      </c>
      <c r="B102" s="133">
        <v>0</v>
      </c>
      <c r="C102" s="113"/>
      <c r="D102" s="114">
        <f>D100*$B$102</f>
        <v>0</v>
      </c>
      <c r="E102" s="113"/>
      <c r="F102" s="114" t="e">
        <f>F100*$B$102</f>
        <v>#REF!</v>
      </c>
      <c r="G102" s="113"/>
      <c r="H102" s="114" t="e">
        <f>H100*$B$102</f>
        <v>#REF!</v>
      </c>
      <c r="I102" s="113"/>
      <c r="J102" s="114" t="e">
        <f>J100*$B$102</f>
        <v>#REF!</v>
      </c>
      <c r="K102" s="113"/>
      <c r="L102" s="114" t="e">
        <f>L100*$B$102</f>
        <v>#REF!</v>
      </c>
      <c r="M102" s="113"/>
      <c r="N102" s="114" t="e">
        <f>N100*$B$102</f>
        <v>#REF!</v>
      </c>
      <c r="O102" s="113"/>
      <c r="P102" s="114" t="e">
        <f>P100*$B$102</f>
        <v>#REF!</v>
      </c>
      <c r="Q102" s="113"/>
      <c r="R102" s="114" t="e">
        <f>R100*$B$102</f>
        <v>#REF!</v>
      </c>
      <c r="S102" s="113"/>
      <c r="T102" s="114" t="e">
        <f>T100*$B$102</f>
        <v>#REF!</v>
      </c>
      <c r="U102" s="113"/>
      <c r="V102" s="114" t="e">
        <f>V100*$B$102</f>
        <v>#REF!</v>
      </c>
      <c r="W102" s="113"/>
      <c r="X102" s="114">
        <f>X100*$B$102</f>
        <v>0</v>
      </c>
      <c r="Y102" s="113"/>
      <c r="Z102" s="114">
        <f>Z100*$B$102</f>
        <v>0</v>
      </c>
      <c r="AB102" s="183"/>
    </row>
    <row r="103" spans="1:28" ht="15" hidden="1" customHeight="1" x14ac:dyDescent="0.15">
      <c r="A103" s="136"/>
      <c r="B103" s="132"/>
      <c r="C103" s="113"/>
      <c r="D103" s="114"/>
      <c r="E103" s="113"/>
      <c r="F103" s="114"/>
      <c r="G103" s="113"/>
      <c r="H103" s="114"/>
      <c r="I103" s="113"/>
      <c r="J103" s="114"/>
      <c r="K103" s="113"/>
      <c r="L103" s="114"/>
      <c r="M103" s="113"/>
      <c r="N103" s="114"/>
      <c r="O103" s="113"/>
      <c r="P103" s="114"/>
      <c r="Q103" s="113"/>
      <c r="R103" s="114"/>
      <c r="S103" s="113"/>
      <c r="T103" s="114"/>
      <c r="U103" s="113"/>
      <c r="V103" s="114"/>
      <c r="W103" s="113"/>
      <c r="X103" s="114"/>
      <c r="Y103" s="113"/>
      <c r="Z103" s="114"/>
      <c r="AB103" s="183"/>
    </row>
    <row r="104" spans="1:28" ht="15.75" hidden="1" customHeight="1" thickBot="1" x14ac:dyDescent="0.2">
      <c r="A104" s="136" t="s">
        <v>17</v>
      </c>
      <c r="B104" s="132" t="s">
        <v>0</v>
      </c>
      <c r="C104" s="113"/>
      <c r="D104" s="142">
        <f>SUM(D100:D102)</f>
        <v>7127.4231179449998</v>
      </c>
      <c r="E104" s="143"/>
      <c r="F104" s="142" t="e">
        <f>SUM(F100:F102)</f>
        <v>#REF!</v>
      </c>
      <c r="G104" s="143"/>
      <c r="H104" s="142" t="e">
        <f>SUM(H100:H102)</f>
        <v>#REF!</v>
      </c>
      <c r="I104" s="143"/>
      <c r="J104" s="142" t="e">
        <f>SUM(J100:J102)</f>
        <v>#REF!</v>
      </c>
      <c r="K104" s="143"/>
      <c r="L104" s="142" t="e">
        <f>SUM(L100:L102)</f>
        <v>#REF!</v>
      </c>
      <c r="M104" s="143"/>
      <c r="N104" s="142" t="e">
        <f>SUM(N100:N102)</f>
        <v>#REF!</v>
      </c>
      <c r="O104" s="143"/>
      <c r="P104" s="142" t="e">
        <f>SUM(P100:P102)</f>
        <v>#REF!</v>
      </c>
      <c r="Q104" s="143"/>
      <c r="R104" s="142" t="e">
        <f>SUM(R100:R102)</f>
        <v>#REF!</v>
      </c>
      <c r="S104" s="143"/>
      <c r="T104" s="142" t="e">
        <f>SUM(T100:T102)</f>
        <v>#REF!</v>
      </c>
      <c r="U104" s="143"/>
      <c r="V104" s="142" t="e">
        <f>SUM(V100:V102)</f>
        <v>#REF!</v>
      </c>
      <c r="W104" s="143"/>
      <c r="X104" s="142">
        <f>SUM(X100:X102)</f>
        <v>0</v>
      </c>
      <c r="Y104" s="143"/>
      <c r="Z104" s="142">
        <f>SUM(Z100:Z102)</f>
        <v>35.339196799999996</v>
      </c>
      <c r="AB104" s="183"/>
    </row>
    <row r="105" spans="1:28" ht="15.75" hidden="1" customHeight="1" thickBot="1" x14ac:dyDescent="0.2">
      <c r="A105" s="153"/>
      <c r="B105" s="144"/>
      <c r="C105" s="144"/>
      <c r="D105" s="145"/>
      <c r="E105" s="144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4"/>
      <c r="X105" s="145"/>
      <c r="Y105" s="144"/>
      <c r="Z105" s="145"/>
      <c r="AB105" s="183"/>
    </row>
    <row r="106" spans="1:28" ht="15" hidden="1" customHeight="1" x14ac:dyDescent="0.15">
      <c r="A106" s="153" t="s">
        <v>35</v>
      </c>
      <c r="B106" s="147">
        <v>0</v>
      </c>
      <c r="C106" s="144"/>
      <c r="D106" s="145">
        <f>D104*$B$106</f>
        <v>0</v>
      </c>
      <c r="E106" s="144"/>
      <c r="F106" s="145" t="e">
        <f>F104*$B$106</f>
        <v>#REF!</v>
      </c>
      <c r="G106" s="146"/>
      <c r="H106" s="145" t="e">
        <f>H104*$B$106</f>
        <v>#REF!</v>
      </c>
      <c r="I106" s="146"/>
      <c r="J106" s="145" t="e">
        <f>J104*$B$106</f>
        <v>#REF!</v>
      </c>
      <c r="K106" s="146"/>
      <c r="L106" s="145" t="e">
        <f>L104*$B$106</f>
        <v>#REF!</v>
      </c>
      <c r="M106" s="146"/>
      <c r="N106" s="145" t="e">
        <f>N104*$B$106</f>
        <v>#REF!</v>
      </c>
      <c r="O106" s="146"/>
      <c r="P106" s="145" t="e">
        <f>P104*$B$106</f>
        <v>#REF!</v>
      </c>
      <c r="Q106" s="146"/>
      <c r="R106" s="145" t="e">
        <f>R104*$B$106</f>
        <v>#REF!</v>
      </c>
      <c r="S106" s="146"/>
      <c r="T106" s="145" t="e">
        <f>T104*$B$106</f>
        <v>#REF!</v>
      </c>
      <c r="U106" s="146"/>
      <c r="V106" s="145" t="e">
        <f>V104*$B$106</f>
        <v>#REF!</v>
      </c>
      <c r="W106" s="144"/>
      <c r="X106" s="145">
        <f>X104*$B$106</f>
        <v>0</v>
      </c>
      <c r="Y106" s="144"/>
      <c r="Z106" s="145">
        <f>Z104*$B$106</f>
        <v>0</v>
      </c>
      <c r="AB106" s="183"/>
    </row>
    <row r="107" spans="1:28" ht="15" hidden="1" customHeight="1" x14ac:dyDescent="0.15">
      <c r="A107" s="153"/>
      <c r="B107" s="144"/>
      <c r="C107" s="144"/>
      <c r="D107" s="145"/>
      <c r="E107" s="144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4"/>
      <c r="X107" s="145"/>
      <c r="Y107" s="144"/>
      <c r="Z107" s="145"/>
      <c r="AB107" s="183"/>
    </row>
    <row r="108" spans="1:28" ht="15" hidden="1" customHeight="1" x14ac:dyDescent="0.15">
      <c r="A108" s="154" t="s">
        <v>20</v>
      </c>
      <c r="B108" s="147">
        <v>0</v>
      </c>
      <c r="C108" s="144"/>
      <c r="D108" s="145">
        <f>D104*$B$108</f>
        <v>0</v>
      </c>
      <c r="E108" s="149"/>
      <c r="F108" s="145" t="e">
        <f>F104*$B$108</f>
        <v>#REF!</v>
      </c>
      <c r="G108" s="149"/>
      <c r="H108" s="145" t="e">
        <f>H104*$B$108</f>
        <v>#REF!</v>
      </c>
      <c r="I108" s="149"/>
      <c r="J108" s="145" t="e">
        <f>J104*$B$108</f>
        <v>#REF!</v>
      </c>
      <c r="K108" s="149"/>
      <c r="L108" s="145" t="e">
        <f>L104*$B$108</f>
        <v>#REF!</v>
      </c>
      <c r="M108" s="149"/>
      <c r="N108" s="145" t="e">
        <f>N104*$B$108</f>
        <v>#REF!</v>
      </c>
      <c r="O108" s="149"/>
      <c r="P108" s="145" t="e">
        <f>P104*$B$108</f>
        <v>#REF!</v>
      </c>
      <c r="Q108" s="149"/>
      <c r="R108" s="145" t="e">
        <f>R104*$B$108</f>
        <v>#REF!</v>
      </c>
      <c r="S108" s="149"/>
      <c r="T108" s="145" t="e">
        <f>T104*$B$108</f>
        <v>#REF!</v>
      </c>
      <c r="U108" s="145"/>
      <c r="V108" s="145" t="e">
        <f t="shared" ref="V108" si="50">V104*$B$108</f>
        <v>#REF!</v>
      </c>
      <c r="W108" s="149"/>
      <c r="X108" s="145">
        <f>X104*$B$108</f>
        <v>0</v>
      </c>
      <c r="Y108" s="149"/>
      <c r="Z108" s="145">
        <f>Z104*$B$108</f>
        <v>0</v>
      </c>
      <c r="AB108" s="183"/>
    </row>
    <row r="109" spans="1:28" ht="15" hidden="1" customHeight="1" x14ac:dyDescent="0.15">
      <c r="A109" s="154"/>
      <c r="B109" s="148"/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B109" s="183"/>
    </row>
    <row r="110" spans="1:28" ht="14" x14ac:dyDescent="0.15">
      <c r="A110" s="155" t="s">
        <v>31</v>
      </c>
      <c r="B110" s="150">
        <v>0.1</v>
      </c>
      <c r="C110" s="144"/>
      <c r="D110" s="170">
        <f>D100*B110</f>
        <v>712.74231179449998</v>
      </c>
      <c r="E110" s="171"/>
      <c r="F110" s="170" t="e">
        <f>SUM(F108,F106,F104,)</f>
        <v>#REF!</v>
      </c>
      <c r="G110" s="171"/>
      <c r="H110" s="170" t="e">
        <f>SUM(H108,H106,H104,)</f>
        <v>#REF!</v>
      </c>
      <c r="I110" s="171"/>
      <c r="J110" s="170" t="e">
        <f>SUM(J108,J106,J104,)</f>
        <v>#REF!</v>
      </c>
      <c r="K110" s="171"/>
      <c r="L110" s="170" t="e">
        <f>SUM(L108,L106,L104,)</f>
        <v>#REF!</v>
      </c>
      <c r="M110" s="171"/>
      <c r="N110" s="170" t="e">
        <f>SUM(N108,N106,N104,)</f>
        <v>#REF!</v>
      </c>
      <c r="O110" s="171"/>
      <c r="P110" s="170" t="e">
        <f>SUM(P108,P106,P104,)</f>
        <v>#REF!</v>
      </c>
      <c r="Q110" s="171"/>
      <c r="R110" s="170" t="e">
        <f>SUM(R108,R106,R104,)</f>
        <v>#REF!</v>
      </c>
      <c r="S110" s="171"/>
      <c r="T110" s="170" t="e">
        <f>SUM(T108,T106,T104,)</f>
        <v>#REF!</v>
      </c>
      <c r="U110" s="170"/>
      <c r="V110" s="170" t="e">
        <f>SUM(V108,V106,V104,)</f>
        <v>#REF!</v>
      </c>
      <c r="W110" s="171"/>
      <c r="X110" s="170">
        <f>X100*B110</f>
        <v>0</v>
      </c>
      <c r="Y110" s="171"/>
      <c r="Z110" s="170">
        <f>Z100*B110</f>
        <v>3.5339196799999999</v>
      </c>
      <c r="AB110" s="183"/>
    </row>
    <row r="111" spans="1:28" ht="15" thickBot="1" x14ac:dyDescent="0.2">
      <c r="A111" s="156" t="s">
        <v>32</v>
      </c>
      <c r="B111" s="157"/>
      <c r="C111" s="157"/>
      <c r="D111" s="158">
        <f>D110+D100</f>
        <v>7840.1654297394998</v>
      </c>
      <c r="E111" s="157"/>
      <c r="F111" s="157"/>
      <c r="G111" s="157"/>
      <c r="H111" s="157"/>
      <c r="I111" s="157"/>
      <c r="J111" s="157"/>
      <c r="K111" s="157"/>
      <c r="L111" s="157"/>
      <c r="M111" s="158"/>
      <c r="N111" s="157"/>
      <c r="O111" s="157"/>
      <c r="P111" s="157"/>
      <c r="Q111" s="157"/>
      <c r="R111" s="157"/>
      <c r="S111" s="157"/>
      <c r="T111" s="157"/>
      <c r="U111" s="157"/>
      <c r="V111" s="157"/>
      <c r="W111" s="159"/>
      <c r="X111" s="158">
        <f>X110+X100</f>
        <v>0</v>
      </c>
      <c r="Y111" s="159"/>
      <c r="Z111" s="158">
        <f>Z110+Z100</f>
        <v>38.873116479999993</v>
      </c>
      <c r="AB111" s="183"/>
    </row>
    <row r="112" spans="1:28" ht="14" x14ac:dyDescent="0.15">
      <c r="A112" s="160" t="s">
        <v>30</v>
      </c>
      <c r="B112" s="161"/>
      <c r="C112" s="162"/>
      <c r="D112" s="163">
        <f>1*D115</f>
        <v>0</v>
      </c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3"/>
      <c r="S112" s="163"/>
      <c r="T112" s="163"/>
      <c r="U112" s="163"/>
      <c r="V112" s="163"/>
      <c r="W112" s="162"/>
      <c r="X112" s="163">
        <f>X111*X115</f>
        <v>0</v>
      </c>
      <c r="Y112" s="162"/>
      <c r="Z112" s="163">
        <f>Z111*Z115</f>
        <v>0.38873116479999992</v>
      </c>
      <c r="AB112" s="183"/>
    </row>
    <row r="113" spans="1:29" ht="15" thickBot="1" x14ac:dyDescent="0.2">
      <c r="A113" s="164" t="s">
        <v>33</v>
      </c>
      <c r="B113" s="165"/>
      <c r="C113" s="166"/>
      <c r="D113" s="167">
        <f>D112+D111</f>
        <v>7840.1654297394998</v>
      </c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7"/>
      <c r="S113" s="167"/>
      <c r="T113" s="167"/>
      <c r="U113" s="167"/>
      <c r="V113" s="167"/>
      <c r="W113" s="166"/>
      <c r="X113" s="167">
        <f>X112+X111</f>
        <v>0</v>
      </c>
      <c r="Y113" s="167"/>
      <c r="Z113" s="167">
        <f t="shared" ref="Z113" si="51">Z112+Z111</f>
        <v>39.261847644799992</v>
      </c>
      <c r="AB113" s="183"/>
    </row>
    <row r="114" spans="1:29" ht="14" x14ac:dyDescent="0.1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B114" s="99"/>
    </row>
    <row r="115" spans="1:29" ht="14" x14ac:dyDescent="0.15">
      <c r="A115" s="98"/>
      <c r="B115" s="3"/>
      <c r="C115" s="98"/>
      <c r="D115" s="100"/>
      <c r="E115" s="98"/>
      <c r="F115" s="98"/>
      <c r="G115" s="98"/>
      <c r="H115" s="98"/>
      <c r="I115" s="98"/>
      <c r="J115" s="9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98"/>
      <c r="X115" s="100"/>
      <c r="Y115" s="98"/>
      <c r="Z115" s="100">
        <v>0.01</v>
      </c>
      <c r="AB115" s="183"/>
    </row>
    <row r="116" spans="1:29" ht="14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B116" s="99"/>
      <c r="AC116" s="125"/>
    </row>
    <row r="117" spans="1:29" ht="14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B117" s="102"/>
    </row>
    <row r="118" spans="1:29" ht="14" x14ac:dyDescent="0.15">
      <c r="A118" s="3"/>
      <c r="B118" s="184"/>
      <c r="C118" s="3"/>
      <c r="D118" s="1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B118" s="99"/>
    </row>
    <row r="119" spans="1:29" ht="14" x14ac:dyDescent="0.15">
      <c r="A119" s="3"/>
      <c r="B119" s="184"/>
      <c r="C119" s="3"/>
      <c r="D119" s="1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4"/>
      <c r="AC119" s="124"/>
    </row>
    <row r="120" spans="1:29" ht="14" x14ac:dyDescent="0.15">
      <c r="A120" s="3"/>
      <c r="B120" s="184"/>
      <c r="C120" s="3"/>
      <c r="D120" s="1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C120" s="124"/>
    </row>
    <row r="121" spans="1:29" ht="14" x14ac:dyDescent="0.15">
      <c r="A121" s="3"/>
      <c r="B121" s="184"/>
      <c r="C121" s="3"/>
      <c r="D121" s="1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9" ht="14" x14ac:dyDescent="0.15">
      <c r="A122" s="3"/>
      <c r="B122" s="184"/>
      <c r="C122" s="3"/>
      <c r="D122" s="1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9" ht="14" x14ac:dyDescent="0.15">
      <c r="A123" s="3"/>
      <c r="B123" s="184"/>
      <c r="C123" s="3"/>
      <c r="D123" s="1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9" ht="14" x14ac:dyDescent="0.15">
      <c r="A124" s="3"/>
      <c r="B124" s="184"/>
      <c r="C124" s="3"/>
      <c r="D124" s="1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9" ht="14" x14ac:dyDescent="0.15">
      <c r="A125" s="3"/>
      <c r="B125" s="184"/>
      <c r="C125" s="3"/>
      <c r="D125" s="1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9" x14ac:dyDescent="0.15">
      <c r="B126" s="122"/>
      <c r="D126" s="122"/>
    </row>
    <row r="127" spans="1:29" x14ac:dyDescent="0.15">
      <c r="B127" s="122"/>
      <c r="D127" s="122"/>
    </row>
    <row r="128" spans="1:29" x14ac:dyDescent="0.15">
      <c r="D128" s="122"/>
    </row>
    <row r="129" spans="4:26" x14ac:dyDescent="0.15">
      <c r="D129" s="122"/>
    </row>
    <row r="130" spans="4:26" x14ac:dyDescent="0.15">
      <c r="D130" s="122"/>
    </row>
    <row r="131" spans="4:26" x14ac:dyDescent="0.15">
      <c r="D131" s="122"/>
      <c r="Z131" s="99"/>
    </row>
    <row r="132" spans="4:26" x14ac:dyDescent="0.15">
      <c r="D132" s="122"/>
    </row>
    <row r="133" spans="4:26" x14ac:dyDescent="0.15">
      <c r="D133" s="122"/>
    </row>
    <row r="134" spans="4:26" x14ac:dyDescent="0.15">
      <c r="D134" s="122"/>
    </row>
    <row r="135" spans="4:26" x14ac:dyDescent="0.15">
      <c r="D135" s="122"/>
    </row>
    <row r="136" spans="4:26" x14ac:dyDescent="0.15">
      <c r="D136" s="122"/>
    </row>
    <row r="137" spans="4:26" x14ac:dyDescent="0.15">
      <c r="D137" s="122"/>
    </row>
    <row r="138" spans="4:26" x14ac:dyDescent="0.15">
      <c r="D138" s="122"/>
    </row>
    <row r="139" spans="4:26" x14ac:dyDescent="0.15">
      <c r="D139" s="122"/>
    </row>
    <row r="140" spans="4:26" x14ac:dyDescent="0.15">
      <c r="D140" s="122"/>
    </row>
    <row r="141" spans="4:26" x14ac:dyDescent="0.15">
      <c r="D141" s="122"/>
    </row>
    <row r="142" spans="4:26" x14ac:dyDescent="0.15">
      <c r="D142" s="122"/>
    </row>
    <row r="143" spans="4:26" x14ac:dyDescent="0.15">
      <c r="D143" s="122"/>
    </row>
    <row r="144" spans="4:26" x14ac:dyDescent="0.15">
      <c r="D144" s="122"/>
    </row>
    <row r="145" spans="4:4" x14ac:dyDescent="0.15">
      <c r="D145" s="122"/>
    </row>
    <row r="146" spans="4:4" x14ac:dyDescent="0.15">
      <c r="D146" s="122"/>
    </row>
    <row r="147" spans="4:4" x14ac:dyDescent="0.15">
      <c r="D147" s="122"/>
    </row>
    <row r="148" spans="4:4" x14ac:dyDescent="0.15">
      <c r="D148" s="122"/>
    </row>
    <row r="149" spans="4:4" x14ac:dyDescent="0.15">
      <c r="D149" s="122"/>
    </row>
  </sheetData>
  <mergeCells count="25">
    <mergeCell ref="U6:V6"/>
    <mergeCell ref="W6:X6"/>
    <mergeCell ref="Y6:Z6"/>
    <mergeCell ref="Y2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M2:N5"/>
    <mergeCell ref="O2:P5"/>
    <mergeCell ref="Q2:R5"/>
    <mergeCell ref="S2:T5"/>
    <mergeCell ref="U2:V5"/>
    <mergeCell ref="W2:X5"/>
    <mergeCell ref="A2:A3"/>
    <mergeCell ref="C2:D5"/>
    <mergeCell ref="E2:F5"/>
    <mergeCell ref="G2:H5"/>
    <mergeCell ref="I2:J5"/>
    <mergeCell ref="K2:L5"/>
  </mergeCells>
  <printOptions horizontalCentered="1" verticalCentered="1"/>
  <pageMargins left="0.25" right="0.25" top="0.25" bottom="0.25" header="0.5" footer="0.5"/>
  <pageSetup paperSize="3" scale="7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Fishbowl Carpet</vt:lpstr>
      <vt:lpstr>Fishbowl Hallway</vt:lpstr>
      <vt:lpstr>Fishbowl Floor</vt:lpstr>
      <vt:lpstr>Fishbowl Door</vt:lpstr>
      <vt:lpstr>Mesh Screens</vt:lpstr>
      <vt:lpstr>Impact Doors</vt:lpstr>
      <vt:lpstr>Glass Partition Frosted</vt:lpstr>
      <vt:lpstr>'Fishbowl Carpet'!Print_Area</vt:lpstr>
      <vt:lpstr>'Fishbowl Door'!Print_Area</vt:lpstr>
      <vt:lpstr>'Fishbowl Floor'!Print_Area</vt:lpstr>
      <vt:lpstr>'Fishbowl Hallway'!Print_Area</vt:lpstr>
      <vt:lpstr>'Mesh Screens'!Print_Area</vt:lpstr>
    </vt:vector>
  </TitlesOfParts>
  <Company>STEP,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2020-02-10T18:53:52Z</cp:lastPrinted>
  <dcterms:created xsi:type="dcterms:W3CDTF">2007-04-19T17:12:01Z</dcterms:created>
  <dcterms:modified xsi:type="dcterms:W3CDTF">2020-02-11T15:53:10Z</dcterms:modified>
</cp:coreProperties>
</file>