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240" windowWidth="20160" windowHeight="9375" tabRatio="706"/>
  </bookViews>
  <sheets>
    <sheet name="Building 508" sheetId="6" r:id="rId1"/>
    <sheet name="Breakdown by Catagory 508" sheetId="7" r:id="rId2"/>
    <sheet name="Sheet2" sheetId="10" r:id="rId3"/>
  </sheets>
  <definedNames>
    <definedName name="check" localSheetId="0">'Building 508'!$AF$106</definedName>
    <definedName name="check">#REF!</definedName>
  </definedNames>
  <calcPr calcId="145621"/>
</workbook>
</file>

<file path=xl/calcChain.xml><?xml version="1.0" encoding="utf-8"?>
<calcChain xmlns="http://schemas.openxmlformats.org/spreadsheetml/2006/main">
  <c r="D56" i="6" l="1"/>
  <c r="F56" i="6"/>
  <c r="H56" i="6"/>
  <c r="J56" i="6"/>
  <c r="L56" i="6"/>
  <c r="N56" i="6"/>
  <c r="P56" i="6"/>
  <c r="R56" i="6"/>
  <c r="T56" i="6"/>
  <c r="V56" i="6"/>
  <c r="X56" i="6"/>
  <c r="Z56" i="6"/>
  <c r="AB56" i="6"/>
  <c r="AD56" i="6"/>
  <c r="AE56" i="6"/>
  <c r="AF56" i="6"/>
  <c r="D57" i="6"/>
  <c r="F57" i="6"/>
  <c r="H57" i="6"/>
  <c r="J57" i="6"/>
  <c r="L57" i="6"/>
  <c r="N57" i="6"/>
  <c r="P57" i="6"/>
  <c r="R57" i="6"/>
  <c r="T57" i="6"/>
  <c r="V57" i="6"/>
  <c r="X57" i="6"/>
  <c r="Z57" i="6"/>
  <c r="AB57" i="6"/>
  <c r="AD57" i="6"/>
  <c r="AE57" i="6"/>
  <c r="AF57" i="6"/>
  <c r="D58" i="6"/>
  <c r="F58" i="6"/>
  <c r="H58" i="6"/>
  <c r="J58" i="6"/>
  <c r="L58" i="6"/>
  <c r="N58" i="6"/>
  <c r="P58" i="6"/>
  <c r="R58" i="6"/>
  <c r="T58" i="6"/>
  <c r="V58" i="6"/>
  <c r="X58" i="6"/>
  <c r="Z58" i="6"/>
  <c r="AB58" i="6"/>
  <c r="AD58" i="6"/>
  <c r="AE58" i="6"/>
  <c r="AF58" i="6"/>
  <c r="D59" i="6"/>
  <c r="F59" i="6"/>
  <c r="H59" i="6"/>
  <c r="J59" i="6"/>
  <c r="L59" i="6"/>
  <c r="N59" i="6"/>
  <c r="P59" i="6"/>
  <c r="R59" i="6"/>
  <c r="T59" i="6"/>
  <c r="V59" i="6"/>
  <c r="X59" i="6"/>
  <c r="Z59" i="6"/>
  <c r="AB59" i="6"/>
  <c r="AD59" i="6"/>
  <c r="AE59" i="6"/>
  <c r="AF59" i="6"/>
  <c r="D60" i="6"/>
  <c r="F60" i="6"/>
  <c r="H60" i="6"/>
  <c r="J60" i="6"/>
  <c r="L60" i="6"/>
  <c r="N60" i="6"/>
  <c r="P60" i="6"/>
  <c r="R60" i="6"/>
  <c r="T60" i="6"/>
  <c r="V60" i="6"/>
  <c r="X60" i="6"/>
  <c r="Z60" i="6"/>
  <c r="AB60" i="6"/>
  <c r="AD60" i="6"/>
  <c r="AE60" i="6"/>
  <c r="AF60" i="6"/>
  <c r="D61" i="6"/>
  <c r="F61" i="6"/>
  <c r="H61" i="6"/>
  <c r="J61" i="6"/>
  <c r="L61" i="6"/>
  <c r="N61" i="6"/>
  <c r="P61" i="6"/>
  <c r="R61" i="6"/>
  <c r="T61" i="6"/>
  <c r="V61" i="6"/>
  <c r="X61" i="6"/>
  <c r="Z61" i="6"/>
  <c r="AB61" i="6"/>
  <c r="AD61" i="6"/>
  <c r="AE61" i="6"/>
  <c r="AF61" i="6"/>
  <c r="D62" i="6"/>
  <c r="F62" i="6"/>
  <c r="H62" i="6"/>
  <c r="J62" i="6"/>
  <c r="L62" i="6"/>
  <c r="N62" i="6"/>
  <c r="P62" i="6"/>
  <c r="R62" i="6"/>
  <c r="T62" i="6"/>
  <c r="V62" i="6"/>
  <c r="X62" i="6"/>
  <c r="Z62" i="6"/>
  <c r="AB62" i="6"/>
  <c r="AD62" i="6"/>
  <c r="AE62" i="6"/>
  <c r="AF62" i="6"/>
  <c r="D63" i="6"/>
  <c r="F63" i="6"/>
  <c r="H63" i="6"/>
  <c r="J63" i="6"/>
  <c r="L63" i="6"/>
  <c r="N63" i="6"/>
  <c r="P63" i="6"/>
  <c r="R63" i="6"/>
  <c r="T63" i="6"/>
  <c r="V63" i="6"/>
  <c r="X63" i="6"/>
  <c r="Z63" i="6"/>
  <c r="AB63" i="6"/>
  <c r="AD63" i="6"/>
  <c r="AE63" i="6"/>
  <c r="AF63" i="6"/>
  <c r="D64" i="6"/>
  <c r="F64" i="6"/>
  <c r="H64" i="6"/>
  <c r="J64" i="6"/>
  <c r="L64" i="6"/>
  <c r="N64" i="6"/>
  <c r="P64" i="6"/>
  <c r="R64" i="6"/>
  <c r="T64" i="6"/>
  <c r="V64" i="6"/>
  <c r="X64" i="6"/>
  <c r="Z64" i="6"/>
  <c r="AB64" i="6"/>
  <c r="AD64" i="6"/>
  <c r="AE64" i="6"/>
  <c r="AF64" i="6"/>
  <c r="D65" i="6"/>
  <c r="F65" i="6"/>
  <c r="H65" i="6"/>
  <c r="J65" i="6"/>
  <c r="L65" i="6"/>
  <c r="N65" i="6"/>
  <c r="P65" i="6"/>
  <c r="R65" i="6"/>
  <c r="T65" i="6"/>
  <c r="V65" i="6"/>
  <c r="X65" i="6"/>
  <c r="Z65" i="6"/>
  <c r="AB65" i="6"/>
  <c r="AD65" i="6"/>
  <c r="AE65" i="6"/>
  <c r="AF65" i="6"/>
  <c r="D66" i="6"/>
  <c r="F66" i="6"/>
  <c r="H66" i="6"/>
  <c r="J66" i="6"/>
  <c r="L66" i="6"/>
  <c r="N66" i="6"/>
  <c r="P66" i="6"/>
  <c r="R66" i="6"/>
  <c r="T66" i="6"/>
  <c r="V66" i="6"/>
  <c r="X66" i="6"/>
  <c r="Z66" i="6"/>
  <c r="AB66" i="6"/>
  <c r="AD66" i="6"/>
  <c r="AE66" i="6"/>
  <c r="AF66" i="6"/>
  <c r="D67" i="6"/>
  <c r="F67" i="6"/>
  <c r="H67" i="6"/>
  <c r="J67" i="6"/>
  <c r="L67" i="6"/>
  <c r="N67" i="6"/>
  <c r="P67" i="6"/>
  <c r="R67" i="6"/>
  <c r="T67" i="6"/>
  <c r="V67" i="6"/>
  <c r="X67" i="6"/>
  <c r="Z67" i="6"/>
  <c r="AB67" i="6"/>
  <c r="AD67" i="6"/>
  <c r="AE67" i="6"/>
  <c r="AF67" i="6"/>
  <c r="D68" i="6"/>
  <c r="F68" i="6"/>
  <c r="H68" i="6"/>
  <c r="J68" i="6"/>
  <c r="L68" i="6"/>
  <c r="N68" i="6"/>
  <c r="P68" i="6"/>
  <c r="R68" i="6"/>
  <c r="T68" i="6"/>
  <c r="V68" i="6"/>
  <c r="X68" i="6"/>
  <c r="Z68" i="6"/>
  <c r="AB68" i="6"/>
  <c r="AD68" i="6"/>
  <c r="AE68" i="6"/>
  <c r="AF68" i="6"/>
  <c r="D69" i="6"/>
  <c r="F69" i="6"/>
  <c r="H69" i="6"/>
  <c r="J69" i="6"/>
  <c r="L69" i="6"/>
  <c r="N69" i="6"/>
  <c r="P69" i="6"/>
  <c r="R69" i="6"/>
  <c r="T69" i="6"/>
  <c r="V69" i="6"/>
  <c r="X69" i="6"/>
  <c r="Z69" i="6"/>
  <c r="AB69" i="6"/>
  <c r="AD69" i="6"/>
  <c r="AE69" i="6"/>
  <c r="AF69" i="6"/>
  <c r="D70" i="6"/>
  <c r="F70" i="6"/>
  <c r="H70" i="6"/>
  <c r="J70" i="6"/>
  <c r="L70" i="6"/>
  <c r="N70" i="6"/>
  <c r="P70" i="6"/>
  <c r="R70" i="6"/>
  <c r="T70" i="6"/>
  <c r="V70" i="6"/>
  <c r="X70" i="6"/>
  <c r="Z70" i="6"/>
  <c r="AB70" i="6"/>
  <c r="AD70" i="6"/>
  <c r="AE70" i="6"/>
  <c r="AF70" i="6"/>
  <c r="D71" i="6"/>
  <c r="F71" i="6"/>
  <c r="H71" i="6"/>
  <c r="J71" i="6"/>
  <c r="L71" i="6"/>
  <c r="N71" i="6"/>
  <c r="P71" i="6"/>
  <c r="R71" i="6"/>
  <c r="T71" i="6"/>
  <c r="V71" i="6"/>
  <c r="X71" i="6"/>
  <c r="Z71" i="6"/>
  <c r="AB71" i="6"/>
  <c r="AD71" i="6"/>
  <c r="AE71" i="6"/>
  <c r="AF71" i="6"/>
  <c r="D72" i="6"/>
  <c r="F72" i="6"/>
  <c r="H72" i="6"/>
  <c r="J72" i="6"/>
  <c r="L72" i="6"/>
  <c r="N72" i="6"/>
  <c r="P72" i="6"/>
  <c r="R72" i="6"/>
  <c r="T72" i="6"/>
  <c r="V72" i="6"/>
  <c r="X72" i="6"/>
  <c r="Z72" i="6"/>
  <c r="AB72" i="6"/>
  <c r="AD72" i="6"/>
  <c r="AE72" i="6"/>
  <c r="AF72" i="6"/>
  <c r="D73" i="6"/>
  <c r="F73" i="6"/>
  <c r="H73" i="6"/>
  <c r="J73" i="6"/>
  <c r="L73" i="6"/>
  <c r="N73" i="6"/>
  <c r="P73" i="6"/>
  <c r="R73" i="6"/>
  <c r="T73" i="6"/>
  <c r="V73" i="6"/>
  <c r="X73" i="6"/>
  <c r="Z73" i="6"/>
  <c r="AB73" i="6"/>
  <c r="AD73" i="6"/>
  <c r="AF73" i="6"/>
  <c r="D74" i="6"/>
  <c r="AF74" i="6" s="1"/>
  <c r="F74" i="6"/>
  <c r="H74" i="6"/>
  <c r="J74" i="6"/>
  <c r="L74" i="6"/>
  <c r="N74" i="6"/>
  <c r="P74" i="6"/>
  <c r="R74" i="6"/>
  <c r="T74" i="6"/>
  <c r="V74" i="6"/>
  <c r="X74" i="6"/>
  <c r="Z74" i="6"/>
  <c r="AB74" i="6"/>
  <c r="AD74" i="6"/>
  <c r="AE74" i="6"/>
  <c r="D75" i="6"/>
  <c r="AF75" i="6" s="1"/>
  <c r="F75" i="6"/>
  <c r="H75" i="6"/>
  <c r="J75" i="6"/>
  <c r="L75" i="6"/>
  <c r="N75" i="6"/>
  <c r="P75" i="6"/>
  <c r="R75" i="6"/>
  <c r="T75" i="6"/>
  <c r="V75" i="6"/>
  <c r="X75" i="6"/>
  <c r="Z75" i="6"/>
  <c r="AB75" i="6"/>
  <c r="AD75" i="6"/>
  <c r="AE75" i="6"/>
  <c r="D76" i="6"/>
  <c r="AF76" i="6" s="1"/>
  <c r="F76" i="6"/>
  <c r="H76" i="6"/>
  <c r="J76" i="6"/>
  <c r="L76" i="6"/>
  <c r="N76" i="6"/>
  <c r="P76" i="6"/>
  <c r="R76" i="6"/>
  <c r="T76" i="6"/>
  <c r="V76" i="6"/>
  <c r="X76" i="6"/>
  <c r="Z76" i="6"/>
  <c r="AB76" i="6"/>
  <c r="AD76" i="6"/>
  <c r="AE76" i="6"/>
  <c r="D77" i="6"/>
  <c r="AF77" i="6" s="1"/>
  <c r="F77" i="6"/>
  <c r="H77" i="6"/>
  <c r="J77" i="6"/>
  <c r="L77" i="6"/>
  <c r="N77" i="6"/>
  <c r="P77" i="6"/>
  <c r="R77" i="6"/>
  <c r="T77" i="6"/>
  <c r="V77" i="6"/>
  <c r="X77" i="6"/>
  <c r="Z77" i="6"/>
  <c r="AB77" i="6"/>
  <c r="AD77" i="6"/>
  <c r="AE77" i="6"/>
  <c r="D78" i="6"/>
  <c r="AF78" i="6" s="1"/>
  <c r="F78" i="6"/>
  <c r="H78" i="6"/>
  <c r="J78" i="6"/>
  <c r="L78" i="6"/>
  <c r="N78" i="6"/>
  <c r="P78" i="6"/>
  <c r="R78" i="6"/>
  <c r="T78" i="6"/>
  <c r="V78" i="6"/>
  <c r="X78" i="6"/>
  <c r="Z78" i="6"/>
  <c r="AB78" i="6"/>
  <c r="AD78" i="6"/>
  <c r="AE78" i="6"/>
  <c r="D79" i="6"/>
  <c r="AF79" i="6" s="1"/>
  <c r="F79" i="6"/>
  <c r="H79" i="6"/>
  <c r="J79" i="6"/>
  <c r="L79" i="6"/>
  <c r="N79" i="6"/>
  <c r="P79" i="6"/>
  <c r="R79" i="6"/>
  <c r="T79" i="6"/>
  <c r="V79" i="6"/>
  <c r="X79" i="6"/>
  <c r="Z79" i="6"/>
  <c r="AB79" i="6"/>
  <c r="AD79" i="6"/>
  <c r="AE79" i="6"/>
  <c r="D80" i="6"/>
  <c r="AF80" i="6" s="1"/>
  <c r="F80" i="6"/>
  <c r="H80" i="6"/>
  <c r="J80" i="6"/>
  <c r="L80" i="6"/>
  <c r="N80" i="6"/>
  <c r="P80" i="6"/>
  <c r="R80" i="6"/>
  <c r="T80" i="6"/>
  <c r="V80" i="6"/>
  <c r="X80" i="6"/>
  <c r="Z80" i="6"/>
  <c r="AB80" i="6"/>
  <c r="AD80" i="6"/>
  <c r="AE80" i="6"/>
  <c r="D81" i="6"/>
  <c r="AF81" i="6" s="1"/>
  <c r="F81" i="6"/>
  <c r="H81" i="6"/>
  <c r="J81" i="6"/>
  <c r="L81" i="6"/>
  <c r="N81" i="6"/>
  <c r="P81" i="6"/>
  <c r="R81" i="6"/>
  <c r="T81" i="6"/>
  <c r="V81" i="6"/>
  <c r="X81" i="6"/>
  <c r="Z81" i="6"/>
  <c r="AB81" i="6"/>
  <c r="AD81" i="6"/>
  <c r="AE81" i="6"/>
  <c r="D82" i="6"/>
  <c r="AF82" i="6" s="1"/>
  <c r="F82" i="6"/>
  <c r="H82" i="6"/>
  <c r="J82" i="6"/>
  <c r="L82" i="6"/>
  <c r="N82" i="6"/>
  <c r="P82" i="6"/>
  <c r="R82" i="6"/>
  <c r="T82" i="6"/>
  <c r="V82" i="6"/>
  <c r="X82" i="6"/>
  <c r="Z82" i="6"/>
  <c r="AB82" i="6"/>
  <c r="AD82" i="6"/>
  <c r="AE82" i="6"/>
  <c r="D83" i="6"/>
  <c r="AF83" i="6" s="1"/>
  <c r="F83" i="6"/>
  <c r="H83" i="6"/>
  <c r="J83" i="6"/>
  <c r="L83" i="6"/>
  <c r="N83" i="6"/>
  <c r="P83" i="6"/>
  <c r="R83" i="6"/>
  <c r="T83" i="6"/>
  <c r="V83" i="6"/>
  <c r="X83" i="6"/>
  <c r="Z83" i="6"/>
  <c r="AB83" i="6"/>
  <c r="AD83" i="6"/>
  <c r="AE83" i="6"/>
  <c r="D84" i="6"/>
  <c r="AF84" i="6" s="1"/>
  <c r="F84" i="6"/>
  <c r="H84" i="6"/>
  <c r="J84" i="6"/>
  <c r="L84" i="6"/>
  <c r="N84" i="6"/>
  <c r="P84" i="6"/>
  <c r="R84" i="6"/>
  <c r="T84" i="6"/>
  <c r="V84" i="6"/>
  <c r="X84" i="6"/>
  <c r="Z84" i="6"/>
  <c r="AB84" i="6"/>
  <c r="AD84" i="6"/>
  <c r="AE84" i="6"/>
  <c r="D85" i="6"/>
  <c r="AF85" i="6" s="1"/>
  <c r="F85" i="6"/>
  <c r="H85" i="6"/>
  <c r="J85" i="6"/>
  <c r="L85" i="6"/>
  <c r="N85" i="6"/>
  <c r="P85" i="6"/>
  <c r="R85" i="6"/>
  <c r="T85" i="6"/>
  <c r="V85" i="6"/>
  <c r="X85" i="6"/>
  <c r="Z85" i="6"/>
  <c r="AB85" i="6"/>
  <c r="AD85" i="6"/>
  <c r="AE85" i="6"/>
  <c r="D86" i="6"/>
  <c r="AF86" i="6" s="1"/>
  <c r="F86" i="6"/>
  <c r="H86" i="6"/>
  <c r="J86" i="6"/>
  <c r="L86" i="6"/>
  <c r="N86" i="6"/>
  <c r="P86" i="6"/>
  <c r="R86" i="6"/>
  <c r="T86" i="6"/>
  <c r="V86" i="6"/>
  <c r="X86" i="6"/>
  <c r="Z86" i="6"/>
  <c r="AB86" i="6"/>
  <c r="AD86" i="6"/>
  <c r="AE86" i="6"/>
  <c r="D87" i="6"/>
  <c r="AF87" i="6" s="1"/>
  <c r="F87" i="6"/>
  <c r="H87" i="6"/>
  <c r="J87" i="6"/>
  <c r="L87" i="6"/>
  <c r="N87" i="6"/>
  <c r="P87" i="6"/>
  <c r="R87" i="6"/>
  <c r="T87" i="6"/>
  <c r="V87" i="6"/>
  <c r="X87" i="6"/>
  <c r="Z87" i="6"/>
  <c r="AB87" i="6"/>
  <c r="AD87" i="6"/>
  <c r="AE87" i="6"/>
  <c r="D88" i="6"/>
  <c r="AF88" i="6" s="1"/>
  <c r="F88" i="6"/>
  <c r="H88" i="6"/>
  <c r="J88" i="6"/>
  <c r="L88" i="6"/>
  <c r="N88" i="6"/>
  <c r="P88" i="6"/>
  <c r="R88" i="6"/>
  <c r="T88" i="6"/>
  <c r="V88" i="6"/>
  <c r="X88" i="6"/>
  <c r="Z88" i="6"/>
  <c r="AB88" i="6"/>
  <c r="AD88" i="6"/>
  <c r="AE88" i="6"/>
  <c r="D89" i="6"/>
  <c r="AF89" i="6" s="1"/>
  <c r="F89" i="6"/>
  <c r="H89" i="6"/>
  <c r="J89" i="6"/>
  <c r="L89" i="6"/>
  <c r="N89" i="6"/>
  <c r="P89" i="6"/>
  <c r="R89" i="6"/>
  <c r="T89" i="6"/>
  <c r="V89" i="6"/>
  <c r="X89" i="6"/>
  <c r="Z89" i="6"/>
  <c r="AB89" i="6"/>
  <c r="AD89" i="6"/>
  <c r="AE89" i="6"/>
  <c r="D90" i="6"/>
  <c r="AF90" i="6" s="1"/>
  <c r="F90" i="6"/>
  <c r="H90" i="6"/>
  <c r="J90" i="6"/>
  <c r="L90" i="6"/>
  <c r="N90" i="6"/>
  <c r="P90" i="6"/>
  <c r="R90" i="6"/>
  <c r="T90" i="6"/>
  <c r="V90" i="6"/>
  <c r="X90" i="6"/>
  <c r="Z90" i="6"/>
  <c r="AB90" i="6"/>
  <c r="AD90" i="6"/>
  <c r="AE90" i="6"/>
  <c r="D91" i="6"/>
  <c r="AF91" i="6" s="1"/>
  <c r="F91" i="6"/>
  <c r="H91" i="6"/>
  <c r="J91" i="6"/>
  <c r="L91" i="6"/>
  <c r="N91" i="6"/>
  <c r="P91" i="6"/>
  <c r="R91" i="6"/>
  <c r="T91" i="6"/>
  <c r="V91" i="6"/>
  <c r="X91" i="6"/>
  <c r="Z91" i="6"/>
  <c r="AB91" i="6"/>
  <c r="AD91" i="6"/>
  <c r="AE91" i="6"/>
  <c r="D92" i="6"/>
  <c r="AF92" i="6" s="1"/>
  <c r="F92" i="6"/>
  <c r="H92" i="6"/>
  <c r="J92" i="6"/>
  <c r="L92" i="6"/>
  <c r="N92" i="6"/>
  <c r="P92" i="6"/>
  <c r="R92" i="6"/>
  <c r="T92" i="6"/>
  <c r="V92" i="6"/>
  <c r="X92" i="6"/>
  <c r="Z92" i="6"/>
  <c r="AB92" i="6"/>
  <c r="AD92" i="6"/>
  <c r="AE92" i="6"/>
  <c r="D93" i="6"/>
  <c r="AF93" i="6" s="1"/>
  <c r="F93" i="6"/>
  <c r="H93" i="6"/>
  <c r="J93" i="6"/>
  <c r="L93" i="6"/>
  <c r="N93" i="6"/>
  <c r="P93" i="6"/>
  <c r="R93" i="6"/>
  <c r="T93" i="6"/>
  <c r="V93" i="6"/>
  <c r="X93" i="6"/>
  <c r="Z93" i="6"/>
  <c r="AB93" i="6"/>
  <c r="AD93" i="6"/>
  <c r="AE93" i="6"/>
  <c r="D94" i="6"/>
  <c r="AF94" i="6" s="1"/>
  <c r="F94" i="6"/>
  <c r="H94" i="6"/>
  <c r="J94" i="6"/>
  <c r="L94" i="6"/>
  <c r="N94" i="6"/>
  <c r="P94" i="6"/>
  <c r="R94" i="6"/>
  <c r="T94" i="6"/>
  <c r="V94" i="6"/>
  <c r="X94" i="6"/>
  <c r="Z94" i="6"/>
  <c r="AB94" i="6"/>
  <c r="AD94" i="6"/>
  <c r="AE94" i="6"/>
  <c r="D95" i="6"/>
  <c r="AF95" i="6" s="1"/>
  <c r="F95" i="6"/>
  <c r="H95" i="6"/>
  <c r="J95" i="6"/>
  <c r="L95" i="6"/>
  <c r="N95" i="6"/>
  <c r="P95" i="6"/>
  <c r="R95" i="6"/>
  <c r="T95" i="6"/>
  <c r="V95" i="6"/>
  <c r="X95" i="6"/>
  <c r="Z95" i="6"/>
  <c r="AB95" i="6"/>
  <c r="AD95" i="6"/>
  <c r="AE95" i="6"/>
  <c r="D96" i="6"/>
  <c r="AF96" i="6" s="1"/>
  <c r="F96" i="6"/>
  <c r="H96" i="6"/>
  <c r="J96" i="6"/>
  <c r="L96" i="6"/>
  <c r="N96" i="6"/>
  <c r="P96" i="6"/>
  <c r="R96" i="6"/>
  <c r="T96" i="6"/>
  <c r="V96" i="6"/>
  <c r="X96" i="6"/>
  <c r="Z96" i="6"/>
  <c r="AB96" i="6"/>
  <c r="AD96" i="6"/>
  <c r="AE96" i="6"/>
  <c r="D97" i="6"/>
  <c r="AF97" i="6" s="1"/>
  <c r="F97" i="6"/>
  <c r="H97" i="6"/>
  <c r="J97" i="6"/>
  <c r="L97" i="6"/>
  <c r="N97" i="6"/>
  <c r="P97" i="6"/>
  <c r="R97" i="6"/>
  <c r="T97" i="6"/>
  <c r="V97" i="6"/>
  <c r="X97" i="6"/>
  <c r="Z97" i="6"/>
  <c r="AB97" i="6"/>
  <c r="AD97" i="6"/>
  <c r="AE97" i="6"/>
  <c r="D98" i="6"/>
  <c r="AF98" i="6" s="1"/>
  <c r="F98" i="6"/>
  <c r="H98" i="6"/>
  <c r="J98" i="6"/>
  <c r="L98" i="6"/>
  <c r="N98" i="6"/>
  <c r="P98" i="6"/>
  <c r="R98" i="6"/>
  <c r="T98" i="6"/>
  <c r="V98" i="6"/>
  <c r="X98" i="6"/>
  <c r="Z98" i="6"/>
  <c r="AB98" i="6"/>
  <c r="AD98" i="6"/>
  <c r="AE98" i="6"/>
  <c r="D99" i="6"/>
  <c r="AF99" i="6" s="1"/>
  <c r="F99" i="6"/>
  <c r="H99" i="6"/>
  <c r="J99" i="6"/>
  <c r="L99" i="6"/>
  <c r="N99" i="6"/>
  <c r="P99" i="6"/>
  <c r="R99" i="6"/>
  <c r="T99" i="6"/>
  <c r="V99" i="6"/>
  <c r="X99" i="6"/>
  <c r="Z99" i="6"/>
  <c r="AB99" i="6"/>
  <c r="AD99" i="6"/>
  <c r="AE99" i="6"/>
  <c r="D100" i="6"/>
  <c r="AF100" i="6" s="1"/>
  <c r="F100" i="6"/>
  <c r="H100" i="6"/>
  <c r="J100" i="6"/>
  <c r="L100" i="6"/>
  <c r="N100" i="6"/>
  <c r="P100" i="6"/>
  <c r="R100" i="6"/>
  <c r="T100" i="6"/>
  <c r="V100" i="6"/>
  <c r="X100" i="6"/>
  <c r="Z100" i="6"/>
  <c r="AB100" i="6"/>
  <c r="AD100" i="6"/>
  <c r="AE100" i="6"/>
  <c r="D101" i="6"/>
  <c r="AF101" i="6" s="1"/>
  <c r="F101" i="6"/>
  <c r="H101" i="6"/>
  <c r="J101" i="6"/>
  <c r="L101" i="6"/>
  <c r="N101" i="6"/>
  <c r="P101" i="6"/>
  <c r="R101" i="6"/>
  <c r="T101" i="6"/>
  <c r="V101" i="6"/>
  <c r="X101" i="6"/>
  <c r="Z101" i="6"/>
  <c r="AB101" i="6"/>
  <c r="AD101" i="6"/>
  <c r="AE37" i="6" l="1"/>
  <c r="AD37" i="6"/>
  <c r="AB37" i="6"/>
  <c r="Z37" i="6"/>
  <c r="X37" i="6"/>
  <c r="V37" i="6"/>
  <c r="T37" i="6"/>
  <c r="R37" i="6"/>
  <c r="P37" i="6"/>
  <c r="N37" i="6"/>
  <c r="L37" i="6"/>
  <c r="J37" i="6"/>
  <c r="H37" i="6"/>
  <c r="F37" i="6"/>
  <c r="D37" i="6"/>
  <c r="AE16" i="6"/>
  <c r="AD16" i="6"/>
  <c r="AB16" i="6"/>
  <c r="Z16" i="6"/>
  <c r="X16" i="6"/>
  <c r="V16" i="6"/>
  <c r="T16" i="6"/>
  <c r="R16" i="6"/>
  <c r="P16" i="6"/>
  <c r="N16" i="6"/>
  <c r="L16" i="6"/>
  <c r="J16" i="6"/>
  <c r="H16" i="6"/>
  <c r="F16" i="6"/>
  <c r="D16" i="6"/>
  <c r="AE15" i="6"/>
  <c r="AD15" i="6"/>
  <c r="AB15" i="6"/>
  <c r="Z15" i="6"/>
  <c r="X15" i="6"/>
  <c r="V15" i="6"/>
  <c r="T15" i="6"/>
  <c r="R15" i="6"/>
  <c r="P15" i="6"/>
  <c r="N15" i="6"/>
  <c r="L15" i="6"/>
  <c r="J15" i="6"/>
  <c r="H15" i="6"/>
  <c r="F15" i="6"/>
  <c r="D15" i="6"/>
  <c r="AF15" i="6" s="1"/>
  <c r="AF37" i="6" l="1"/>
  <c r="AF16" i="6"/>
  <c r="B19" i="7" l="1"/>
  <c r="AE103" i="6"/>
  <c r="AD103" i="6"/>
  <c r="AB103" i="6"/>
  <c r="Z103" i="6"/>
  <c r="X103" i="6"/>
  <c r="V103" i="6"/>
  <c r="T103" i="6"/>
  <c r="R103" i="6"/>
  <c r="P103" i="6"/>
  <c r="N103" i="6"/>
  <c r="L103" i="6"/>
  <c r="J103" i="6"/>
  <c r="H103" i="6"/>
  <c r="F103" i="6"/>
  <c r="D103" i="6"/>
  <c r="AE102" i="6"/>
  <c r="AD102" i="6"/>
  <c r="AB102" i="6"/>
  <c r="Z102" i="6"/>
  <c r="X102" i="6"/>
  <c r="V102" i="6"/>
  <c r="T102" i="6"/>
  <c r="R102" i="6"/>
  <c r="P102" i="6"/>
  <c r="N102" i="6"/>
  <c r="L102" i="6"/>
  <c r="J102" i="6"/>
  <c r="H102" i="6"/>
  <c r="F102" i="6"/>
  <c r="D102" i="6"/>
  <c r="AF103" i="6" l="1"/>
  <c r="AF102" i="6"/>
  <c r="AF116" i="6" l="1"/>
  <c r="AF114" i="6"/>
  <c r="AF112" i="6"/>
  <c r="AF110" i="6"/>
  <c r="AF108" i="6"/>
  <c r="AE55" i="6"/>
  <c r="AD55" i="6"/>
  <c r="AB55" i="6"/>
  <c r="Z55" i="6"/>
  <c r="X55" i="6"/>
  <c r="V55" i="6"/>
  <c r="T55" i="6"/>
  <c r="R55" i="6"/>
  <c r="P55" i="6"/>
  <c r="N55" i="6"/>
  <c r="L55" i="6"/>
  <c r="J55" i="6"/>
  <c r="H55" i="6"/>
  <c r="F55" i="6"/>
  <c r="D55" i="6"/>
  <c r="AE54" i="6"/>
  <c r="AD54" i="6"/>
  <c r="AB54" i="6"/>
  <c r="Z54" i="6"/>
  <c r="X54" i="6"/>
  <c r="V54" i="6"/>
  <c r="T54" i="6"/>
  <c r="R54" i="6"/>
  <c r="P54" i="6"/>
  <c r="N54" i="6"/>
  <c r="L54" i="6"/>
  <c r="J54" i="6"/>
  <c r="H54" i="6"/>
  <c r="F54" i="6"/>
  <c r="D54" i="6"/>
  <c r="AE53" i="6"/>
  <c r="AD53" i="6"/>
  <c r="AB53" i="6"/>
  <c r="Z53" i="6"/>
  <c r="X53" i="6"/>
  <c r="V53" i="6"/>
  <c r="T53" i="6"/>
  <c r="R53" i="6"/>
  <c r="P53" i="6"/>
  <c r="N53" i="6"/>
  <c r="L53" i="6"/>
  <c r="J53" i="6"/>
  <c r="H53" i="6"/>
  <c r="F53" i="6"/>
  <c r="D53" i="6"/>
  <c r="AE52" i="6"/>
  <c r="AD52" i="6"/>
  <c r="AB52" i="6"/>
  <c r="Z52" i="6"/>
  <c r="X52" i="6"/>
  <c r="V52" i="6"/>
  <c r="T52" i="6"/>
  <c r="R52" i="6"/>
  <c r="P52" i="6"/>
  <c r="N52" i="6"/>
  <c r="L52" i="6"/>
  <c r="J52" i="6"/>
  <c r="H52" i="6"/>
  <c r="F52" i="6"/>
  <c r="D52" i="6"/>
  <c r="AF51" i="6"/>
  <c r="AE51" i="6"/>
  <c r="AE50" i="6"/>
  <c r="Z50" i="6"/>
  <c r="X50" i="6"/>
  <c r="AD50" i="6" s="1"/>
  <c r="V50" i="6"/>
  <c r="AB50" i="6" s="1"/>
  <c r="T50" i="6"/>
  <c r="R50" i="6"/>
  <c r="P50" i="6"/>
  <c r="N50" i="6"/>
  <c r="L50" i="6"/>
  <c r="J50" i="6"/>
  <c r="H50" i="6"/>
  <c r="F50" i="6"/>
  <c r="D50" i="6"/>
  <c r="AE49" i="6"/>
  <c r="D49" i="6"/>
  <c r="AF49" i="6" s="1"/>
  <c r="AE48" i="6"/>
  <c r="D48" i="6"/>
  <c r="AF48" i="6" s="1"/>
  <c r="AE47" i="6"/>
  <c r="AD47" i="6"/>
  <c r="AB47" i="6"/>
  <c r="H47" i="6"/>
  <c r="F47" i="6"/>
  <c r="D47" i="6"/>
  <c r="AE46" i="6"/>
  <c r="AD46" i="6"/>
  <c r="AB46" i="6"/>
  <c r="Z46" i="6"/>
  <c r="X46" i="6"/>
  <c r="V46" i="6"/>
  <c r="T46" i="6"/>
  <c r="R46" i="6"/>
  <c r="P46" i="6"/>
  <c r="N46" i="6"/>
  <c r="L46" i="6"/>
  <c r="J46" i="6"/>
  <c r="H46" i="6"/>
  <c r="F46" i="6"/>
  <c r="D46" i="6"/>
  <c r="AE45" i="6"/>
  <c r="AD45" i="6"/>
  <c r="AB45" i="6"/>
  <c r="Z45" i="6"/>
  <c r="X45" i="6"/>
  <c r="V45" i="6"/>
  <c r="T45" i="6"/>
  <c r="R45" i="6"/>
  <c r="P45" i="6"/>
  <c r="N45" i="6"/>
  <c r="L45" i="6"/>
  <c r="J45" i="6"/>
  <c r="H45" i="6"/>
  <c r="F45" i="6"/>
  <c r="D45" i="6"/>
  <c r="AF44" i="6"/>
  <c r="AE44" i="6"/>
  <c r="AE43" i="6"/>
  <c r="AD43" i="6"/>
  <c r="AB43" i="6"/>
  <c r="Z43" i="6"/>
  <c r="X43" i="6"/>
  <c r="V43" i="6"/>
  <c r="T43" i="6"/>
  <c r="R43" i="6"/>
  <c r="P43" i="6"/>
  <c r="N43" i="6"/>
  <c r="L43" i="6"/>
  <c r="J43" i="6"/>
  <c r="H43" i="6"/>
  <c r="F43" i="6"/>
  <c r="D43" i="6"/>
  <c r="AE42" i="6"/>
  <c r="AD42" i="6"/>
  <c r="AB42" i="6"/>
  <c r="Z42" i="6"/>
  <c r="X42" i="6"/>
  <c r="V42" i="6"/>
  <c r="T42" i="6"/>
  <c r="R42" i="6"/>
  <c r="P42" i="6"/>
  <c r="N42" i="6"/>
  <c r="L42" i="6"/>
  <c r="J42" i="6"/>
  <c r="H42" i="6"/>
  <c r="F42" i="6"/>
  <c r="D42" i="6"/>
  <c r="AE41" i="6"/>
  <c r="AD41" i="6"/>
  <c r="AB41" i="6"/>
  <c r="Z41" i="6"/>
  <c r="X41" i="6"/>
  <c r="V41" i="6"/>
  <c r="T41" i="6"/>
  <c r="R41" i="6"/>
  <c r="P41" i="6"/>
  <c r="N41" i="6"/>
  <c r="L41" i="6"/>
  <c r="J41" i="6"/>
  <c r="H41" i="6"/>
  <c r="F41" i="6"/>
  <c r="D41" i="6"/>
  <c r="AE40" i="6"/>
  <c r="AD40" i="6"/>
  <c r="AB40" i="6"/>
  <c r="Z40" i="6"/>
  <c r="X40" i="6"/>
  <c r="V40" i="6"/>
  <c r="T40" i="6"/>
  <c r="R40" i="6"/>
  <c r="P40" i="6"/>
  <c r="N40" i="6"/>
  <c r="L40" i="6"/>
  <c r="J40" i="6"/>
  <c r="H40" i="6"/>
  <c r="F40" i="6"/>
  <c r="D40" i="6"/>
  <c r="AE39" i="6"/>
  <c r="AD39" i="6"/>
  <c r="AB39" i="6"/>
  <c r="Z39" i="6"/>
  <c r="X39" i="6"/>
  <c r="V39" i="6"/>
  <c r="T39" i="6"/>
  <c r="R39" i="6"/>
  <c r="P39" i="6"/>
  <c r="N39" i="6"/>
  <c r="L39" i="6"/>
  <c r="J39" i="6"/>
  <c r="H39" i="6"/>
  <c r="F39" i="6"/>
  <c r="D39" i="6"/>
  <c r="AE38" i="6"/>
  <c r="AD38" i="6"/>
  <c r="AB38" i="6"/>
  <c r="Z38" i="6"/>
  <c r="X38" i="6"/>
  <c r="V38" i="6"/>
  <c r="T38" i="6"/>
  <c r="R38" i="6"/>
  <c r="P38" i="6"/>
  <c r="N38" i="6"/>
  <c r="L38" i="6"/>
  <c r="J38" i="6"/>
  <c r="H38" i="6"/>
  <c r="F38" i="6"/>
  <c r="D38" i="6"/>
  <c r="AE36" i="6"/>
  <c r="AD36" i="6"/>
  <c r="AB36" i="6"/>
  <c r="Z36" i="6"/>
  <c r="X36" i="6"/>
  <c r="V36" i="6"/>
  <c r="T36" i="6"/>
  <c r="R36" i="6"/>
  <c r="P36" i="6"/>
  <c r="N36" i="6"/>
  <c r="L36" i="6"/>
  <c r="J36" i="6"/>
  <c r="H36" i="6"/>
  <c r="F36" i="6"/>
  <c r="D36" i="6"/>
  <c r="AF35" i="6"/>
  <c r="AF34" i="6"/>
  <c r="AE34" i="6"/>
  <c r="Z34" i="6"/>
  <c r="X34" i="6"/>
  <c r="V34" i="6"/>
  <c r="T34" i="6"/>
  <c r="R34" i="6"/>
  <c r="P34" i="6"/>
  <c r="N34" i="6"/>
  <c r="L34" i="6"/>
  <c r="J34" i="6"/>
  <c r="AE33" i="6"/>
  <c r="AD33" i="6"/>
  <c r="AB33" i="6"/>
  <c r="Z33" i="6"/>
  <c r="X33" i="6"/>
  <c r="V33" i="6"/>
  <c r="T33" i="6"/>
  <c r="R33" i="6"/>
  <c r="P33" i="6"/>
  <c r="N33" i="6"/>
  <c r="L33" i="6"/>
  <c r="J33" i="6"/>
  <c r="H33" i="6"/>
  <c r="F33" i="6"/>
  <c r="D33" i="6"/>
  <c r="AE32" i="6"/>
  <c r="AD32" i="6"/>
  <c r="AB32" i="6"/>
  <c r="Z32" i="6"/>
  <c r="X32" i="6"/>
  <c r="V32" i="6"/>
  <c r="T32" i="6"/>
  <c r="R32" i="6"/>
  <c r="P32" i="6"/>
  <c r="N32" i="6"/>
  <c r="L32" i="6"/>
  <c r="J32" i="6"/>
  <c r="H32" i="6"/>
  <c r="F32" i="6"/>
  <c r="D32" i="6"/>
  <c r="AF31" i="6"/>
  <c r="AF30" i="6"/>
  <c r="AF29" i="6"/>
  <c r="AF27" i="6"/>
  <c r="AE27" i="6"/>
  <c r="AF25" i="6"/>
  <c r="AE25" i="6"/>
  <c r="AC24" i="6"/>
  <c r="AC28" i="6" s="1"/>
  <c r="AA28" i="6"/>
  <c r="Y24" i="6"/>
  <c r="Y28" i="6" s="1"/>
  <c r="W24" i="6"/>
  <c r="W28" i="6" s="1"/>
  <c r="U24" i="6"/>
  <c r="U28" i="6" s="1"/>
  <c r="S24" i="6"/>
  <c r="S28" i="6" s="1"/>
  <c r="Q24" i="6"/>
  <c r="Q28" i="6" s="1"/>
  <c r="O24" i="6"/>
  <c r="O28" i="6" s="1"/>
  <c r="M24" i="6"/>
  <c r="M28" i="6" s="1"/>
  <c r="K24" i="6"/>
  <c r="K28" i="6" s="1"/>
  <c r="I24" i="6"/>
  <c r="I28" i="6" s="1"/>
  <c r="G24" i="6"/>
  <c r="G28" i="6" s="1"/>
  <c r="E24" i="6"/>
  <c r="E28" i="6" s="1"/>
  <c r="C24" i="6"/>
  <c r="C28" i="6" s="1"/>
  <c r="AF23" i="6"/>
  <c r="AD22" i="6"/>
  <c r="AB22" i="6"/>
  <c r="Z22" i="6"/>
  <c r="X22" i="6"/>
  <c r="V22" i="6"/>
  <c r="T22" i="6"/>
  <c r="R22" i="6"/>
  <c r="P22" i="6"/>
  <c r="N22" i="6"/>
  <c r="L22" i="6"/>
  <c r="J22" i="6"/>
  <c r="H22" i="6"/>
  <c r="F22" i="6"/>
  <c r="D22" i="6"/>
  <c r="AD21" i="6"/>
  <c r="AB21" i="6"/>
  <c r="Z21" i="6"/>
  <c r="X21" i="6"/>
  <c r="V21" i="6"/>
  <c r="T21" i="6"/>
  <c r="R21" i="6"/>
  <c r="P21" i="6"/>
  <c r="N21" i="6"/>
  <c r="L21" i="6"/>
  <c r="J21" i="6"/>
  <c r="H21" i="6"/>
  <c r="F21" i="6"/>
  <c r="D21" i="6"/>
  <c r="AF20" i="6"/>
  <c r="AF19" i="6"/>
  <c r="AE18" i="6"/>
  <c r="AD18" i="6"/>
  <c r="AB18" i="6"/>
  <c r="Z18" i="6"/>
  <c r="X18" i="6"/>
  <c r="V18" i="6"/>
  <c r="T18" i="6"/>
  <c r="R18" i="6"/>
  <c r="P18" i="6"/>
  <c r="N18" i="6"/>
  <c r="L18" i="6"/>
  <c r="J18" i="6"/>
  <c r="H18" i="6"/>
  <c r="F18" i="6"/>
  <c r="D18" i="6"/>
  <c r="AE17" i="6"/>
  <c r="AD17" i="6"/>
  <c r="AB17" i="6"/>
  <c r="Z17" i="6"/>
  <c r="X17" i="6"/>
  <c r="V17" i="6"/>
  <c r="T17" i="6"/>
  <c r="R17" i="6"/>
  <c r="P17" i="6"/>
  <c r="N17" i="6"/>
  <c r="L17" i="6"/>
  <c r="J17" i="6"/>
  <c r="H17" i="6"/>
  <c r="F17" i="6"/>
  <c r="D17" i="6"/>
  <c r="AE14" i="6"/>
  <c r="AD14" i="6"/>
  <c r="AB14" i="6"/>
  <c r="Z14" i="6"/>
  <c r="X14" i="6"/>
  <c r="V14" i="6"/>
  <c r="T14" i="6"/>
  <c r="R14" i="6"/>
  <c r="P14" i="6"/>
  <c r="N14" i="6"/>
  <c r="L14" i="6"/>
  <c r="J14" i="6"/>
  <c r="H14" i="6"/>
  <c r="F14" i="6"/>
  <c r="D14" i="6"/>
  <c r="AE13" i="6"/>
  <c r="AD13" i="6"/>
  <c r="AB13" i="6"/>
  <c r="Z13" i="6"/>
  <c r="X13" i="6"/>
  <c r="V13" i="6"/>
  <c r="T13" i="6"/>
  <c r="R13" i="6"/>
  <c r="P13" i="6"/>
  <c r="N13" i="6"/>
  <c r="L13" i="6"/>
  <c r="J13" i="6"/>
  <c r="H13" i="6"/>
  <c r="F13" i="6"/>
  <c r="D13" i="6"/>
  <c r="AE12" i="6"/>
  <c r="AD12" i="6"/>
  <c r="AB12" i="6"/>
  <c r="Z12" i="6"/>
  <c r="X12" i="6"/>
  <c r="V12" i="6"/>
  <c r="T12" i="6"/>
  <c r="R12" i="6"/>
  <c r="P12" i="6"/>
  <c r="N12" i="6"/>
  <c r="L12" i="6"/>
  <c r="J12" i="6"/>
  <c r="H12" i="6"/>
  <c r="F12" i="6"/>
  <c r="D12" i="6"/>
  <c r="AE11" i="6"/>
  <c r="AD11" i="6"/>
  <c r="AB11" i="6"/>
  <c r="Z11" i="6"/>
  <c r="X11" i="6"/>
  <c r="V11" i="6"/>
  <c r="T11" i="6"/>
  <c r="R11" i="6"/>
  <c r="P11" i="6"/>
  <c r="N11" i="6"/>
  <c r="L11" i="6"/>
  <c r="J11" i="6"/>
  <c r="H11" i="6"/>
  <c r="F11" i="6"/>
  <c r="D11" i="6"/>
  <c r="AE10" i="6"/>
  <c r="AD10" i="6"/>
  <c r="AB10" i="6"/>
  <c r="Z10" i="6"/>
  <c r="X10" i="6"/>
  <c r="V10" i="6"/>
  <c r="T10" i="6"/>
  <c r="R10" i="6"/>
  <c r="P10" i="6"/>
  <c r="N10" i="6"/>
  <c r="L10" i="6"/>
  <c r="J10" i="6"/>
  <c r="H10" i="6"/>
  <c r="F10" i="6"/>
  <c r="D10" i="6"/>
  <c r="AE9" i="6"/>
  <c r="AD9" i="6"/>
  <c r="AB9" i="6"/>
  <c r="Z9" i="6"/>
  <c r="X9" i="6"/>
  <c r="V9" i="6"/>
  <c r="T9" i="6"/>
  <c r="R9" i="6"/>
  <c r="P9" i="6"/>
  <c r="N9" i="6"/>
  <c r="L9" i="6"/>
  <c r="J9" i="6"/>
  <c r="H9" i="6"/>
  <c r="F9" i="6"/>
  <c r="D9" i="6"/>
  <c r="AF55" i="6" l="1"/>
  <c r="AF32" i="6"/>
  <c r="AF22" i="6"/>
  <c r="AD104" i="6"/>
  <c r="AF54" i="6"/>
  <c r="F104" i="6"/>
  <c r="H104" i="6"/>
  <c r="J24" i="6"/>
  <c r="J26" i="6" s="1"/>
  <c r="J28" i="6" s="1"/>
  <c r="Z24" i="6"/>
  <c r="Z26" i="6" s="1"/>
  <c r="Z28" i="6" s="1"/>
  <c r="T24" i="6"/>
  <c r="T26" i="6" s="1"/>
  <c r="AF53" i="6"/>
  <c r="R24" i="6"/>
  <c r="R26" i="6" s="1"/>
  <c r="R28" i="6" s="1"/>
  <c r="D104" i="6"/>
  <c r="AB104" i="6"/>
  <c r="L24" i="6"/>
  <c r="L26" i="6" s="1"/>
  <c r="X24" i="6"/>
  <c r="X26" i="6" s="1"/>
  <c r="X28" i="6" s="1"/>
  <c r="AF9" i="6"/>
  <c r="AF14" i="6"/>
  <c r="V24" i="6"/>
  <c r="V26" i="6" s="1"/>
  <c r="V28" i="6" s="1"/>
  <c r="N24" i="6"/>
  <c r="N26" i="6" s="1"/>
  <c r="N28" i="6" s="1"/>
  <c r="AF45" i="6"/>
  <c r="AF47" i="6"/>
  <c r="AF50" i="6"/>
  <c r="P24" i="6"/>
  <c r="P26" i="6" s="1"/>
  <c r="P28" i="6" s="1"/>
  <c r="T104" i="6"/>
  <c r="L104" i="6"/>
  <c r="AF52" i="6"/>
  <c r="AF13" i="6"/>
  <c r="AF12" i="6"/>
  <c r="AF10" i="6"/>
  <c r="D24" i="6"/>
  <c r="D26" i="6" s="1"/>
  <c r="N104" i="6"/>
  <c r="V104" i="6"/>
  <c r="P104" i="6"/>
  <c r="X104" i="6"/>
  <c r="AF43" i="6"/>
  <c r="AF38" i="6"/>
  <c r="AF36" i="6"/>
  <c r="AF42" i="6"/>
  <c r="AF41" i="6"/>
  <c r="AF40" i="6"/>
  <c r="AF39" i="6"/>
  <c r="AF33" i="6"/>
  <c r="AD24" i="6"/>
  <c r="AD26" i="6" s="1"/>
  <c r="AD28" i="6" s="1"/>
  <c r="AF18" i="6"/>
  <c r="AB24" i="6"/>
  <c r="AB26" i="6" s="1"/>
  <c r="AF17" i="6"/>
  <c r="H24" i="6"/>
  <c r="H26" i="6" s="1"/>
  <c r="H28" i="6" s="1"/>
  <c r="AF11" i="6"/>
  <c r="F24" i="6"/>
  <c r="AE24" i="6"/>
  <c r="AE28" i="6"/>
  <c r="AF21" i="6"/>
  <c r="AF46" i="6"/>
  <c r="J104" i="6"/>
  <c r="R104" i="6"/>
  <c r="Z104" i="6"/>
  <c r="AB28" i="6" l="1"/>
  <c r="AB105" i="6" s="1"/>
  <c r="AF104" i="6"/>
  <c r="T28" i="6"/>
  <c r="T105" i="6" s="1"/>
  <c r="T106" i="6" s="1"/>
  <c r="T107" i="6" s="1"/>
  <c r="L28" i="6"/>
  <c r="L105" i="6" s="1"/>
  <c r="L106" i="6" s="1"/>
  <c r="L107" i="6" s="1"/>
  <c r="P105" i="6"/>
  <c r="P106" i="6" s="1"/>
  <c r="P107" i="6" s="1"/>
  <c r="X105" i="6"/>
  <c r="X106" i="6" s="1"/>
  <c r="X107" i="6" s="1"/>
  <c r="Z105" i="6"/>
  <c r="Z106" i="6" s="1"/>
  <c r="Z107" i="6" s="1"/>
  <c r="N105" i="6"/>
  <c r="N106" i="6" s="1"/>
  <c r="N107" i="6" s="1"/>
  <c r="D28" i="6"/>
  <c r="D105" i="6" s="1"/>
  <c r="V105" i="6"/>
  <c r="V106" i="6" s="1"/>
  <c r="V107" i="6" s="1"/>
  <c r="AD105" i="6"/>
  <c r="AD106" i="6" s="1"/>
  <c r="AD107" i="6" s="1"/>
  <c r="H105" i="6"/>
  <c r="H106" i="6" s="1"/>
  <c r="H107" i="6" s="1"/>
  <c r="AF24" i="6"/>
  <c r="F26" i="6"/>
  <c r="AF26" i="6" s="1"/>
  <c r="R105" i="6"/>
  <c r="J105" i="6"/>
  <c r="D106" i="6" l="1"/>
  <c r="AB106" i="6"/>
  <c r="F28" i="6"/>
  <c r="F105" i="6" s="1"/>
  <c r="F106" i="6" s="1"/>
  <c r="H117" i="6"/>
  <c r="H118" i="6" s="1"/>
  <c r="H119" i="6" s="1"/>
  <c r="H109" i="6"/>
  <c r="H111" i="6" s="1"/>
  <c r="P109" i="6"/>
  <c r="P111" i="6" s="1"/>
  <c r="Z109" i="6"/>
  <c r="Z111" i="6" s="1"/>
  <c r="X109" i="6"/>
  <c r="X111" i="6" s="1"/>
  <c r="T109" i="6"/>
  <c r="T111" i="6" s="1"/>
  <c r="L109" i="6"/>
  <c r="L111" i="6" s="1"/>
  <c r="AD117" i="6"/>
  <c r="AD118" i="6" s="1"/>
  <c r="AD109" i="6"/>
  <c r="AD111" i="6" s="1"/>
  <c r="N109" i="6"/>
  <c r="N111" i="6" s="1"/>
  <c r="V109" i="6"/>
  <c r="V111" i="6" s="1"/>
  <c r="J106" i="6"/>
  <c r="J107" i="6" s="1"/>
  <c r="R106" i="6"/>
  <c r="R107" i="6" s="1"/>
  <c r="D107" i="6" l="1"/>
  <c r="D117" i="6" s="1"/>
  <c r="AD119" i="6"/>
  <c r="AD120" i="6" s="1"/>
  <c r="AB107" i="6"/>
  <c r="AF28" i="6"/>
  <c r="AF106" i="6"/>
  <c r="F107" i="6"/>
  <c r="F109" i="6" s="1"/>
  <c r="F111" i="6" s="1"/>
  <c r="T113" i="6"/>
  <c r="T115" i="6"/>
  <c r="H115" i="6"/>
  <c r="H113" i="6"/>
  <c r="R109" i="6"/>
  <c r="R111" i="6" s="1"/>
  <c r="V115" i="6"/>
  <c r="V113" i="6"/>
  <c r="X115" i="6"/>
  <c r="X113" i="6"/>
  <c r="J109" i="6"/>
  <c r="J111" i="6" s="1"/>
  <c r="Z115" i="6"/>
  <c r="Z113" i="6"/>
  <c r="L115" i="6"/>
  <c r="L113" i="6"/>
  <c r="P115" i="6"/>
  <c r="P113" i="6"/>
  <c r="AD115" i="6"/>
  <c r="AD113" i="6"/>
  <c r="N115" i="6"/>
  <c r="N113" i="6"/>
  <c r="D109" i="6" l="1"/>
  <c r="AF109" i="6" s="1"/>
  <c r="AB109" i="6"/>
  <c r="AB117" i="6"/>
  <c r="AF105" i="6"/>
  <c r="T117" i="6"/>
  <c r="AF107" i="6"/>
  <c r="L117" i="6"/>
  <c r="V117" i="6"/>
  <c r="F117" i="6"/>
  <c r="F118" i="6" s="1"/>
  <c r="F119" i="6" s="1"/>
  <c r="F115" i="6"/>
  <c r="F113" i="6"/>
  <c r="R115" i="6"/>
  <c r="R113" i="6"/>
  <c r="J115" i="6"/>
  <c r="J113" i="6"/>
  <c r="N117" i="6"/>
  <c r="D118" i="6"/>
  <c r="P117" i="6"/>
  <c r="Z117" i="6"/>
  <c r="X117" i="6"/>
  <c r="D111" i="6" l="1"/>
  <c r="D115" i="6" s="1"/>
  <c r="AB118" i="6"/>
  <c r="AB111" i="6"/>
  <c r="R117" i="6"/>
  <c r="AF111" i="6"/>
  <c r="J117" i="6"/>
  <c r="AF117" i="6" s="1"/>
  <c r="D113" i="6" l="1"/>
  <c r="AF113" i="6" s="1"/>
  <c r="AF115" i="6"/>
  <c r="AF118" i="6"/>
  <c r="AF119" i="6" s="1"/>
  <c r="AB119" i="6"/>
  <c r="AB120" i="6" s="1"/>
  <c r="AB115" i="6"/>
  <c r="AB113" i="6"/>
  <c r="H120" i="6"/>
  <c r="AF120" i="6" l="1"/>
  <c r="D119" i="6" l="1"/>
  <c r="A4" i="6"/>
  <c r="F120" i="6"/>
  <c r="D120" i="6" l="1"/>
</calcChain>
</file>

<file path=xl/sharedStrings.xml><?xml version="1.0" encoding="utf-8"?>
<sst xmlns="http://schemas.openxmlformats.org/spreadsheetml/2006/main" count="185" uniqueCount="115">
  <si>
    <t xml:space="preserve"> </t>
  </si>
  <si>
    <t>Summary</t>
  </si>
  <si>
    <t>Category</t>
  </si>
  <si>
    <t>RATE</t>
  </si>
  <si>
    <t>$/Hour</t>
  </si>
  <si>
    <t>Hours</t>
  </si>
  <si>
    <t>$</t>
  </si>
  <si>
    <t>Installation Crew</t>
  </si>
  <si>
    <t>Laborer</t>
  </si>
  <si>
    <t xml:space="preserve">Operator </t>
  </si>
  <si>
    <t>TOTAL DIRECT "L" LABOR</t>
  </si>
  <si>
    <t>Total Labor Costs</t>
  </si>
  <si>
    <t>Equipment</t>
  </si>
  <si>
    <t>Travel &amp; Per Diem</t>
  </si>
  <si>
    <t>Materials</t>
  </si>
  <si>
    <t>TOTAL OTHER DIRECT COSTS</t>
  </si>
  <si>
    <t>TOTAL DIRECT PLUS ODCs</t>
  </si>
  <si>
    <t>G &amp; A</t>
  </si>
  <si>
    <t>TOTAL COST W/O FEE</t>
  </si>
  <si>
    <t>TOTAL COST PLUS FEE</t>
  </si>
  <si>
    <t>(Lump Sum)</t>
  </si>
  <si>
    <t>HOME OFFICE (L) LABOR OVERHEAD</t>
  </si>
  <si>
    <t>Bond Costs</t>
  </si>
  <si>
    <t>New CLIN - Hide if Not Used</t>
  </si>
  <si>
    <t>0003 -- Architectural Finishes</t>
  </si>
  <si>
    <t>0004 -- Repairs To Overhead Crane</t>
  </si>
  <si>
    <t>0005 -- Mechanical</t>
  </si>
  <si>
    <t>0006 -- Plumbing</t>
  </si>
  <si>
    <t>0007 -- Electrical</t>
  </si>
  <si>
    <t>0008 -- Communications</t>
  </si>
  <si>
    <t>0009 -- Roofing Repairs</t>
  </si>
  <si>
    <t>0010 -- Design</t>
  </si>
  <si>
    <t>Misc Expendable Field Supplies &amp; Tools/ Trailer/ Photographs/ Mobile Phone &amp; Data/Cleaning Supplies/Ice/Dumpsters/Etc - per field day</t>
  </si>
  <si>
    <t>Bonds</t>
  </si>
  <si>
    <t>Fee</t>
  </si>
  <si>
    <t>TOTAL COST With Fee</t>
  </si>
  <si>
    <t>TOTAL COST WITH BONDS</t>
  </si>
  <si>
    <r>
      <t xml:space="preserve">Fee - </t>
    </r>
    <r>
      <rPr>
        <sz val="11"/>
        <color rgb="FFFF0000"/>
        <rFont val="Arial"/>
        <family val="2"/>
      </rPr>
      <t>Reduced from 7.5%</t>
    </r>
  </si>
  <si>
    <r>
      <t xml:space="preserve">State Taxes -- </t>
    </r>
    <r>
      <rPr>
        <b/>
        <sz val="11"/>
        <rFont val="Arial"/>
        <family val="2"/>
      </rPr>
      <t>None In North Carolina</t>
    </r>
  </si>
  <si>
    <t>Overnight Shipping</t>
  </si>
  <si>
    <t>ASL</t>
  </si>
  <si>
    <t>Prorated ASL Costs =</t>
  </si>
  <si>
    <t xml:space="preserve">Engineering Tech I </t>
  </si>
  <si>
    <t xml:space="preserve">Administrative Assistant </t>
  </si>
  <si>
    <t xml:space="preserve">Safety Manager </t>
  </si>
  <si>
    <t xml:space="preserve">Certified Payroll Administrator </t>
  </si>
  <si>
    <t>Car Rental/day</t>
  </si>
  <si>
    <t xml:space="preserve">Site Superintendant/Site Safety Officer  </t>
  </si>
  <si>
    <t>Project Controls/CADD/Submittals</t>
  </si>
  <si>
    <t xml:space="preserve">Office Trailer for Job Site </t>
  </si>
  <si>
    <t>This cost is for Standard shipping as required for deliverables per the contract.</t>
  </si>
  <si>
    <t>CLINS and Options from Subcontractors</t>
  </si>
  <si>
    <t>Independent Surveyor</t>
  </si>
  <si>
    <t>CLIN 0001 - Renovate Lab and Office Space in Building 508</t>
  </si>
  <si>
    <t xml:space="preserve"> CLIN 0002- Install Power to Outside Cooler</t>
  </si>
  <si>
    <t>CLIN 0003 - Install Autoclave in building 503 and remove existing autoclave from that location</t>
  </si>
  <si>
    <t>CLIN 0002- Install Power to Outside Cooler</t>
  </si>
  <si>
    <t>CLIN 0004 - Install overhead power in Room 120</t>
  </si>
  <si>
    <t>CLIN 0003 - Install Autoclave in building 508 and remove existing autoclave from that location</t>
  </si>
  <si>
    <t>CLIN 0004 - To Remove the existing Cooler/Freezer</t>
  </si>
  <si>
    <t>Room 104 Furniture</t>
  </si>
  <si>
    <t>RODI Installation</t>
  </si>
  <si>
    <t>Per Diem -- Room</t>
  </si>
  <si>
    <t xml:space="preserve">DEMOLITION                                                                                          </t>
  </si>
  <si>
    <t xml:space="preserve">MASONRY                                                                                             </t>
  </si>
  <si>
    <t xml:space="preserve">CAST-IN-PLACE CONCRETE                                                                              </t>
  </si>
  <si>
    <t xml:space="preserve">CANOPY                                                                                              </t>
  </si>
  <si>
    <t xml:space="preserve">MISC METAL FABRICATIONS                                                                             </t>
  </si>
  <si>
    <t xml:space="preserve">ROUGH CARPENTRY                                                                                     </t>
  </si>
  <si>
    <t xml:space="preserve">CASEWORK                                                                                            </t>
  </si>
  <si>
    <t xml:space="preserve">CAULKING                                                                                            </t>
  </si>
  <si>
    <t xml:space="preserve">GYPSUM BOARD ASSEMBLIES                                                                             </t>
  </si>
  <si>
    <t xml:space="preserve">ACOUSTICAL CEILINGS                                                                                 </t>
  </si>
  <si>
    <t xml:space="preserve">PAINTING                                                                                            </t>
  </si>
  <si>
    <t xml:space="preserve">FLASH PATCHING                                                                                      </t>
  </si>
  <si>
    <t xml:space="preserve">VINYL FLOORING &amp; BASE                                                                               </t>
  </si>
  <si>
    <t xml:space="preserve">MECHANICAL                                                                                          </t>
  </si>
  <si>
    <t>EXTERIOR WORK</t>
  </si>
  <si>
    <t>ELECTRICAL INSTALL CANOPY LIGHTING</t>
  </si>
  <si>
    <t xml:space="preserve">ELECTRICAL INTERIOR                                                                                          </t>
  </si>
  <si>
    <t>Per Diem - Meals - for PM</t>
  </si>
  <si>
    <t>Project Safety Board</t>
  </si>
  <si>
    <t>Site Superintendant/Site Safety Officer  Overtime Shift</t>
  </si>
  <si>
    <t>The Administrative Assistant will coordinate sub contracts, insurances, day to day requirements of creating the necessary files for the project as well as administrating monthly payrolls.</t>
  </si>
  <si>
    <t>The Project Controls are based on adminstating the submittal registry for the project this is 10.75 a day  out of the 88 construction time.</t>
  </si>
  <si>
    <t>The Safety Manager will write the Safety plan for the project and be involved in all pre-construction plans required, this is based off of 6.5 days with the duration of the project being 88 days.</t>
  </si>
  <si>
    <t>The Superintendent cost is based on 21 days X 8 hours of OT per day this is for the duration of the project being 21  days.</t>
  </si>
  <si>
    <t>Company Truck for PM</t>
  </si>
  <si>
    <t>Airfare from Knoxville, TN to Silver Springs Maryland - Based on Delta 2 wk ahead fare (Project Manager)</t>
  </si>
  <si>
    <t>Airfare from Knoxville, TN to Silver Springs Maryland - Based on Delta 2 wk ahead fare (Site Super)</t>
  </si>
  <si>
    <t>Airfare from Knoxville, TN to Silver Springs Maryland - Based on Delta 2 wk ahead fare (QC Manager)</t>
  </si>
  <si>
    <t>The PM cost is based on 45 days X 8 hours a day this is for 1/2 the duration of the project.</t>
  </si>
  <si>
    <t>The Certified Payroll Administrator cost is based on 8 hrs a week for 12 weeks of construction time and 2 weeks of close out. as required.</t>
  </si>
  <si>
    <t>The Superintendant cost is based on 8 hours a day for 90 working days + 71 hours to close project out.</t>
  </si>
  <si>
    <t xml:space="preserve">This cost is based on $75 a day for 90 working days for a truck for company use. </t>
  </si>
  <si>
    <t xml:space="preserve">This cost is based on $75 a day for 45 working days for a truck for company use. </t>
  </si>
  <si>
    <t>This is the Perdiem rate of $56.00 for 45 days</t>
  </si>
  <si>
    <t>This cost is for PM to fly home every other week 4 trips</t>
  </si>
  <si>
    <t>This cost is for Super to fly home every other week 4 trips</t>
  </si>
  <si>
    <t>All Design Cost</t>
  </si>
  <si>
    <t>Renovation 503 Room 2E13 and 2E18 to support Nuclear Magnetic Resonance (NMR)</t>
  </si>
  <si>
    <t>Site QC Person</t>
  </si>
  <si>
    <t>The QC cost is based on 8 hours a day for 90 working days + 71 hours to close project out.</t>
  </si>
  <si>
    <t>This cost is for QC to fly home every other week 4 trips</t>
  </si>
  <si>
    <t>Cost Breakout</t>
  </si>
  <si>
    <t>Bid Submitted - January 27, 2015</t>
  </si>
  <si>
    <t>Bid Notes</t>
  </si>
  <si>
    <t>Site QC Person Overtime Shift</t>
  </si>
  <si>
    <t>Per Diem - Meals - for Superintendent and QC Person</t>
  </si>
  <si>
    <t>This is the Perdiem rate of $56.00 for 180 days</t>
  </si>
  <si>
    <t>Company Truck for Superintendant and QC Person</t>
  </si>
  <si>
    <t>The QC cost is based on 21 days X 8 hours of OT per day this is for the duration of the project being 21  days.</t>
  </si>
  <si>
    <t>This cost is for logging for the 3 months in the field, ASL has looked for a place for Superintendant and QC Manager to stay in this avarages out ot be 400 per week per person in leiu of the standard per diem rate of combined rate of $186 per night.</t>
  </si>
  <si>
    <t xml:space="preserve">Project Manager </t>
  </si>
  <si>
    <t>Project - Enter Project Name and CSI Division Number</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</si>
</sst>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5" formatCode="&quot;$&quot;#,##0_);\(&quot;$&quot;#,##0\)"/>
    <numFmt numFmtId="7" formatCode="&quot;$&quot;#,##0.00_);\(&quot;$&quot;#,##0.00\)"/>
    <numFmt numFmtId="44" formatCode="_(&quot;$&quot;* #,##0.00_);_(&quot;$&quot;* \(#,##0.00\);_(&quot;$&quot;* &quot;-&quot;??_);_(@_)"/>
    <numFmt numFmtId="43" formatCode="_(* #,##0.00_);_(* \(#,##0.00\);_(* &quot;-&quot;??_);_(@_)"/>
    <numFmt numFmtId="164" formatCode="&quot;$&quot;#,##0.00"/>
    <numFmt numFmtId="165" formatCode="&quot;$&quot;#,##0"/>
    <numFmt numFmtId="166" formatCode="&quot;$&quot;#,##0.000_);\(&quot;$&quot;#,##0.000\)"/>
    <numFmt numFmtId="167" formatCode="0.0000%"/>
  </numFmts>
  <fonts count="9" x14ac:knownFonts="1">
    <font>
      <sz val="10"/>
      <name val="Arial"/>
    </font>
    <font>
      <sz val="10"/>
      <name val="Arial"/>
      <family val="2"/>
    </font>
    <font>
      <sz val="11"/>
      <name val="Arial"/>
      <family val="2"/>
    </font>
    <font>
      <b/>
      <sz val="11"/>
      <name val="Arial"/>
      <family val="2"/>
    </font>
    <font>
      <sz val="11"/>
      <color rgb="FFFF0000"/>
      <name val="Arial"/>
      <family val="2"/>
    </font>
    <font>
      <sz val="10"/>
      <name val="Arial"/>
    </font>
    <font>
      <sz val="18"/>
      <name val="Arial"/>
      <family val="2"/>
    </font>
    <font>
      <sz val="12"/>
      <name val="Arial"/>
      <family val="2"/>
    </font>
    <font>
      <sz val="16"/>
      <name val="Arial"/>
      <family val="2"/>
    </font>
  </fonts>
  <fills count="9">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45"/>
        <bgColor indexed="64"/>
      </patternFill>
    </fill>
    <fill>
      <patternFill patternType="solid">
        <fgColor indexed="15"/>
        <bgColor indexed="64"/>
      </patternFill>
    </fill>
    <fill>
      <patternFill patternType="solid">
        <fgColor indexed="11"/>
        <bgColor indexed="64"/>
      </patternFill>
    </fill>
    <fill>
      <patternFill patternType="solid">
        <fgColor theme="6" tint="0.59999389629810485"/>
        <bgColor indexed="64"/>
      </patternFill>
    </fill>
    <fill>
      <patternFill patternType="solid">
        <fgColor theme="0"/>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hair">
        <color indexed="64"/>
      </bottom>
      <diagonal/>
    </border>
    <border>
      <left/>
      <right/>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medium">
        <color indexed="64"/>
      </left>
      <right style="medium">
        <color indexed="64"/>
      </right>
      <top style="hair">
        <color indexed="64"/>
      </top>
      <bottom style="thin">
        <color indexed="64"/>
      </bottom>
      <diagonal/>
    </border>
    <border>
      <left style="medium">
        <color indexed="64"/>
      </left>
      <right/>
      <top style="hair">
        <color indexed="64"/>
      </top>
      <bottom/>
      <diagonal/>
    </border>
    <border>
      <left style="thin">
        <color indexed="64"/>
      </left>
      <right style="medium">
        <color indexed="64"/>
      </right>
      <top style="hair">
        <color indexed="64"/>
      </top>
      <bottom/>
      <diagonal/>
    </border>
    <border>
      <left/>
      <right/>
      <top style="hair">
        <color indexed="64"/>
      </top>
      <bottom/>
      <diagonal/>
    </border>
    <border>
      <left style="thin">
        <color indexed="64"/>
      </left>
      <right/>
      <top style="hair">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hair">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bottom style="hair">
        <color indexed="64"/>
      </bottom>
      <diagonal/>
    </border>
    <border>
      <left/>
      <right style="medium">
        <color indexed="64"/>
      </right>
      <top style="hair">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bottom/>
      <diagonal/>
    </border>
    <border>
      <left style="medium">
        <color indexed="64"/>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hair">
        <color indexed="64"/>
      </top>
      <bottom/>
      <diagonal/>
    </border>
    <border>
      <left style="medium">
        <color indexed="64"/>
      </left>
      <right style="thin">
        <color indexed="64"/>
      </right>
      <top style="hair">
        <color indexed="64"/>
      </top>
      <bottom style="thin">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hair">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hair">
        <color indexed="64"/>
      </top>
      <bottom/>
      <diagonal/>
    </border>
    <border>
      <left/>
      <right/>
      <top/>
      <bottom style="double">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5" fillId="0" borderId="0" applyFont="0" applyFill="0" applyBorder="0" applyAlignment="0" applyProtection="0"/>
  </cellStyleXfs>
  <cellXfs count="254">
    <xf numFmtId="0" fontId="0" fillId="0" borderId="0" xfId="0"/>
    <xf numFmtId="0" fontId="0" fillId="0" borderId="0" xfId="0" applyAlignment="1"/>
    <xf numFmtId="0" fontId="1" fillId="0" borderId="0" xfId="0" applyFont="1"/>
    <xf numFmtId="0" fontId="2" fillId="0" borderId="0" xfId="0" applyFont="1"/>
    <xf numFmtId="164" fontId="2" fillId="0" borderId="0" xfId="0" applyNumberFormat="1" applyFont="1"/>
    <xf numFmtId="0" fontId="2" fillId="2" borderId="0" xfId="0" applyFont="1" applyFill="1" applyProtection="1">
      <protection locked="0"/>
    </xf>
    <xf numFmtId="2" fontId="2" fillId="2" borderId="0" xfId="0" applyNumberFormat="1" applyFont="1" applyFill="1" applyProtection="1">
      <protection locked="0"/>
    </xf>
    <xf numFmtId="0" fontId="2" fillId="2" borderId="1" xfId="0" applyFont="1" applyFill="1" applyBorder="1" applyProtection="1">
      <protection locked="0"/>
    </xf>
    <xf numFmtId="0" fontId="2" fillId="7" borderId="2" xfId="0" applyFont="1" applyFill="1" applyBorder="1" applyAlignment="1" applyProtection="1">
      <alignment vertical="center"/>
      <protection locked="0"/>
    </xf>
    <xf numFmtId="0" fontId="2" fillId="7" borderId="3" xfId="0" applyFont="1" applyFill="1" applyBorder="1" applyAlignment="1" applyProtection="1">
      <alignment vertical="center"/>
      <protection locked="0"/>
    </xf>
    <xf numFmtId="0" fontId="2" fillId="2" borderId="5" xfId="0" applyFont="1" applyFill="1" applyBorder="1" applyAlignment="1" applyProtection="1">
      <alignment horizontal="center" vertical="center"/>
      <protection locked="0"/>
    </xf>
    <xf numFmtId="0" fontId="2" fillId="7" borderId="8" xfId="0" applyFont="1" applyFill="1" applyBorder="1" applyAlignment="1" applyProtection="1">
      <alignment vertical="center"/>
      <protection locked="0"/>
    </xf>
    <xf numFmtId="0" fontId="2" fillId="7" borderId="6" xfId="0" applyFont="1" applyFill="1" applyBorder="1" applyAlignment="1" applyProtection="1">
      <alignment vertical="center"/>
      <protection locked="0"/>
    </xf>
    <xf numFmtId="164" fontId="2" fillId="2" borderId="39" xfId="0" applyNumberFormat="1" applyFont="1" applyFill="1" applyBorder="1" applyAlignment="1" applyProtection="1">
      <alignment horizontal="center" vertical="center"/>
      <protection locked="0"/>
    </xf>
    <xf numFmtId="0" fontId="2" fillId="7" borderId="0" xfId="0" applyFont="1" applyFill="1" applyBorder="1" applyAlignment="1" applyProtection="1">
      <alignment horizontal="centerContinuous" vertical="center"/>
      <protection locked="0"/>
    </xf>
    <xf numFmtId="0" fontId="2" fillId="7" borderId="6" xfId="0" applyFont="1" applyFill="1" applyBorder="1" applyAlignment="1" applyProtection="1">
      <alignment horizontal="centerContinuous" vertical="center"/>
      <protection locked="0"/>
    </xf>
    <xf numFmtId="7" fontId="2" fillId="0" borderId="7" xfId="0" applyNumberFormat="1" applyFont="1" applyFill="1" applyBorder="1" applyAlignment="1" applyProtection="1">
      <alignment horizontal="center" vertical="center"/>
      <protection locked="0"/>
    </xf>
    <xf numFmtId="7" fontId="2" fillId="2" borderId="5" xfId="0" applyNumberFormat="1" applyFont="1" applyFill="1" applyBorder="1" applyAlignment="1" applyProtection="1">
      <alignment horizontal="center" vertical="center"/>
      <protection locked="0"/>
    </xf>
    <xf numFmtId="0" fontId="2" fillId="2" borderId="7" xfId="0" applyFont="1" applyFill="1" applyBorder="1" applyAlignment="1" applyProtection="1">
      <alignment horizontal="center" vertical="center"/>
      <protection locked="0"/>
    </xf>
    <xf numFmtId="0" fontId="2" fillId="7" borderId="9" xfId="0" applyFont="1" applyFill="1" applyBorder="1" applyAlignment="1" applyProtection="1">
      <alignment horizontal="centerContinuous" vertical="center"/>
      <protection locked="0"/>
    </xf>
    <xf numFmtId="0" fontId="2" fillId="7" borderId="10" xfId="0" applyFont="1" applyFill="1" applyBorder="1" applyAlignment="1" applyProtection="1">
      <alignment horizontal="centerContinuous" vertical="center"/>
      <protection locked="0"/>
    </xf>
    <xf numFmtId="0" fontId="2" fillId="2" borderId="11" xfId="0" applyFont="1" applyFill="1" applyBorder="1" applyAlignment="1" applyProtection="1">
      <alignment horizontal="center" vertical="center"/>
      <protection locked="0"/>
    </xf>
    <xf numFmtId="0" fontId="2" fillId="2" borderId="12" xfId="0" applyFont="1" applyFill="1" applyBorder="1" applyAlignment="1" applyProtection="1">
      <alignment vertical="center"/>
      <protection locked="0"/>
    </xf>
    <xf numFmtId="0" fontId="2" fillId="2" borderId="6" xfId="0" applyFont="1" applyFill="1" applyBorder="1" applyAlignment="1" applyProtection="1">
      <alignment vertical="center"/>
      <protection locked="0"/>
    </xf>
    <xf numFmtId="0" fontId="2" fillId="2" borderId="13" xfId="0" applyFont="1" applyFill="1" applyBorder="1" applyAlignment="1" applyProtection="1">
      <alignment vertical="center"/>
      <protection locked="0"/>
    </xf>
    <xf numFmtId="0" fontId="2" fillId="2" borderId="3" xfId="0" applyFont="1" applyFill="1" applyBorder="1" applyAlignment="1" applyProtection="1">
      <alignment vertical="center"/>
      <protection locked="0"/>
    </xf>
    <xf numFmtId="0" fontId="2" fillId="7" borderId="4" xfId="0" applyFont="1" applyFill="1" applyBorder="1" applyAlignment="1" applyProtection="1">
      <alignment vertical="center"/>
      <protection locked="0"/>
    </xf>
    <xf numFmtId="0" fontId="2" fillId="7" borderId="1" xfId="0" applyFont="1" applyFill="1" applyBorder="1" applyAlignment="1" applyProtection="1">
      <alignment vertical="center"/>
      <protection locked="0"/>
    </xf>
    <xf numFmtId="0" fontId="2" fillId="2" borderId="14" xfId="0" applyFont="1" applyFill="1" applyBorder="1" applyAlignment="1" applyProtection="1">
      <alignment vertical="center"/>
      <protection locked="0"/>
    </xf>
    <xf numFmtId="0" fontId="2" fillId="2" borderId="14" xfId="0" applyFont="1" applyFill="1" applyBorder="1" applyAlignment="1" applyProtection="1">
      <alignment horizontal="center" vertical="center"/>
      <protection locked="0"/>
    </xf>
    <xf numFmtId="0" fontId="2" fillId="2" borderId="15" xfId="0" applyFont="1" applyFill="1" applyBorder="1" applyAlignment="1" applyProtection="1">
      <alignment horizontal="center" vertical="center"/>
      <protection locked="0"/>
    </xf>
    <xf numFmtId="0" fontId="2" fillId="2" borderId="10" xfId="0" applyFont="1" applyFill="1" applyBorder="1" applyAlignment="1" applyProtection="1">
      <alignment horizontal="center" vertical="center"/>
      <protection locked="0"/>
    </xf>
    <xf numFmtId="0" fontId="2" fillId="7" borderId="9" xfId="0" applyFont="1" applyFill="1" applyBorder="1" applyAlignment="1" applyProtection="1">
      <alignment horizontal="center" vertical="center"/>
      <protection locked="0"/>
    </xf>
    <xf numFmtId="0" fontId="2" fillId="7" borderId="7" xfId="0" applyFont="1" applyFill="1" applyBorder="1" applyAlignment="1" applyProtection="1">
      <alignment horizontal="center" vertical="center"/>
      <protection locked="0"/>
    </xf>
    <xf numFmtId="7" fontId="2" fillId="0" borderId="20" xfId="0" applyNumberFormat="1" applyFont="1" applyBorder="1" applyAlignment="1" applyProtection="1">
      <alignment horizontal="left"/>
      <protection locked="0"/>
    </xf>
    <xf numFmtId="7" fontId="2" fillId="0" borderId="20" xfId="0" applyNumberFormat="1" applyFont="1" applyFill="1" applyBorder="1" applyAlignment="1" applyProtection="1">
      <alignment horizontal="right"/>
    </xf>
    <xf numFmtId="0" fontId="2" fillId="0" borderId="17" xfId="0" applyNumberFormat="1" applyFont="1" applyFill="1" applyBorder="1" applyAlignment="1">
      <alignment horizontal="center" vertical="center"/>
    </xf>
    <xf numFmtId="7" fontId="2" fillId="0" borderId="18" xfId="0" applyNumberFormat="1" applyFont="1" applyFill="1" applyBorder="1" applyAlignment="1" applyProtection="1">
      <alignment horizontal="right" vertical="center"/>
      <protection locked="0"/>
    </xf>
    <xf numFmtId="3" fontId="3" fillId="7" borderId="22" xfId="0" applyNumberFormat="1" applyFont="1" applyFill="1" applyBorder="1" applyAlignment="1" applyProtection="1">
      <alignment horizontal="center" vertical="center"/>
      <protection locked="0"/>
    </xf>
    <xf numFmtId="0" fontId="2" fillId="0" borderId="20" xfId="0" applyFont="1" applyBorder="1" applyAlignment="1" applyProtection="1">
      <alignment horizontal="left"/>
      <protection locked="0"/>
    </xf>
    <xf numFmtId="7" fontId="2" fillId="0" borderId="20" xfId="0" applyNumberFormat="1" applyFont="1" applyFill="1" applyBorder="1" applyAlignment="1" applyProtection="1">
      <alignment horizontal="right"/>
      <protection locked="0"/>
    </xf>
    <xf numFmtId="0" fontId="2" fillId="0" borderId="20" xfId="0" applyFont="1" applyFill="1" applyBorder="1" applyAlignment="1" applyProtection="1">
      <alignment horizontal="left"/>
      <protection locked="0"/>
    </xf>
    <xf numFmtId="0" fontId="2" fillId="0" borderId="21" xfId="0" applyNumberFormat="1" applyFont="1" applyFill="1" applyBorder="1" applyAlignment="1">
      <alignment horizontal="center" vertical="center"/>
    </xf>
    <xf numFmtId="0" fontId="2" fillId="0" borderId="20" xfId="0" applyFont="1" applyFill="1" applyBorder="1" applyProtection="1">
      <protection locked="0"/>
    </xf>
    <xf numFmtId="0" fontId="2" fillId="3" borderId="20" xfId="0" applyFont="1" applyFill="1" applyBorder="1" applyProtection="1">
      <protection locked="0"/>
    </xf>
    <xf numFmtId="7" fontId="2" fillId="3" borderId="20" xfId="0" applyNumberFormat="1" applyFont="1" applyFill="1" applyBorder="1" applyAlignment="1" applyProtection="1">
      <alignment horizontal="right"/>
      <protection locked="0"/>
    </xf>
    <xf numFmtId="0" fontId="2" fillId="3" borderId="21" xfId="0" applyNumberFormat="1" applyFont="1" applyFill="1" applyBorder="1" applyAlignment="1">
      <alignment horizontal="center" vertical="center"/>
    </xf>
    <xf numFmtId="7" fontId="2" fillId="3" borderId="18" xfId="0" applyNumberFormat="1" applyFont="1" applyFill="1" applyBorder="1" applyAlignment="1" applyProtection="1">
      <alignment horizontal="right" vertical="center"/>
      <protection locked="0"/>
    </xf>
    <xf numFmtId="7" fontId="2" fillId="3" borderId="19" xfId="0" applyNumberFormat="1" applyFont="1" applyFill="1" applyBorder="1" applyAlignment="1" applyProtection="1">
      <alignment horizontal="right" vertical="center"/>
      <protection locked="0"/>
    </xf>
    <xf numFmtId="0" fontId="2" fillId="0" borderId="23" xfId="0" applyNumberFormat="1" applyFont="1" applyFill="1" applyBorder="1" applyAlignment="1">
      <alignment horizontal="center" vertical="center"/>
    </xf>
    <xf numFmtId="7" fontId="2" fillId="2" borderId="19" xfId="0" applyNumberFormat="1" applyFont="1" applyFill="1" applyBorder="1" applyAlignment="1" applyProtection="1">
      <alignment horizontal="right" vertical="center"/>
      <protection locked="0"/>
    </xf>
    <xf numFmtId="0" fontId="2" fillId="0" borderId="20" xfId="0" applyFont="1" applyFill="1" applyBorder="1" applyAlignment="1" applyProtection="1">
      <alignment horizontal="left" indent="1"/>
      <protection locked="0"/>
    </xf>
    <xf numFmtId="7" fontId="2" fillId="2" borderId="18" xfId="0" applyNumberFormat="1" applyFont="1" applyFill="1" applyBorder="1" applyAlignment="1" applyProtection="1">
      <alignment horizontal="right" vertical="center"/>
      <protection locked="0"/>
    </xf>
    <xf numFmtId="0" fontId="2" fillId="0" borderId="24" xfId="0" applyFont="1" applyFill="1" applyBorder="1" applyAlignment="1">
      <alignment vertical="center"/>
    </xf>
    <xf numFmtId="164" fontId="2" fillId="0" borderId="24" xfId="1" applyNumberFormat="1" applyFont="1" applyFill="1" applyBorder="1" applyAlignment="1">
      <alignment vertical="center"/>
    </xf>
    <xf numFmtId="0" fontId="2" fillId="0" borderId="27" xfId="0" applyNumberFormat="1" applyFont="1" applyFill="1" applyBorder="1" applyAlignment="1">
      <alignment horizontal="center" vertical="center"/>
    </xf>
    <xf numFmtId="7" fontId="2" fillId="0" borderId="26" xfId="0" applyNumberFormat="1" applyFont="1" applyFill="1" applyBorder="1" applyAlignment="1" applyProtection="1">
      <alignment horizontal="right" vertical="center"/>
      <protection locked="0"/>
    </xf>
    <xf numFmtId="0" fontId="2" fillId="0" borderId="52" xfId="0" applyNumberFormat="1" applyFont="1" applyFill="1" applyBorder="1" applyAlignment="1">
      <alignment horizontal="center" vertical="center"/>
    </xf>
    <xf numFmtId="7" fontId="2" fillId="0" borderId="28" xfId="0" applyNumberFormat="1" applyFont="1" applyFill="1" applyBorder="1" applyAlignment="1" applyProtection="1">
      <alignment horizontal="right" vertical="center"/>
      <protection locked="0"/>
    </xf>
    <xf numFmtId="3" fontId="3" fillId="7" borderId="25" xfId="0" applyNumberFormat="1" applyFont="1" applyFill="1" applyBorder="1" applyAlignment="1" applyProtection="1">
      <alignment horizontal="center" vertical="center"/>
      <protection locked="0"/>
    </xf>
    <xf numFmtId="0" fontId="2" fillId="0" borderId="29" xfId="0" applyFont="1" applyFill="1" applyBorder="1" applyAlignment="1">
      <alignment vertical="center"/>
    </xf>
    <xf numFmtId="0" fontId="2" fillId="0" borderId="30" xfId="0" applyNumberFormat="1" applyFont="1" applyFill="1" applyBorder="1" applyAlignment="1">
      <alignment horizontal="center" vertical="center"/>
    </xf>
    <xf numFmtId="164" fontId="2" fillId="0" borderId="31" xfId="0" applyNumberFormat="1" applyFont="1" applyFill="1" applyBorder="1" applyAlignment="1">
      <alignment horizontal="right" vertical="center"/>
    </xf>
    <xf numFmtId="164" fontId="2" fillId="0" borderId="34" xfId="0" applyNumberFormat="1" applyFont="1" applyFill="1" applyBorder="1" applyAlignment="1">
      <alignment horizontal="right" vertical="center"/>
    </xf>
    <xf numFmtId="0" fontId="2" fillId="3" borderId="32" xfId="0" applyFont="1" applyFill="1" applyBorder="1" applyAlignment="1">
      <alignment vertical="center"/>
    </xf>
    <xf numFmtId="164" fontId="2" fillId="3" borderId="33" xfId="0" applyNumberFormat="1" applyFont="1" applyFill="1" applyBorder="1" applyAlignment="1" applyProtection="1">
      <alignment vertical="center"/>
      <protection locked="0"/>
    </xf>
    <xf numFmtId="0" fontId="2" fillId="3" borderId="30" xfId="0" applyNumberFormat="1" applyFont="1" applyFill="1" applyBorder="1" applyAlignment="1">
      <alignment horizontal="center" vertical="center"/>
    </xf>
    <xf numFmtId="164" fontId="2" fillId="3" borderId="35" xfId="0" applyNumberFormat="1" applyFont="1" applyFill="1" applyBorder="1" applyAlignment="1">
      <alignment horizontal="right" vertical="center"/>
    </xf>
    <xf numFmtId="164" fontId="2" fillId="3" borderId="34" xfId="0" applyNumberFormat="1" applyFont="1" applyFill="1" applyBorder="1" applyAlignment="1">
      <alignment horizontal="right" vertical="center"/>
    </xf>
    <xf numFmtId="0" fontId="2" fillId="0" borderId="32" xfId="0" applyFont="1" applyFill="1" applyBorder="1" applyAlignment="1">
      <alignment vertical="center"/>
    </xf>
    <xf numFmtId="10" fontId="2" fillId="0" borderId="43" xfId="0" applyNumberFormat="1" applyFont="1" applyFill="1" applyBorder="1" applyAlignment="1" applyProtection="1">
      <alignment vertical="center"/>
      <protection locked="0"/>
    </xf>
    <xf numFmtId="7" fontId="2" fillId="0" borderId="30" xfId="0" applyNumberFormat="1" applyFont="1" applyFill="1" applyBorder="1" applyAlignment="1" applyProtection="1">
      <alignment horizontal="right" vertical="center"/>
      <protection locked="0"/>
    </xf>
    <xf numFmtId="7" fontId="2" fillId="0" borderId="34" xfId="0" applyNumberFormat="1" applyFont="1" applyFill="1" applyBorder="1" applyAlignment="1" applyProtection="1">
      <alignment horizontal="right" vertical="center"/>
      <protection locked="0"/>
    </xf>
    <xf numFmtId="10" fontId="2" fillId="3" borderId="36" xfId="0" applyNumberFormat="1" applyFont="1" applyFill="1" applyBorder="1" applyAlignment="1" applyProtection="1">
      <alignment vertical="center"/>
      <protection locked="0"/>
    </xf>
    <xf numFmtId="0" fontId="2" fillId="3" borderId="37" xfId="0" applyNumberFormat="1" applyFont="1" applyFill="1" applyBorder="1" applyAlignment="1">
      <alignment horizontal="center" vertical="center"/>
    </xf>
    <xf numFmtId="164" fontId="2" fillId="3" borderId="38" xfId="0" applyNumberFormat="1" applyFont="1" applyFill="1" applyBorder="1" applyProtection="1">
      <protection locked="0"/>
    </xf>
    <xf numFmtId="0" fontId="2" fillId="0" borderId="39" xfId="0" applyFont="1" applyFill="1" applyBorder="1" applyAlignment="1" applyProtection="1">
      <alignment vertical="center"/>
      <protection locked="0"/>
    </xf>
    <xf numFmtId="10" fontId="3" fillId="0" borderId="7" xfId="0" applyNumberFormat="1" applyFont="1" applyFill="1" applyBorder="1" applyAlignment="1" applyProtection="1">
      <alignment vertical="center"/>
      <protection locked="0"/>
    </xf>
    <xf numFmtId="3" fontId="2" fillId="0" borderId="40" xfId="0" applyNumberFormat="1" applyFont="1" applyFill="1" applyBorder="1" applyAlignment="1" applyProtection="1">
      <alignment horizontal="center" vertical="center"/>
      <protection locked="0"/>
    </xf>
    <xf numFmtId="7" fontId="2" fillId="0" borderId="41" xfId="0" applyNumberFormat="1" applyFont="1" applyFill="1" applyBorder="1" applyAlignment="1" applyProtection="1">
      <alignment horizontal="right" vertical="center"/>
      <protection locked="0"/>
    </xf>
    <xf numFmtId="0" fontId="2" fillId="3" borderId="1" xfId="0" applyFont="1" applyFill="1" applyBorder="1" applyAlignment="1" applyProtection="1">
      <alignment vertical="center"/>
      <protection locked="0"/>
    </xf>
    <xf numFmtId="10" fontId="3" fillId="3" borderId="1" xfId="0" applyNumberFormat="1" applyFont="1" applyFill="1" applyBorder="1" applyAlignment="1" applyProtection="1">
      <alignment vertical="center"/>
      <protection locked="0"/>
    </xf>
    <xf numFmtId="3" fontId="2" fillId="3" borderId="2" xfId="0" applyNumberFormat="1" applyFont="1" applyFill="1" applyBorder="1" applyAlignment="1" applyProtection="1">
      <alignment horizontal="center" vertical="center"/>
      <protection locked="0"/>
    </xf>
    <xf numFmtId="7" fontId="2" fillId="3" borderId="58" xfId="0" applyNumberFormat="1" applyFont="1" applyFill="1" applyBorder="1" applyAlignment="1" applyProtection="1">
      <alignment horizontal="right" vertical="center"/>
      <protection locked="0"/>
    </xf>
    <xf numFmtId="3" fontId="3" fillId="7" borderId="4" xfId="0" applyNumberFormat="1" applyFont="1" applyFill="1" applyBorder="1" applyAlignment="1" applyProtection="1">
      <alignment horizontal="center" vertical="center"/>
      <protection locked="0"/>
    </xf>
    <xf numFmtId="0" fontId="2" fillId="3" borderId="39" xfId="0" applyFont="1" applyFill="1" applyBorder="1" applyAlignment="1" applyProtection="1">
      <alignment vertical="center"/>
      <protection locked="0"/>
    </xf>
    <xf numFmtId="7" fontId="2" fillId="3" borderId="39" xfId="0" applyNumberFormat="1" applyFont="1" applyFill="1" applyBorder="1" applyAlignment="1" applyProtection="1">
      <alignment vertical="center"/>
      <protection locked="0"/>
    </xf>
    <xf numFmtId="0" fontId="2" fillId="3" borderId="49" xfId="0" applyFont="1" applyFill="1" applyBorder="1" applyAlignment="1" applyProtection="1">
      <alignment horizontal="center" vertical="center"/>
      <protection locked="0"/>
    </xf>
    <xf numFmtId="7" fontId="2" fillId="3" borderId="50" xfId="0" applyNumberFormat="1" applyFont="1" applyFill="1" applyBorder="1" applyAlignment="1" applyProtection="1">
      <alignment horizontal="right" vertical="center"/>
      <protection locked="0"/>
    </xf>
    <xf numFmtId="3" fontId="3" fillId="7" borderId="54" xfId="0" applyNumberFormat="1" applyFont="1" applyFill="1" applyBorder="1" applyAlignment="1" applyProtection="1">
      <alignment horizontal="center" vertical="center"/>
      <protection locked="0"/>
    </xf>
    <xf numFmtId="0" fontId="2" fillId="0" borderId="16" xfId="0" applyFont="1" applyFill="1" applyBorder="1" applyAlignment="1" applyProtection="1">
      <alignment vertical="center"/>
      <protection locked="0"/>
    </xf>
    <xf numFmtId="166" fontId="2" fillId="0" borderId="55" xfId="0" applyNumberFormat="1" applyFont="1" applyFill="1" applyBorder="1" applyAlignment="1" applyProtection="1">
      <alignment vertical="center"/>
      <protection locked="0"/>
    </xf>
    <xf numFmtId="0" fontId="2" fillId="0" borderId="44" xfId="0" applyFont="1" applyFill="1" applyBorder="1" applyAlignment="1" applyProtection="1">
      <alignment horizontal="center" vertical="center"/>
      <protection locked="0"/>
    </xf>
    <xf numFmtId="3" fontId="3" fillId="7" borderId="17" xfId="0" applyNumberFormat="1" applyFont="1" applyFill="1" applyBorder="1" applyAlignment="1" applyProtection="1">
      <alignment horizontal="center" vertical="center"/>
      <protection locked="0"/>
    </xf>
    <xf numFmtId="0" fontId="2" fillId="0" borderId="43" xfId="0" applyFont="1" applyBorder="1" applyAlignment="1">
      <alignment horizontal="left" indent="1"/>
    </xf>
    <xf numFmtId="164" fontId="2" fillId="0" borderId="29" xfId="0" applyNumberFormat="1" applyFont="1" applyBorder="1"/>
    <xf numFmtId="0" fontId="2" fillId="0" borderId="33" xfId="0" applyFont="1" applyBorder="1" applyAlignment="1">
      <alignment horizontal="left" indent="1"/>
    </xf>
    <xf numFmtId="164" fontId="2" fillId="0" borderId="32" xfId="0" applyNumberFormat="1" applyFont="1" applyBorder="1"/>
    <xf numFmtId="0" fontId="2" fillId="0" borderId="12" xfId="0" applyFont="1" applyFill="1" applyBorder="1" applyAlignment="1" applyProtection="1">
      <alignment horizontal="center" vertical="center"/>
      <protection locked="0"/>
    </xf>
    <xf numFmtId="7" fontId="2" fillId="2" borderId="47" xfId="0" applyNumberFormat="1" applyFont="1" applyFill="1" applyBorder="1" applyAlignment="1" applyProtection="1">
      <alignment horizontal="right" vertical="center"/>
      <protection locked="0"/>
    </xf>
    <xf numFmtId="3" fontId="2" fillId="0" borderId="12" xfId="0" applyNumberFormat="1" applyFont="1" applyFill="1" applyBorder="1" applyAlignment="1" applyProtection="1">
      <alignment horizontal="center" vertical="center"/>
      <protection locked="0"/>
    </xf>
    <xf numFmtId="0" fontId="3" fillId="4" borderId="54" xfId="0" applyFont="1" applyFill="1" applyBorder="1"/>
    <xf numFmtId="43" fontId="2" fillId="4" borderId="39" xfId="0" applyNumberFormat="1" applyFont="1" applyFill="1" applyBorder="1"/>
    <xf numFmtId="0" fontId="2" fillId="4" borderId="49" xfId="0" applyFont="1" applyFill="1" applyBorder="1" applyAlignment="1" applyProtection="1">
      <alignment horizontal="center" vertical="center"/>
      <protection locked="0"/>
    </xf>
    <xf numFmtId="7" fontId="2" fillId="4" borderId="50" xfId="0" applyNumberFormat="1" applyFont="1" applyFill="1" applyBorder="1" applyAlignment="1" applyProtection="1">
      <alignment horizontal="right" vertical="center"/>
      <protection locked="0"/>
    </xf>
    <xf numFmtId="2" fontId="2" fillId="4" borderId="49" xfId="0" applyNumberFormat="1" applyFont="1" applyFill="1" applyBorder="1" applyAlignment="1" applyProtection="1">
      <alignment horizontal="center" vertical="center"/>
      <protection locked="0"/>
    </xf>
    <xf numFmtId="43" fontId="2" fillId="0" borderId="29" xfId="0" applyNumberFormat="1" applyFont="1" applyBorder="1"/>
    <xf numFmtId="0" fontId="2" fillId="5" borderId="39" xfId="0" applyFont="1" applyFill="1" applyBorder="1" applyAlignment="1" applyProtection="1">
      <alignment vertical="center"/>
      <protection locked="0"/>
    </xf>
    <xf numFmtId="7" fontId="2" fillId="5" borderId="53" xfId="0" applyNumberFormat="1" applyFont="1" applyFill="1" applyBorder="1" applyAlignment="1" applyProtection="1">
      <alignment vertical="center"/>
      <protection locked="0"/>
    </xf>
    <xf numFmtId="1" fontId="2" fillId="5" borderId="49" xfId="0" applyNumberFormat="1" applyFont="1" applyFill="1" applyBorder="1" applyAlignment="1" applyProtection="1">
      <alignment horizontal="center" vertical="center"/>
      <protection locked="0"/>
    </xf>
    <xf numFmtId="7" fontId="2" fillId="5" borderId="50" xfId="0" applyNumberFormat="1" applyFont="1" applyFill="1" applyBorder="1" applyAlignment="1" applyProtection="1">
      <alignment horizontal="right" vertical="center"/>
      <protection locked="0"/>
    </xf>
    <xf numFmtId="2" fontId="2" fillId="5" borderId="49" xfId="0" applyNumberFormat="1" applyFont="1" applyFill="1" applyBorder="1" applyAlignment="1" applyProtection="1">
      <alignment horizontal="center" vertical="center"/>
      <protection locked="0"/>
    </xf>
    <xf numFmtId="0" fontId="2" fillId="0" borderId="16" xfId="0" applyFont="1" applyFill="1" applyBorder="1" applyAlignment="1" applyProtection="1">
      <alignment vertical="center" wrapText="1"/>
      <protection locked="0"/>
    </xf>
    <xf numFmtId="7" fontId="2" fillId="0" borderId="55" xfId="0" applyNumberFormat="1" applyFont="1" applyFill="1" applyBorder="1" applyAlignment="1" applyProtection="1">
      <alignment vertical="center"/>
      <protection locked="0"/>
    </xf>
    <xf numFmtId="0" fontId="2" fillId="0" borderId="5" xfId="0" applyFont="1" applyFill="1" applyBorder="1" applyAlignment="1" applyProtection="1">
      <alignment vertical="center" wrapText="1"/>
      <protection locked="0"/>
    </xf>
    <xf numFmtId="7" fontId="2" fillId="0" borderId="6" xfId="0" applyNumberFormat="1" applyFont="1" applyFill="1" applyBorder="1" applyAlignment="1" applyProtection="1">
      <alignment vertical="center"/>
      <protection locked="0"/>
    </xf>
    <xf numFmtId="0" fontId="2" fillId="0" borderId="51" xfId="0" applyFont="1" applyFill="1" applyBorder="1" applyAlignment="1" applyProtection="1">
      <alignment horizontal="left" vertical="center" wrapText="1" indent="1"/>
      <protection locked="0"/>
    </xf>
    <xf numFmtId="7" fontId="2" fillId="0" borderId="45" xfId="0" applyNumberFormat="1" applyFont="1" applyFill="1" applyBorder="1" applyAlignment="1" applyProtection="1">
      <alignment vertical="center"/>
      <protection locked="0"/>
    </xf>
    <xf numFmtId="7" fontId="2" fillId="0" borderId="47" xfId="0" applyNumberFormat="1" applyFont="1" applyFill="1" applyBorder="1" applyAlignment="1" applyProtection="1">
      <alignment horizontal="right" vertical="center"/>
      <protection locked="0"/>
    </xf>
    <xf numFmtId="2" fontId="2" fillId="0" borderId="12" xfId="0" applyNumberFormat="1" applyFont="1" applyFill="1" applyBorder="1" applyAlignment="1" applyProtection="1">
      <alignment horizontal="center" vertical="center"/>
      <protection locked="0"/>
    </xf>
    <xf numFmtId="7" fontId="2" fillId="0" borderId="18" xfId="0" applyNumberFormat="1" applyFont="1" applyFill="1" applyBorder="1" applyAlignment="1" applyProtection="1">
      <alignment vertical="center"/>
      <protection locked="0"/>
    </xf>
    <xf numFmtId="0" fontId="2" fillId="0" borderId="0" xfId="0" applyFont="1" applyFill="1" applyProtection="1">
      <protection locked="0"/>
    </xf>
    <xf numFmtId="3" fontId="2" fillId="0" borderId="0" xfId="0" applyNumberFormat="1" applyFont="1"/>
    <xf numFmtId="0" fontId="2" fillId="0" borderId="0" xfId="0" applyFont="1" applyFill="1" applyBorder="1"/>
    <xf numFmtId="164" fontId="0" fillId="0" borderId="0" xfId="0" applyNumberFormat="1"/>
    <xf numFmtId="9" fontId="2" fillId="0" borderId="0" xfId="0" applyNumberFormat="1" applyFont="1" applyFill="1" applyProtection="1">
      <protection locked="0"/>
    </xf>
    <xf numFmtId="164" fontId="3" fillId="7" borderId="20" xfId="0" applyNumberFormat="1" applyFont="1" applyFill="1" applyBorder="1" applyAlignment="1" applyProtection="1">
      <alignment horizontal="right" vertical="center"/>
    </xf>
    <xf numFmtId="43" fontId="2" fillId="0" borderId="29" xfId="0" applyNumberFormat="1" applyFont="1" applyBorder="1" applyAlignment="1">
      <alignment vertical="center"/>
    </xf>
    <xf numFmtId="7" fontId="0" fillId="0" borderId="0" xfId="0" applyNumberFormat="1"/>
    <xf numFmtId="0" fontId="2" fillId="0" borderId="56" xfId="0" applyFont="1" applyBorder="1" applyAlignment="1">
      <alignment horizontal="left" wrapText="1"/>
    </xf>
    <xf numFmtId="0" fontId="2" fillId="0" borderId="43" xfId="0" applyFont="1" applyBorder="1" applyAlignment="1">
      <alignment horizontal="left"/>
    </xf>
    <xf numFmtId="0" fontId="2" fillId="8" borderId="43" xfId="0" applyFont="1" applyFill="1" applyBorder="1" applyAlignment="1">
      <alignment horizontal="left"/>
    </xf>
    <xf numFmtId="0" fontId="2" fillId="0" borderId="43" xfId="0" applyFont="1" applyBorder="1" applyAlignment="1">
      <alignment horizontal="left" vertical="center" wrapText="1"/>
    </xf>
    <xf numFmtId="7" fontId="2" fillId="0" borderId="0" xfId="0" applyNumberFormat="1" applyFont="1"/>
    <xf numFmtId="3" fontId="3" fillId="7" borderId="21" xfId="0" applyNumberFormat="1" applyFont="1" applyFill="1" applyBorder="1" applyAlignment="1" applyProtection="1">
      <alignment horizontal="center" vertical="center"/>
      <protection locked="0"/>
    </xf>
    <xf numFmtId="0" fontId="2" fillId="6" borderId="1" xfId="0" applyFont="1" applyFill="1" applyBorder="1" applyAlignment="1" applyProtection="1">
      <alignment horizontal="left" vertical="center"/>
      <protection locked="0"/>
    </xf>
    <xf numFmtId="7" fontId="2" fillId="6" borderId="3" xfId="0" applyNumberFormat="1" applyFont="1" applyFill="1" applyBorder="1" applyAlignment="1" applyProtection="1">
      <alignment vertical="center"/>
      <protection locked="0"/>
    </xf>
    <xf numFmtId="0" fontId="2" fillId="6" borderId="13" xfId="0" applyFont="1" applyFill="1" applyBorder="1" applyAlignment="1" applyProtection="1">
      <alignment horizontal="center" vertical="center"/>
      <protection locked="0"/>
    </xf>
    <xf numFmtId="7" fontId="2" fillId="6" borderId="58" xfId="0" applyNumberFormat="1" applyFont="1" applyFill="1" applyBorder="1" applyAlignment="1" applyProtection="1">
      <alignment horizontal="right" vertical="center"/>
      <protection locked="0"/>
    </xf>
    <xf numFmtId="2" fontId="2" fillId="6" borderId="13" xfId="0" applyNumberFormat="1" applyFont="1" applyFill="1" applyBorder="1" applyAlignment="1" applyProtection="1">
      <alignment horizontal="center" vertical="center"/>
      <protection locked="0"/>
    </xf>
    <xf numFmtId="49" fontId="2" fillId="0" borderId="59" xfId="0" applyNumberFormat="1" applyFont="1" applyFill="1" applyBorder="1" applyAlignment="1" applyProtection="1">
      <alignment vertical="center" wrapText="1"/>
      <protection locked="0"/>
    </xf>
    <xf numFmtId="0" fontId="2" fillId="0" borderId="59" xfId="0" applyFont="1" applyFill="1" applyBorder="1" applyAlignment="1" applyProtection="1">
      <alignment horizontal="center" vertical="center"/>
      <protection locked="0"/>
    </xf>
    <xf numFmtId="7" fontId="2" fillId="0" borderId="59" xfId="0" applyNumberFormat="1" applyFont="1" applyFill="1" applyBorder="1" applyAlignment="1" applyProtection="1">
      <alignment horizontal="right" vertical="center"/>
      <protection locked="0"/>
    </xf>
    <xf numFmtId="1" fontId="2" fillId="0" borderId="59" xfId="0" applyNumberFormat="1" applyFont="1" applyFill="1" applyBorder="1" applyAlignment="1" applyProtection="1">
      <alignment horizontal="center" vertical="center"/>
      <protection locked="0"/>
    </xf>
    <xf numFmtId="49" fontId="2" fillId="0" borderId="59" xfId="0" applyNumberFormat="1" applyFont="1" applyFill="1" applyBorder="1" applyAlignment="1" applyProtection="1">
      <alignment vertical="center"/>
      <protection locked="0"/>
    </xf>
    <xf numFmtId="7" fontId="2" fillId="0" borderId="59" xfId="0" applyNumberFormat="1" applyFont="1" applyFill="1" applyBorder="1" applyAlignment="1" applyProtection="1">
      <alignment vertical="center"/>
      <protection locked="0"/>
    </xf>
    <xf numFmtId="49" fontId="2" fillId="0" borderId="59" xfId="0" applyNumberFormat="1" applyFont="1" applyBorder="1"/>
    <xf numFmtId="49" fontId="2" fillId="0" borderId="59" xfId="0" applyNumberFormat="1" applyFont="1" applyBorder="1" applyAlignment="1"/>
    <xf numFmtId="0" fontId="2" fillId="0" borderId="60" xfId="0" applyFont="1" applyFill="1" applyBorder="1" applyAlignment="1" applyProtection="1">
      <alignment horizontal="center" vertical="center"/>
      <protection locked="0"/>
    </xf>
    <xf numFmtId="7" fontId="2" fillId="0" borderId="60" xfId="0" applyNumberFormat="1" applyFont="1" applyFill="1" applyBorder="1" applyAlignment="1" applyProtection="1">
      <alignment horizontal="right" vertical="center"/>
      <protection locked="0"/>
    </xf>
    <xf numFmtId="44" fontId="0" fillId="0" borderId="0" xfId="2" applyFont="1"/>
    <xf numFmtId="44" fontId="0" fillId="0" borderId="0" xfId="2" applyFont="1" applyAlignment="1"/>
    <xf numFmtId="7" fontId="0" fillId="0" borderId="0" xfId="2" applyNumberFormat="1" applyFont="1"/>
    <xf numFmtId="164" fontId="0" fillId="0" borderId="0" xfId="2" applyNumberFormat="1" applyFont="1"/>
    <xf numFmtId="0" fontId="2" fillId="0" borderId="63" xfId="0" applyFont="1" applyFill="1" applyBorder="1" applyAlignment="1" applyProtection="1">
      <alignment horizontal="center" vertical="center"/>
      <protection locked="0"/>
    </xf>
    <xf numFmtId="7" fontId="2" fillId="0" borderId="63" xfId="0" applyNumberFormat="1" applyFont="1" applyFill="1" applyBorder="1" applyAlignment="1" applyProtection="1">
      <alignment horizontal="right" vertical="center"/>
      <protection locked="0"/>
    </xf>
    <xf numFmtId="165" fontId="0" fillId="0" borderId="0" xfId="0" applyNumberFormat="1"/>
    <xf numFmtId="49" fontId="2" fillId="0" borderId="51" xfId="0" applyNumberFormat="1" applyFont="1" applyBorder="1" applyAlignment="1"/>
    <xf numFmtId="164" fontId="2" fillId="0" borderId="51" xfId="0" applyNumberFormat="1" applyFont="1" applyFill="1" applyBorder="1" applyAlignment="1" applyProtection="1">
      <alignment vertical="center"/>
      <protection locked="0"/>
    </xf>
    <xf numFmtId="7" fontId="2" fillId="0" borderId="47" xfId="0" applyNumberFormat="1" applyFont="1" applyFill="1" applyBorder="1" applyAlignment="1" applyProtection="1">
      <alignment vertical="center"/>
      <protection locked="0"/>
    </xf>
    <xf numFmtId="1" fontId="2" fillId="0" borderId="65" xfId="0" applyNumberFormat="1" applyFont="1" applyFill="1" applyBorder="1" applyAlignment="1" applyProtection="1">
      <alignment horizontal="center" vertical="center"/>
      <protection locked="0"/>
    </xf>
    <xf numFmtId="3" fontId="3" fillId="7" borderId="8" xfId="0" applyNumberFormat="1" applyFont="1" applyFill="1" applyBorder="1" applyAlignment="1" applyProtection="1">
      <alignment horizontal="center" vertical="center"/>
      <protection locked="0"/>
    </xf>
    <xf numFmtId="0" fontId="2" fillId="0" borderId="59" xfId="0" applyFont="1" applyFill="1" applyBorder="1" applyAlignment="1" applyProtection="1">
      <alignment vertical="center"/>
      <protection locked="0"/>
    </xf>
    <xf numFmtId="3" fontId="3" fillId="7" borderId="59" xfId="0" applyNumberFormat="1" applyFont="1" applyFill="1" applyBorder="1" applyAlignment="1" applyProtection="1">
      <alignment horizontal="center" vertical="center"/>
      <protection locked="0"/>
    </xf>
    <xf numFmtId="10" fontId="2" fillId="0" borderId="59" xfId="0" applyNumberFormat="1" applyFont="1" applyFill="1" applyBorder="1" applyAlignment="1" applyProtection="1">
      <alignment vertical="center"/>
      <protection locked="0"/>
    </xf>
    <xf numFmtId="0" fontId="2" fillId="0" borderId="46" xfId="0" applyFont="1" applyFill="1" applyBorder="1" applyAlignment="1" applyProtection="1">
      <alignment vertical="center"/>
      <protection locked="0"/>
    </xf>
    <xf numFmtId="0" fontId="2" fillId="0" borderId="60" xfId="0" applyFont="1" applyFill="1" applyBorder="1" applyAlignment="1" applyProtection="1">
      <alignment vertical="center"/>
      <protection locked="0"/>
    </xf>
    <xf numFmtId="3" fontId="3" fillId="7" borderId="60" xfId="0" applyNumberFormat="1" applyFont="1" applyFill="1" applyBorder="1" applyAlignment="1" applyProtection="1">
      <alignment horizontal="center" vertical="center"/>
      <protection locked="0"/>
    </xf>
    <xf numFmtId="164" fontId="3" fillId="7" borderId="42" xfId="0" applyNumberFormat="1" applyFont="1" applyFill="1" applyBorder="1" applyAlignment="1" applyProtection="1">
      <alignment horizontal="right" vertical="center"/>
      <protection locked="0"/>
    </xf>
    <xf numFmtId="0" fontId="2" fillId="0" borderId="30" xfId="0" applyFont="1" applyFill="1" applyBorder="1" applyAlignment="1" applyProtection="1">
      <alignment vertical="center"/>
      <protection locked="0"/>
    </xf>
    <xf numFmtId="164" fontId="3" fillId="7" borderId="34" xfId="0" applyNumberFormat="1" applyFont="1" applyFill="1" applyBorder="1" applyAlignment="1" applyProtection="1">
      <alignment horizontal="right" vertical="center"/>
      <protection locked="0"/>
    </xf>
    <xf numFmtId="3" fontId="3" fillId="7" borderId="61" xfId="0" applyNumberFormat="1" applyFont="1" applyFill="1" applyBorder="1" applyAlignment="1" applyProtection="1">
      <alignment horizontal="center" vertical="center"/>
      <protection locked="0"/>
    </xf>
    <xf numFmtId="164" fontId="3" fillId="7" borderId="38" xfId="0" applyNumberFormat="1" applyFont="1" applyFill="1" applyBorder="1" applyAlignment="1" applyProtection="1">
      <alignment horizontal="right" vertical="center"/>
      <protection locked="0"/>
    </xf>
    <xf numFmtId="0" fontId="2" fillId="0" borderId="62" xfId="0" applyFont="1" applyFill="1" applyBorder="1" applyAlignment="1" applyProtection="1">
      <alignment vertical="center"/>
      <protection locked="0"/>
    </xf>
    <xf numFmtId="10" fontId="2" fillId="0" borderId="63" xfId="0" applyNumberFormat="1" applyFont="1" applyFill="1" applyBorder="1" applyAlignment="1" applyProtection="1">
      <alignment vertical="center"/>
      <protection locked="0"/>
    </xf>
    <xf numFmtId="3" fontId="3" fillId="7" borderId="63" xfId="0" applyNumberFormat="1" applyFont="1" applyFill="1" applyBorder="1" applyAlignment="1" applyProtection="1">
      <alignment horizontal="center" vertical="center"/>
      <protection locked="0"/>
    </xf>
    <xf numFmtId="164" fontId="3" fillId="7" borderId="64" xfId="0" applyNumberFormat="1" applyFont="1" applyFill="1" applyBorder="1" applyAlignment="1" applyProtection="1">
      <alignment horizontal="right" vertical="center"/>
      <protection locked="0"/>
    </xf>
    <xf numFmtId="10" fontId="2" fillId="3" borderId="59" xfId="0" applyNumberFormat="1" applyFont="1" applyFill="1" applyBorder="1" applyAlignment="1" applyProtection="1">
      <alignment vertical="center"/>
      <protection locked="0"/>
    </xf>
    <xf numFmtId="0" fontId="2" fillId="3" borderId="59" xfId="0" applyFont="1" applyFill="1" applyBorder="1" applyAlignment="1" applyProtection="1">
      <alignment horizontal="center" vertical="center"/>
      <protection locked="0"/>
    </xf>
    <xf numFmtId="7" fontId="2" fillId="3" borderId="59" xfId="0" applyNumberFormat="1" applyFont="1" applyFill="1" applyBorder="1" applyAlignment="1" applyProtection="1">
      <alignment horizontal="right" vertical="center"/>
      <protection locked="0"/>
    </xf>
    <xf numFmtId="5" fontId="2" fillId="0" borderId="59" xfId="0" applyNumberFormat="1" applyFont="1" applyFill="1" applyBorder="1" applyAlignment="1" applyProtection="1">
      <alignment horizontal="right" vertical="center"/>
      <protection locked="0"/>
    </xf>
    <xf numFmtId="5" fontId="2" fillId="0" borderId="59" xfId="0" applyNumberFormat="1" applyFont="1" applyFill="1" applyBorder="1" applyAlignment="1" applyProtection="1">
      <alignment horizontal="center" vertical="center"/>
      <protection locked="0"/>
    </xf>
    <xf numFmtId="0" fontId="2" fillId="0" borderId="59" xfId="0" applyFont="1" applyFill="1" applyBorder="1" applyAlignment="1" applyProtection="1">
      <alignment horizontal="center"/>
      <protection locked="0"/>
    </xf>
    <xf numFmtId="164" fontId="2" fillId="0" borderId="59" xfId="0" applyNumberFormat="1" applyFont="1" applyFill="1" applyBorder="1" applyAlignment="1" applyProtection="1">
      <alignment horizontal="right"/>
      <protection locked="0"/>
    </xf>
    <xf numFmtId="164" fontId="2" fillId="0" borderId="59" xfId="0" applyNumberFormat="1" applyFont="1" applyFill="1" applyBorder="1" applyProtection="1">
      <protection locked="0"/>
    </xf>
    <xf numFmtId="10" fontId="2" fillId="0" borderId="59" xfId="0" applyNumberFormat="1" applyFont="1" applyFill="1" applyBorder="1" applyAlignment="1" applyProtection="1">
      <alignment horizontal="right"/>
      <protection locked="0"/>
    </xf>
    <xf numFmtId="0" fontId="2" fillId="0" borderId="59" xfId="0" applyFont="1" applyFill="1" applyBorder="1" applyProtection="1">
      <protection locked="0"/>
    </xf>
    <xf numFmtId="164" fontId="2" fillId="0" borderId="59" xfId="0" applyNumberFormat="1" applyFont="1" applyFill="1" applyBorder="1" applyAlignment="1" applyProtection="1">
      <alignment horizontal="center"/>
      <protection locked="0"/>
    </xf>
    <xf numFmtId="10" fontId="2" fillId="0" borderId="59" xfId="0" applyNumberFormat="1" applyFont="1" applyFill="1" applyBorder="1" applyProtection="1">
      <protection locked="0"/>
    </xf>
    <xf numFmtId="0" fontId="3" fillId="0" borderId="60" xfId="0" applyFont="1" applyFill="1" applyBorder="1" applyAlignment="1" applyProtection="1">
      <alignment vertical="center"/>
      <protection locked="0"/>
    </xf>
    <xf numFmtId="0" fontId="2" fillId="3" borderId="30" xfId="0" applyFont="1" applyFill="1" applyBorder="1" applyAlignment="1" applyProtection="1">
      <alignment vertical="center"/>
      <protection locked="0"/>
    </xf>
    <xf numFmtId="0" fontId="2" fillId="0" borderId="30" xfId="0" applyFont="1" applyFill="1" applyBorder="1" applyAlignment="1" applyProtection="1">
      <protection locked="0"/>
    </xf>
    <xf numFmtId="0" fontId="2" fillId="0" borderId="30" xfId="0" applyFont="1" applyFill="1" applyBorder="1" applyProtection="1">
      <protection locked="0"/>
    </xf>
    <xf numFmtId="0" fontId="3" fillId="0" borderId="30" xfId="0" applyFont="1" applyFill="1" applyBorder="1" applyProtection="1">
      <protection locked="0"/>
    </xf>
    <xf numFmtId="0" fontId="2" fillId="0" borderId="62" xfId="0" applyFont="1" applyFill="1" applyBorder="1" applyProtection="1">
      <protection locked="0"/>
    </xf>
    <xf numFmtId="0" fontId="2" fillId="0" borderId="63" xfId="0" applyFont="1" applyFill="1" applyBorder="1" applyProtection="1">
      <protection locked="0"/>
    </xf>
    <xf numFmtId="164" fontId="2" fillId="0" borderId="63" xfId="0" applyNumberFormat="1" applyFont="1" applyFill="1" applyBorder="1" applyProtection="1">
      <protection locked="0"/>
    </xf>
    <xf numFmtId="2" fontId="2" fillId="0" borderId="63" xfId="0" applyNumberFormat="1" applyFont="1" applyFill="1" applyBorder="1" applyProtection="1">
      <protection locked="0"/>
    </xf>
    <xf numFmtId="0" fontId="2" fillId="0" borderId="46" xfId="0" applyFont="1" applyFill="1" applyBorder="1" applyProtection="1">
      <protection locked="0"/>
    </xf>
    <xf numFmtId="167" fontId="2" fillId="0" borderId="60" xfId="0" applyNumberFormat="1" applyFont="1" applyBorder="1"/>
    <xf numFmtId="0" fontId="2" fillId="0" borderId="60" xfId="0" applyFont="1" applyBorder="1"/>
    <xf numFmtId="164" fontId="2" fillId="0" borderId="60" xfId="0" applyNumberFormat="1" applyFont="1" applyBorder="1"/>
    <xf numFmtId="0" fontId="3" fillId="0" borderId="37" xfId="0" applyFont="1" applyBorder="1"/>
    <xf numFmtId="9" fontId="2" fillId="0" borderId="61" xfId="0" applyNumberFormat="1" applyFont="1" applyBorder="1"/>
    <xf numFmtId="0" fontId="2" fillId="0" borderId="61" xfId="0" applyFont="1" applyBorder="1"/>
    <xf numFmtId="164" fontId="2" fillId="0" borderId="61" xfId="0" applyNumberFormat="1" applyFont="1" applyBorder="1"/>
    <xf numFmtId="164" fontId="1" fillId="0" borderId="0" xfId="0" applyNumberFormat="1" applyFont="1"/>
    <xf numFmtId="0" fontId="2" fillId="0" borderId="0" xfId="0" applyFont="1" applyFill="1" applyBorder="1" applyAlignment="1" applyProtection="1">
      <alignment vertical="center" wrapText="1"/>
      <protection locked="0"/>
    </xf>
    <xf numFmtId="164" fontId="2" fillId="0" borderId="59" xfId="2" applyNumberFormat="1" applyFont="1" applyFill="1" applyBorder="1" applyAlignment="1" applyProtection="1">
      <alignment horizontal="right"/>
      <protection locked="0"/>
    </xf>
    <xf numFmtId="164" fontId="2" fillId="0" borderId="59" xfId="2" applyNumberFormat="1" applyFont="1" applyFill="1" applyBorder="1" applyAlignment="1" applyProtection="1">
      <alignment horizontal="center"/>
      <protection locked="0"/>
    </xf>
    <xf numFmtId="0" fontId="2" fillId="8" borderId="16" xfId="0" applyFont="1" applyFill="1" applyBorder="1" applyAlignment="1" applyProtection="1">
      <alignment vertical="center" wrapText="1"/>
      <protection locked="0"/>
    </xf>
    <xf numFmtId="7" fontId="2" fillId="8" borderId="55" xfId="0" applyNumberFormat="1" applyFont="1" applyFill="1" applyBorder="1" applyAlignment="1" applyProtection="1">
      <alignment vertical="center"/>
      <protection locked="0"/>
    </xf>
    <xf numFmtId="1" fontId="2" fillId="8" borderId="44" xfId="0" applyNumberFormat="1" applyFont="1" applyFill="1" applyBorder="1" applyAlignment="1" applyProtection="1">
      <alignment horizontal="center" vertical="center"/>
      <protection locked="0"/>
    </xf>
    <xf numFmtId="7" fontId="2" fillId="8" borderId="18" xfId="0" applyNumberFormat="1" applyFont="1" applyFill="1" applyBorder="1" applyAlignment="1" applyProtection="1">
      <alignment horizontal="right" vertical="center"/>
      <protection locked="0"/>
    </xf>
    <xf numFmtId="0" fontId="2" fillId="8" borderId="44" xfId="0" applyFont="1" applyFill="1" applyBorder="1" applyAlignment="1" applyProtection="1">
      <alignment horizontal="center" vertical="center"/>
      <protection locked="0"/>
    </xf>
    <xf numFmtId="164" fontId="1" fillId="8" borderId="0" xfId="0" applyNumberFormat="1" applyFont="1" applyFill="1"/>
    <xf numFmtId="49" fontId="2" fillId="0" borderId="8" xfId="0" applyNumberFormat="1" applyFont="1" applyFill="1" applyBorder="1" applyAlignment="1" applyProtection="1">
      <alignment vertical="center" wrapText="1"/>
      <protection locked="0"/>
    </xf>
    <xf numFmtId="49" fontId="2" fillId="0" borderId="6" xfId="0" applyNumberFormat="1" applyFont="1" applyFill="1" applyBorder="1" applyAlignment="1" applyProtection="1">
      <alignment vertical="center" wrapText="1"/>
      <protection locked="0"/>
    </xf>
    <xf numFmtId="49" fontId="2" fillId="0" borderId="17" xfId="0" applyNumberFormat="1" applyFont="1" applyFill="1" applyBorder="1" applyAlignment="1" applyProtection="1">
      <alignment vertical="center" wrapText="1"/>
      <protection locked="0"/>
    </xf>
    <xf numFmtId="49" fontId="2" fillId="0" borderId="55" xfId="0" applyNumberFormat="1" applyFont="1" applyFill="1" applyBorder="1" applyAlignment="1" applyProtection="1">
      <alignment vertical="center" wrapText="1"/>
      <protection locked="0"/>
    </xf>
    <xf numFmtId="44" fontId="2" fillId="0" borderId="59" xfId="2" applyNumberFormat="1" applyFont="1" applyFill="1" applyBorder="1" applyAlignment="1" applyProtection="1">
      <alignment vertical="center" wrapText="1"/>
      <protection locked="0"/>
    </xf>
    <xf numFmtId="4" fontId="0" fillId="0" borderId="0" xfId="0" applyNumberFormat="1"/>
    <xf numFmtId="9" fontId="0" fillId="0" borderId="0" xfId="0" applyNumberFormat="1"/>
    <xf numFmtId="164" fontId="0" fillId="0" borderId="0" xfId="0" applyNumberFormat="1" applyAlignment="1">
      <alignment horizontal="left"/>
    </xf>
    <xf numFmtId="44" fontId="2" fillId="0" borderId="0" xfId="2" applyFont="1"/>
    <xf numFmtId="10" fontId="0" fillId="0" borderId="0" xfId="3" applyNumberFormat="1" applyFont="1"/>
    <xf numFmtId="9" fontId="0" fillId="0" borderId="0" xfId="3" applyNumberFormat="1" applyFont="1"/>
    <xf numFmtId="44" fontId="0" fillId="0" borderId="0" xfId="0" applyNumberFormat="1"/>
    <xf numFmtId="164" fontId="0" fillId="0" borderId="0" xfId="0" applyNumberFormat="1" applyAlignment="1">
      <alignment wrapText="1"/>
    </xf>
    <xf numFmtId="0" fontId="7" fillId="0" borderId="0" xfId="0" applyFont="1"/>
    <xf numFmtId="44" fontId="7" fillId="0" borderId="0" xfId="2" applyFont="1"/>
    <xf numFmtId="44" fontId="7" fillId="0" borderId="66" xfId="2" applyFont="1" applyBorder="1"/>
    <xf numFmtId="10" fontId="7" fillId="0" borderId="0" xfId="3" applyNumberFormat="1" applyFont="1"/>
    <xf numFmtId="9" fontId="7" fillId="0" borderId="0" xfId="3" applyNumberFormat="1" applyFont="1"/>
    <xf numFmtId="44" fontId="7" fillId="0" borderId="0" xfId="0" applyNumberFormat="1" applyFont="1"/>
    <xf numFmtId="4" fontId="7" fillId="0" borderId="0" xfId="0" applyNumberFormat="1" applyFont="1"/>
    <xf numFmtId="4" fontId="7" fillId="0" borderId="66" xfId="0" applyNumberFormat="1" applyFont="1" applyBorder="1"/>
    <xf numFmtId="44" fontId="7" fillId="0" borderId="0" xfId="2" applyFont="1" applyBorder="1"/>
    <xf numFmtId="9" fontId="7" fillId="0" borderId="0" xfId="0" applyNumberFormat="1" applyFont="1"/>
    <xf numFmtId="7" fontId="0" fillId="0" borderId="0" xfId="0" applyNumberFormat="1" applyAlignment="1">
      <alignment wrapText="1"/>
    </xf>
    <xf numFmtId="7" fontId="0" fillId="8" borderId="0" xfId="0" applyNumberFormat="1" applyFill="1" applyAlignment="1">
      <alignment wrapText="1"/>
    </xf>
    <xf numFmtId="43" fontId="2" fillId="0" borderId="57" xfId="0" applyNumberFormat="1" applyFont="1" applyBorder="1" applyAlignment="1">
      <alignment vertical="center"/>
    </xf>
    <xf numFmtId="7" fontId="2" fillId="0" borderId="20" xfId="0" applyNumberFormat="1" applyFont="1" applyFill="1" applyBorder="1" applyAlignment="1" applyProtection="1">
      <alignment horizontal="right" vertical="center"/>
      <protection locked="0"/>
    </xf>
    <xf numFmtId="0" fontId="8" fillId="0" borderId="0" xfId="0" applyFont="1" applyAlignment="1">
      <alignment horizontal="center"/>
    </xf>
    <xf numFmtId="14" fontId="2" fillId="0" borderId="48" xfId="0" applyNumberFormat="1" applyFont="1" applyFill="1" applyBorder="1" applyAlignment="1" applyProtection="1">
      <alignment horizontal="center" vertical="center"/>
      <protection locked="0"/>
    </xf>
    <xf numFmtId="0" fontId="2" fillId="0" borderId="10" xfId="0" applyFont="1" applyFill="1" applyBorder="1" applyAlignment="1" applyProtection="1">
      <alignment horizontal="center" vertical="center"/>
      <protection locked="0"/>
    </xf>
    <xf numFmtId="49" fontId="2" fillId="0" borderId="2" xfId="0" applyNumberFormat="1" applyFont="1" applyFill="1" applyBorder="1" applyAlignment="1" applyProtection="1">
      <alignment horizontal="center" vertical="center" wrapText="1"/>
      <protection locked="0"/>
    </xf>
    <xf numFmtId="49" fontId="2" fillId="0" borderId="3" xfId="0" applyNumberFormat="1" applyFont="1" applyFill="1" applyBorder="1" applyAlignment="1" applyProtection="1">
      <alignment horizontal="center" vertical="center" wrapText="1"/>
      <protection locked="0"/>
    </xf>
    <xf numFmtId="49" fontId="2" fillId="0" borderId="8" xfId="0" applyNumberFormat="1" applyFont="1" applyFill="1" applyBorder="1" applyAlignment="1" applyProtection="1">
      <alignment horizontal="center" vertical="center" wrapText="1"/>
      <protection locked="0"/>
    </xf>
    <xf numFmtId="49" fontId="2" fillId="0" borderId="6" xfId="0" applyNumberFormat="1" applyFont="1" applyFill="1" applyBorder="1" applyAlignment="1" applyProtection="1">
      <alignment horizontal="center" vertical="center" wrapText="1"/>
      <protection locked="0"/>
    </xf>
    <xf numFmtId="0" fontId="2" fillId="0" borderId="48" xfId="0" applyFont="1" applyFill="1" applyBorder="1" applyAlignment="1" applyProtection="1">
      <alignment horizontal="center" vertical="center"/>
      <protection locked="0"/>
    </xf>
    <xf numFmtId="7" fontId="3" fillId="2" borderId="1" xfId="0" applyNumberFormat="1" applyFont="1" applyFill="1" applyBorder="1" applyAlignment="1" applyProtection="1">
      <alignment horizontal="center" vertical="center" wrapText="1"/>
      <protection locked="0"/>
    </xf>
    <xf numFmtId="7" fontId="3" fillId="2" borderId="7" xfId="0" applyNumberFormat="1" applyFont="1" applyFill="1" applyBorder="1" applyAlignment="1" applyProtection="1">
      <alignment horizontal="center" vertical="center" wrapText="1"/>
      <protection locked="0"/>
    </xf>
    <xf numFmtId="0" fontId="6" fillId="0" borderId="0" xfId="0" applyFont="1" applyAlignment="1">
      <alignment horizontal="center"/>
    </xf>
  </cellXfs>
  <cellStyles count="4">
    <cellStyle name="Comma" xfId="1" builtinId="3"/>
    <cellStyle name="Currency" xfId="2" builtinId="4"/>
    <cellStyle name="Normal" xfId="0" builtinId="0"/>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K156"/>
  <sheetViews>
    <sheetView tabSelected="1" zoomScale="90" zoomScaleNormal="90" workbookViewId="0">
      <selection activeCell="A6" sqref="A6"/>
    </sheetView>
  </sheetViews>
  <sheetFormatPr defaultRowHeight="12.75" x14ac:dyDescent="0.2"/>
  <cols>
    <col min="1" max="1" width="79.42578125" customWidth="1"/>
    <col min="2" max="2" width="16.42578125" customWidth="1"/>
    <col min="3" max="3" width="7.5703125" customWidth="1"/>
    <col min="4" max="4" width="17.42578125" customWidth="1"/>
    <col min="5" max="5" width="6.7109375" customWidth="1"/>
    <col min="6" max="6" width="13.7109375" customWidth="1"/>
    <col min="7" max="7" width="7.7109375" customWidth="1"/>
    <col min="8" max="8" width="13.28515625" customWidth="1"/>
    <col min="9" max="9" width="11.28515625" hidden="1" customWidth="1"/>
    <col min="10" max="10" width="13.140625" hidden="1" customWidth="1"/>
    <col min="11" max="11" width="9.5703125" hidden="1" customWidth="1"/>
    <col min="12" max="12" width="13.7109375" hidden="1" customWidth="1"/>
    <col min="13" max="13" width="9.5703125" hidden="1" customWidth="1"/>
    <col min="14" max="14" width="13.7109375" hidden="1" customWidth="1"/>
    <col min="15" max="15" width="9.5703125" hidden="1" customWidth="1"/>
    <col min="16" max="16" width="13.7109375" hidden="1" customWidth="1"/>
    <col min="17" max="17" width="9.5703125" hidden="1" customWidth="1"/>
    <col min="18" max="18" width="13.7109375" hidden="1" customWidth="1"/>
    <col min="19" max="19" width="9.5703125" hidden="1" customWidth="1"/>
    <col min="20" max="20" width="13.7109375" hidden="1" customWidth="1"/>
    <col min="21" max="21" width="9.5703125" hidden="1" customWidth="1"/>
    <col min="22" max="22" width="13.7109375" hidden="1" customWidth="1"/>
    <col min="23" max="23" width="9.5703125" hidden="1" customWidth="1"/>
    <col min="24" max="24" width="12.85546875" hidden="1" customWidth="1"/>
    <col min="25" max="25" width="10.85546875" hidden="1" customWidth="1"/>
    <col min="26" max="26" width="15.28515625" hidden="1" customWidth="1"/>
    <col min="27" max="27" width="7.7109375" hidden="1" customWidth="1"/>
    <col min="28" max="28" width="13.7109375" hidden="1" customWidth="1"/>
    <col min="29" max="29" width="7.7109375" customWidth="1"/>
    <col min="30" max="30" width="14.5703125" customWidth="1"/>
    <col min="31" max="31" width="9.5703125" customWidth="1"/>
    <col min="32" max="32" width="21.140625" customWidth="1"/>
    <col min="33" max="33" width="4" customWidth="1"/>
    <col min="34" max="34" width="122.5703125" customWidth="1"/>
    <col min="35" max="35" width="16.42578125" style="150" customWidth="1"/>
  </cols>
  <sheetData>
    <row r="1" spans="1:34" ht="20.25" customHeight="1" thickBot="1" x14ac:dyDescent="0.25">
      <c r="A1" s="5"/>
      <c r="B1" s="5"/>
      <c r="C1" s="5"/>
      <c r="D1" s="5"/>
      <c r="E1" s="5"/>
      <c r="F1" s="5"/>
      <c r="G1" s="6"/>
      <c r="H1" s="5"/>
      <c r="I1" s="5"/>
      <c r="J1" s="5"/>
      <c r="K1" s="5"/>
      <c r="L1" s="5"/>
      <c r="M1" s="5"/>
      <c r="N1" s="5"/>
      <c r="O1" s="5"/>
      <c r="P1" s="5"/>
      <c r="Q1" s="5"/>
      <c r="R1" s="5"/>
      <c r="S1" s="5"/>
      <c r="T1" s="5"/>
      <c r="U1" s="5"/>
      <c r="V1" s="5"/>
      <c r="W1" s="5"/>
      <c r="X1" s="5"/>
      <c r="Y1" s="5"/>
      <c r="Z1" s="5"/>
      <c r="AA1" s="6"/>
      <c r="AB1" s="5"/>
      <c r="AC1" s="6"/>
      <c r="AD1" s="5"/>
      <c r="AE1" s="5"/>
      <c r="AF1" s="5"/>
    </row>
    <row r="2" spans="1:34" ht="13.5" customHeight="1" x14ac:dyDescent="0.2">
      <c r="A2" s="251" t="s">
        <v>114</v>
      </c>
      <c r="B2" s="7"/>
      <c r="C2" s="246" t="s">
        <v>53</v>
      </c>
      <c r="D2" s="247"/>
      <c r="E2" s="246" t="s">
        <v>54</v>
      </c>
      <c r="F2" s="247"/>
      <c r="G2" s="246" t="s">
        <v>55</v>
      </c>
      <c r="H2" s="247"/>
      <c r="I2" s="246" t="s">
        <v>24</v>
      </c>
      <c r="J2" s="247"/>
      <c r="K2" s="246" t="s">
        <v>25</v>
      </c>
      <c r="L2" s="247"/>
      <c r="M2" s="246" t="s">
        <v>26</v>
      </c>
      <c r="N2" s="247"/>
      <c r="O2" s="246" t="s">
        <v>27</v>
      </c>
      <c r="P2" s="247"/>
      <c r="Q2" s="246" t="s">
        <v>28</v>
      </c>
      <c r="R2" s="247"/>
      <c r="S2" s="246" t="s">
        <v>29</v>
      </c>
      <c r="T2" s="247"/>
      <c r="U2" s="246" t="s">
        <v>30</v>
      </c>
      <c r="V2" s="247"/>
      <c r="W2" s="246" t="s">
        <v>31</v>
      </c>
      <c r="X2" s="247"/>
      <c r="Y2" s="246" t="s">
        <v>23</v>
      </c>
      <c r="Z2" s="247"/>
      <c r="AA2" s="246" t="s">
        <v>57</v>
      </c>
      <c r="AB2" s="247"/>
      <c r="AC2" s="246" t="s">
        <v>59</v>
      </c>
      <c r="AD2" s="247"/>
      <c r="AE2" s="8"/>
      <c r="AF2" s="9"/>
    </row>
    <row r="3" spans="1:34" ht="45.75" customHeight="1" thickBot="1" x14ac:dyDescent="0.25">
      <c r="A3" s="252"/>
      <c r="B3" s="10" t="s">
        <v>0</v>
      </c>
      <c r="C3" s="248"/>
      <c r="D3" s="249"/>
      <c r="E3" s="248"/>
      <c r="F3" s="249"/>
      <c r="G3" s="248"/>
      <c r="H3" s="249"/>
      <c r="I3" s="248"/>
      <c r="J3" s="249"/>
      <c r="K3" s="248"/>
      <c r="L3" s="249"/>
      <c r="M3" s="248"/>
      <c r="N3" s="249"/>
      <c r="O3" s="248"/>
      <c r="P3" s="249"/>
      <c r="Q3" s="248"/>
      <c r="R3" s="249"/>
      <c r="S3" s="248"/>
      <c r="T3" s="249"/>
      <c r="U3" s="248"/>
      <c r="V3" s="249"/>
      <c r="W3" s="248"/>
      <c r="X3" s="249"/>
      <c r="Y3" s="248"/>
      <c r="Z3" s="249"/>
      <c r="AA3" s="248"/>
      <c r="AB3" s="249"/>
      <c r="AC3" s="248"/>
      <c r="AD3" s="249"/>
      <c r="AE3" s="11"/>
      <c r="AF3" s="12"/>
    </row>
    <row r="4" spans="1:34" ht="15" thickBot="1" x14ac:dyDescent="0.25">
      <c r="A4" s="13">
        <f>AF120</f>
        <v>185524.9327261367</v>
      </c>
      <c r="B4" s="10" t="s">
        <v>0</v>
      </c>
      <c r="C4" s="248"/>
      <c r="D4" s="249"/>
      <c r="E4" s="248"/>
      <c r="F4" s="249"/>
      <c r="G4" s="248"/>
      <c r="H4" s="249"/>
      <c r="I4" s="248"/>
      <c r="J4" s="249"/>
      <c r="K4" s="248"/>
      <c r="L4" s="249"/>
      <c r="M4" s="248"/>
      <c r="N4" s="249"/>
      <c r="O4" s="248"/>
      <c r="P4" s="249"/>
      <c r="Q4" s="248"/>
      <c r="R4" s="249"/>
      <c r="S4" s="248"/>
      <c r="T4" s="249"/>
      <c r="U4" s="248"/>
      <c r="V4" s="249"/>
      <c r="W4" s="248"/>
      <c r="X4" s="249"/>
      <c r="Y4" s="248"/>
      <c r="Z4" s="249"/>
      <c r="AA4" s="248"/>
      <c r="AB4" s="249"/>
      <c r="AC4" s="248"/>
      <c r="AD4" s="249"/>
      <c r="AE4" s="14" t="s">
        <v>1</v>
      </c>
      <c r="AF4" s="15"/>
    </row>
    <row r="5" spans="1:34" ht="21.75" customHeight="1" thickBot="1" x14ac:dyDescent="0.25">
      <c r="A5" s="16" t="s">
        <v>105</v>
      </c>
      <c r="B5" s="10" t="s">
        <v>0</v>
      </c>
      <c r="C5" s="248"/>
      <c r="D5" s="249"/>
      <c r="E5" s="248"/>
      <c r="F5" s="249"/>
      <c r="G5" s="248"/>
      <c r="H5" s="249"/>
      <c r="I5" s="248"/>
      <c r="J5" s="249"/>
      <c r="K5" s="248"/>
      <c r="L5" s="249"/>
      <c r="M5" s="248"/>
      <c r="N5" s="249"/>
      <c r="O5" s="248"/>
      <c r="P5" s="249"/>
      <c r="Q5" s="248"/>
      <c r="R5" s="249"/>
      <c r="S5" s="248"/>
      <c r="T5" s="249"/>
      <c r="U5" s="248"/>
      <c r="V5" s="249"/>
      <c r="W5" s="248"/>
      <c r="X5" s="249"/>
      <c r="Y5" s="248"/>
      <c r="Z5" s="249"/>
      <c r="AA5" s="248"/>
      <c r="AB5" s="249"/>
      <c r="AC5" s="248"/>
      <c r="AD5" s="249"/>
      <c r="AE5" s="14"/>
      <c r="AF5" s="15"/>
    </row>
    <row r="6" spans="1:34" ht="15" thickBot="1" x14ac:dyDescent="0.25">
      <c r="A6" s="17" t="s">
        <v>40</v>
      </c>
      <c r="B6" s="18" t="s">
        <v>0</v>
      </c>
      <c r="C6" s="244" t="s">
        <v>20</v>
      </c>
      <c r="D6" s="245"/>
      <c r="E6" s="244" t="s">
        <v>20</v>
      </c>
      <c r="F6" s="245"/>
      <c r="G6" s="244" t="s">
        <v>20</v>
      </c>
      <c r="H6" s="245"/>
      <c r="I6" s="244" t="s">
        <v>20</v>
      </c>
      <c r="J6" s="245"/>
      <c r="K6" s="244" t="s">
        <v>20</v>
      </c>
      <c r="L6" s="245"/>
      <c r="M6" s="250" t="s">
        <v>20</v>
      </c>
      <c r="N6" s="245"/>
      <c r="O6" s="250" t="s">
        <v>20</v>
      </c>
      <c r="P6" s="245"/>
      <c r="Q6" s="244" t="s">
        <v>20</v>
      </c>
      <c r="R6" s="245"/>
      <c r="S6" s="244" t="s">
        <v>20</v>
      </c>
      <c r="T6" s="245"/>
      <c r="U6" s="244" t="s">
        <v>20</v>
      </c>
      <c r="V6" s="245"/>
      <c r="W6" s="244" t="s">
        <v>20</v>
      </c>
      <c r="X6" s="245"/>
      <c r="Y6" s="244" t="s">
        <v>20</v>
      </c>
      <c r="Z6" s="245"/>
      <c r="AA6" s="244" t="s">
        <v>20</v>
      </c>
      <c r="AB6" s="245"/>
      <c r="AC6" s="244" t="s">
        <v>20</v>
      </c>
      <c r="AD6" s="245"/>
      <c r="AE6" s="19"/>
      <c r="AF6" s="20"/>
    </row>
    <row r="7" spans="1:34" ht="14.25" x14ac:dyDescent="0.2">
      <c r="A7" s="21" t="s">
        <v>2</v>
      </c>
      <c r="B7" s="21" t="s">
        <v>3</v>
      </c>
      <c r="C7" s="22"/>
      <c r="D7" s="23"/>
      <c r="E7" s="22"/>
      <c r="F7" s="23"/>
      <c r="G7" s="22"/>
      <c r="H7" s="23"/>
      <c r="I7" s="24"/>
      <c r="J7" s="25"/>
      <c r="K7" s="24"/>
      <c r="L7" s="25"/>
      <c r="M7" s="24"/>
      <c r="N7" s="25"/>
      <c r="O7" s="22"/>
      <c r="P7" s="23"/>
      <c r="Q7" s="22"/>
      <c r="R7" s="23"/>
      <c r="S7" s="22"/>
      <c r="T7" s="23"/>
      <c r="U7" s="22"/>
      <c r="V7" s="23"/>
      <c r="W7" s="22"/>
      <c r="X7" s="23"/>
      <c r="Y7" s="22"/>
      <c r="Z7" s="23"/>
      <c r="AA7" s="22"/>
      <c r="AB7" s="23"/>
      <c r="AC7" s="22"/>
      <c r="AD7" s="23"/>
      <c r="AE7" s="26"/>
      <c r="AF7" s="27"/>
    </row>
    <row r="8" spans="1:34" ht="21" thickBot="1" x14ac:dyDescent="0.35">
      <c r="A8" s="28"/>
      <c r="B8" s="29" t="s">
        <v>4</v>
      </c>
      <c r="C8" s="30" t="s">
        <v>5</v>
      </c>
      <c r="D8" s="31" t="s">
        <v>6</v>
      </c>
      <c r="E8" s="30" t="s">
        <v>5</v>
      </c>
      <c r="F8" s="31" t="s">
        <v>6</v>
      </c>
      <c r="G8" s="30" t="s">
        <v>5</v>
      </c>
      <c r="H8" s="31" t="s">
        <v>6</v>
      </c>
      <c r="I8" s="30" t="s">
        <v>5</v>
      </c>
      <c r="J8" s="31" t="s">
        <v>6</v>
      </c>
      <c r="K8" s="30" t="s">
        <v>5</v>
      </c>
      <c r="L8" s="31" t="s">
        <v>6</v>
      </c>
      <c r="M8" s="30" t="s">
        <v>5</v>
      </c>
      <c r="N8" s="31" t="s">
        <v>6</v>
      </c>
      <c r="O8" s="30" t="s">
        <v>5</v>
      </c>
      <c r="P8" s="31" t="s">
        <v>6</v>
      </c>
      <c r="Q8" s="30" t="s">
        <v>5</v>
      </c>
      <c r="R8" s="31" t="s">
        <v>6</v>
      </c>
      <c r="S8" s="30" t="s">
        <v>5</v>
      </c>
      <c r="T8" s="31" t="s">
        <v>6</v>
      </c>
      <c r="U8" s="30" t="s">
        <v>5</v>
      </c>
      <c r="V8" s="31" t="s">
        <v>6</v>
      </c>
      <c r="W8" s="30" t="s">
        <v>5</v>
      </c>
      <c r="X8" s="31" t="s">
        <v>6</v>
      </c>
      <c r="Y8" s="30" t="s">
        <v>5</v>
      </c>
      <c r="Z8" s="31" t="s">
        <v>6</v>
      </c>
      <c r="AA8" s="30" t="s">
        <v>5</v>
      </c>
      <c r="AB8" s="31" t="s">
        <v>6</v>
      </c>
      <c r="AC8" s="30" t="s">
        <v>5</v>
      </c>
      <c r="AD8" s="31" t="s">
        <v>6</v>
      </c>
      <c r="AE8" s="32" t="s">
        <v>5</v>
      </c>
      <c r="AF8" s="33" t="s">
        <v>6</v>
      </c>
      <c r="AH8" s="243" t="s">
        <v>106</v>
      </c>
    </row>
    <row r="9" spans="1:34" ht="15" x14ac:dyDescent="0.2">
      <c r="A9" s="34" t="s">
        <v>113</v>
      </c>
      <c r="B9" s="35">
        <v>39</v>
      </c>
      <c r="C9" s="36">
        <v>360</v>
      </c>
      <c r="D9" s="37">
        <f>C9*$B$9</f>
        <v>14040</v>
      </c>
      <c r="E9" s="36">
        <v>2</v>
      </c>
      <c r="F9" s="37">
        <f>E9*$B$9</f>
        <v>78</v>
      </c>
      <c r="G9" s="36">
        <v>2</v>
      </c>
      <c r="H9" s="37">
        <f>G9*$B$9</f>
        <v>78</v>
      </c>
      <c r="I9" s="36">
        <v>0</v>
      </c>
      <c r="J9" s="37">
        <f>I9*$B$9</f>
        <v>0</v>
      </c>
      <c r="K9" s="36">
        <v>0</v>
      </c>
      <c r="L9" s="37">
        <f>K9*$B$9</f>
        <v>0</v>
      </c>
      <c r="M9" s="36">
        <v>0</v>
      </c>
      <c r="N9" s="37">
        <f>M9*$B$9</f>
        <v>0</v>
      </c>
      <c r="O9" s="36">
        <v>0</v>
      </c>
      <c r="P9" s="37">
        <f>O9*$B$9</f>
        <v>0</v>
      </c>
      <c r="Q9" s="36">
        <v>0</v>
      </c>
      <c r="R9" s="37">
        <f>Q9*$B$9</f>
        <v>0</v>
      </c>
      <c r="S9" s="36">
        <v>0</v>
      </c>
      <c r="T9" s="37">
        <f>S9*$B$9</f>
        <v>0</v>
      </c>
      <c r="U9" s="36">
        <v>0</v>
      </c>
      <c r="V9" s="37">
        <f>U9*$B$9</f>
        <v>0</v>
      </c>
      <c r="W9" s="36">
        <v>0</v>
      </c>
      <c r="X9" s="37">
        <f>W9*$B$9</f>
        <v>0</v>
      </c>
      <c r="Y9" s="36">
        <v>0</v>
      </c>
      <c r="Z9" s="37">
        <f>Y9*$B$9</f>
        <v>0</v>
      </c>
      <c r="AA9" s="36">
        <v>0</v>
      </c>
      <c r="AB9" s="37">
        <f>AA9*$B$9</f>
        <v>0</v>
      </c>
      <c r="AC9" s="36">
        <v>2</v>
      </c>
      <c r="AD9" s="37">
        <f>AC9*$B$9</f>
        <v>78</v>
      </c>
      <c r="AE9" s="38">
        <f>AC9+AA9+G9+E9+C9</f>
        <v>366</v>
      </c>
      <c r="AF9" s="126">
        <f t="shared" ref="AF9:AF13" si="0">D9+F9+H9+AD9</f>
        <v>14274</v>
      </c>
      <c r="AH9" s="128" t="s">
        <v>91</v>
      </c>
    </row>
    <row r="10" spans="1:34" ht="15" x14ac:dyDescent="0.2">
      <c r="A10" s="34" t="s">
        <v>42</v>
      </c>
      <c r="B10" s="35">
        <v>26.92</v>
      </c>
      <c r="C10" s="36">
        <v>0</v>
      </c>
      <c r="D10" s="37">
        <f>+C10*$B$10</f>
        <v>0</v>
      </c>
      <c r="E10" s="36">
        <v>0</v>
      </c>
      <c r="F10" s="37">
        <f>+E10*$B$10</f>
        <v>0</v>
      </c>
      <c r="G10" s="36">
        <v>0</v>
      </c>
      <c r="H10" s="37">
        <f>+G10*$B$10</f>
        <v>0</v>
      </c>
      <c r="I10" s="36">
        <v>0</v>
      </c>
      <c r="J10" s="37">
        <f>+I10*$B$10</f>
        <v>0</v>
      </c>
      <c r="K10" s="36">
        <v>0</v>
      </c>
      <c r="L10" s="37">
        <f>+K10*$B$10</f>
        <v>0</v>
      </c>
      <c r="M10" s="36">
        <v>0</v>
      </c>
      <c r="N10" s="37">
        <f>+M10*$B$10</f>
        <v>0</v>
      </c>
      <c r="O10" s="36">
        <v>0</v>
      </c>
      <c r="P10" s="37">
        <f>+O10*$B$10</f>
        <v>0</v>
      </c>
      <c r="Q10" s="36">
        <v>0</v>
      </c>
      <c r="R10" s="37">
        <f>+Q10*$B$10</f>
        <v>0</v>
      </c>
      <c r="S10" s="36">
        <v>0</v>
      </c>
      <c r="T10" s="37">
        <f>+S10*$B$10</f>
        <v>0</v>
      </c>
      <c r="U10" s="36">
        <v>0</v>
      </c>
      <c r="V10" s="37">
        <f>+U10*$B$10</f>
        <v>0</v>
      </c>
      <c r="W10" s="36">
        <v>0</v>
      </c>
      <c r="X10" s="37">
        <f>+W10*$B$10</f>
        <v>0</v>
      </c>
      <c r="Y10" s="36">
        <v>0</v>
      </c>
      <c r="Z10" s="37">
        <f>+Y10*$B$10</f>
        <v>0</v>
      </c>
      <c r="AA10" s="36">
        <v>0</v>
      </c>
      <c r="AB10" s="37">
        <f>+AA10*$B$10</f>
        <v>0</v>
      </c>
      <c r="AC10" s="36">
        <v>0</v>
      </c>
      <c r="AD10" s="37">
        <f>+AC10*$B$10</f>
        <v>0</v>
      </c>
      <c r="AE10" s="38">
        <f t="shared" ref="AE10:AE18" si="1">AC10+AA10+G10+E10+C10</f>
        <v>0</v>
      </c>
      <c r="AF10" s="126">
        <f t="shared" si="0"/>
        <v>0</v>
      </c>
      <c r="AH10" s="128"/>
    </row>
    <row r="11" spans="1:34" ht="25.5" x14ac:dyDescent="0.2">
      <c r="A11" s="39" t="s">
        <v>43</v>
      </c>
      <c r="B11" s="242">
        <v>20.46</v>
      </c>
      <c r="C11" s="36">
        <v>160</v>
      </c>
      <c r="D11" s="37">
        <f>C11*$B$11</f>
        <v>3273.6000000000004</v>
      </c>
      <c r="E11" s="36">
        <v>2</v>
      </c>
      <c r="F11" s="37">
        <f>E11*$B$11</f>
        <v>40.92</v>
      </c>
      <c r="G11" s="36">
        <v>2</v>
      </c>
      <c r="H11" s="37">
        <f>G11*$B$11</f>
        <v>40.92</v>
      </c>
      <c r="I11" s="36">
        <v>0</v>
      </c>
      <c r="J11" s="37">
        <f>I11*$B$11</f>
        <v>0</v>
      </c>
      <c r="K11" s="36">
        <v>0</v>
      </c>
      <c r="L11" s="37">
        <f>K11*$B$11</f>
        <v>0</v>
      </c>
      <c r="M11" s="36">
        <v>0</v>
      </c>
      <c r="N11" s="37">
        <f>M11*$B$11</f>
        <v>0</v>
      </c>
      <c r="O11" s="36">
        <v>0</v>
      </c>
      <c r="P11" s="37">
        <f>O11*$B$11</f>
        <v>0</v>
      </c>
      <c r="Q11" s="36">
        <v>0</v>
      </c>
      <c r="R11" s="37">
        <f>Q11*$B$11</f>
        <v>0</v>
      </c>
      <c r="S11" s="36">
        <v>0</v>
      </c>
      <c r="T11" s="37">
        <f>S11*$B$11</f>
        <v>0</v>
      </c>
      <c r="U11" s="36">
        <v>0</v>
      </c>
      <c r="V11" s="37">
        <f>U11*$B$11</f>
        <v>0</v>
      </c>
      <c r="W11" s="36">
        <v>0</v>
      </c>
      <c r="X11" s="37">
        <f>W11*$B$11</f>
        <v>0</v>
      </c>
      <c r="Y11" s="36">
        <v>0</v>
      </c>
      <c r="Z11" s="37">
        <f>Y11*$B$11</f>
        <v>0</v>
      </c>
      <c r="AA11" s="36">
        <v>0</v>
      </c>
      <c r="AB11" s="37">
        <f>AA11*$B$11</f>
        <v>0</v>
      </c>
      <c r="AC11" s="36">
        <v>2</v>
      </c>
      <c r="AD11" s="37">
        <f>AC11*$B$11</f>
        <v>40.92</v>
      </c>
      <c r="AE11" s="38">
        <f t="shared" si="1"/>
        <v>166</v>
      </c>
      <c r="AF11" s="126">
        <f t="shared" si="0"/>
        <v>3396.3600000000006</v>
      </c>
      <c r="AH11" s="239" t="s">
        <v>83</v>
      </c>
    </row>
    <row r="12" spans="1:34" ht="15" x14ac:dyDescent="0.2">
      <c r="A12" s="39" t="s">
        <v>48</v>
      </c>
      <c r="B12" s="40">
        <v>27.5</v>
      </c>
      <c r="C12" s="36">
        <v>80</v>
      </c>
      <c r="D12" s="37">
        <f>C12*$B$12</f>
        <v>2200</v>
      </c>
      <c r="E12" s="36">
        <v>2</v>
      </c>
      <c r="F12" s="37">
        <f>E12*$B$12</f>
        <v>55</v>
      </c>
      <c r="G12" s="36">
        <v>2</v>
      </c>
      <c r="H12" s="37">
        <f>G12*$B$12</f>
        <v>55</v>
      </c>
      <c r="I12" s="36">
        <v>0</v>
      </c>
      <c r="J12" s="37">
        <f>I12*$B$12</f>
        <v>0</v>
      </c>
      <c r="K12" s="36">
        <v>0</v>
      </c>
      <c r="L12" s="37">
        <f>K12*$B$12</f>
        <v>0</v>
      </c>
      <c r="M12" s="36">
        <v>0</v>
      </c>
      <c r="N12" s="37">
        <f>M12*$B$12</f>
        <v>0</v>
      </c>
      <c r="O12" s="36">
        <v>0</v>
      </c>
      <c r="P12" s="37">
        <f>O12*$B$12</f>
        <v>0</v>
      </c>
      <c r="Q12" s="36">
        <v>0</v>
      </c>
      <c r="R12" s="37">
        <f>Q12*$B$12</f>
        <v>0</v>
      </c>
      <c r="S12" s="36">
        <v>0</v>
      </c>
      <c r="T12" s="37">
        <f>S12*$B$12</f>
        <v>0</v>
      </c>
      <c r="U12" s="36">
        <v>0</v>
      </c>
      <c r="V12" s="37">
        <f>U12*$B$12</f>
        <v>0</v>
      </c>
      <c r="W12" s="36">
        <v>0</v>
      </c>
      <c r="X12" s="37">
        <f>W12*$B$12</f>
        <v>0</v>
      </c>
      <c r="Y12" s="36">
        <v>0</v>
      </c>
      <c r="Z12" s="37">
        <f>Y12*$B$12</f>
        <v>0</v>
      </c>
      <c r="AA12" s="36">
        <v>0</v>
      </c>
      <c r="AB12" s="37">
        <f>AA12*$B$12</f>
        <v>0</v>
      </c>
      <c r="AC12" s="36">
        <v>2</v>
      </c>
      <c r="AD12" s="37">
        <f>AC12*$B$12</f>
        <v>55</v>
      </c>
      <c r="AE12" s="38">
        <f t="shared" si="1"/>
        <v>86</v>
      </c>
      <c r="AF12" s="126">
        <f t="shared" si="0"/>
        <v>2365</v>
      </c>
      <c r="AH12" s="128" t="s">
        <v>84</v>
      </c>
    </row>
    <row r="13" spans="1:34" ht="25.5" x14ac:dyDescent="0.2">
      <c r="A13" s="41" t="s">
        <v>44</v>
      </c>
      <c r="B13" s="242">
        <v>35.880000000000003</v>
      </c>
      <c r="C13" s="42">
        <v>40</v>
      </c>
      <c r="D13" s="37">
        <f>C13*$B$13</f>
        <v>1435.2</v>
      </c>
      <c r="E13" s="36">
        <v>4</v>
      </c>
      <c r="F13" s="37">
        <f>E13*$B$13</f>
        <v>143.52000000000001</v>
      </c>
      <c r="G13" s="36">
        <v>4</v>
      </c>
      <c r="H13" s="37">
        <f>G13*$B$13</f>
        <v>143.52000000000001</v>
      </c>
      <c r="I13" s="36">
        <v>0</v>
      </c>
      <c r="J13" s="37">
        <f>I13*$B$13</f>
        <v>0</v>
      </c>
      <c r="K13" s="36">
        <v>0</v>
      </c>
      <c r="L13" s="37">
        <f>K13*$B$13</f>
        <v>0</v>
      </c>
      <c r="M13" s="36">
        <v>0</v>
      </c>
      <c r="N13" s="37">
        <f>M13*$B$13</f>
        <v>0</v>
      </c>
      <c r="O13" s="36">
        <v>0</v>
      </c>
      <c r="P13" s="37">
        <f>O13*$B$13</f>
        <v>0</v>
      </c>
      <c r="Q13" s="36">
        <v>0</v>
      </c>
      <c r="R13" s="37">
        <f>Q13*$B$13</f>
        <v>0</v>
      </c>
      <c r="S13" s="36">
        <v>0</v>
      </c>
      <c r="T13" s="37">
        <f>S13*$B$13</f>
        <v>0</v>
      </c>
      <c r="U13" s="36">
        <v>0</v>
      </c>
      <c r="V13" s="37">
        <f>U13*$B$13</f>
        <v>0</v>
      </c>
      <c r="W13" s="36">
        <v>0</v>
      </c>
      <c r="X13" s="37">
        <f>W13*$B$13</f>
        <v>0</v>
      </c>
      <c r="Y13" s="36">
        <v>0</v>
      </c>
      <c r="Z13" s="37">
        <f>Y13*$B$13</f>
        <v>0</v>
      </c>
      <c r="AA13" s="36">
        <v>0</v>
      </c>
      <c r="AB13" s="37">
        <f>AA13*$B$13</f>
        <v>0</v>
      </c>
      <c r="AC13" s="36">
        <v>4</v>
      </c>
      <c r="AD13" s="37">
        <f>AC13*$B$13</f>
        <v>143.52000000000001</v>
      </c>
      <c r="AE13" s="38">
        <f t="shared" si="1"/>
        <v>52</v>
      </c>
      <c r="AF13" s="126">
        <f t="shared" si="0"/>
        <v>1865.76</v>
      </c>
      <c r="AH13" s="239" t="s">
        <v>85</v>
      </c>
    </row>
    <row r="14" spans="1:34" ht="15" x14ac:dyDescent="0.2">
      <c r="A14" s="41" t="s">
        <v>45</v>
      </c>
      <c r="B14" s="40">
        <v>16</v>
      </c>
      <c r="C14" s="42">
        <v>88</v>
      </c>
      <c r="D14" s="37">
        <f>C14*$B$14</f>
        <v>1408</v>
      </c>
      <c r="E14" s="36">
        <v>8</v>
      </c>
      <c r="F14" s="37">
        <f>E14*$B$14</f>
        <v>128</v>
      </c>
      <c r="G14" s="36">
        <v>8</v>
      </c>
      <c r="H14" s="37">
        <f>G14*$B$14</f>
        <v>128</v>
      </c>
      <c r="I14" s="36">
        <v>0</v>
      </c>
      <c r="J14" s="37">
        <f>I14*$B$14</f>
        <v>0</v>
      </c>
      <c r="K14" s="36">
        <v>0</v>
      </c>
      <c r="L14" s="37">
        <f>K14*$B$14</f>
        <v>0</v>
      </c>
      <c r="M14" s="36">
        <v>0</v>
      </c>
      <c r="N14" s="37">
        <f>M14*$B$14</f>
        <v>0</v>
      </c>
      <c r="O14" s="36">
        <v>0</v>
      </c>
      <c r="P14" s="37">
        <f>O14*$B$14</f>
        <v>0</v>
      </c>
      <c r="Q14" s="36">
        <v>0</v>
      </c>
      <c r="R14" s="37">
        <f>Q14*$B$14</f>
        <v>0</v>
      </c>
      <c r="S14" s="36">
        <v>0</v>
      </c>
      <c r="T14" s="37">
        <f>S14*$B$14</f>
        <v>0</v>
      </c>
      <c r="U14" s="36">
        <v>0</v>
      </c>
      <c r="V14" s="37">
        <f>U14*$B$14</f>
        <v>0</v>
      </c>
      <c r="W14" s="36">
        <v>0</v>
      </c>
      <c r="X14" s="37">
        <f>W14*$B$14</f>
        <v>0</v>
      </c>
      <c r="Y14" s="36">
        <v>0</v>
      </c>
      <c r="Z14" s="37">
        <f>Y14*$B$14</f>
        <v>0</v>
      </c>
      <c r="AA14" s="36">
        <v>0</v>
      </c>
      <c r="AB14" s="37">
        <f>AA14*$B$14</f>
        <v>0</v>
      </c>
      <c r="AC14" s="36">
        <v>8</v>
      </c>
      <c r="AD14" s="37">
        <f>AC14*$B$14</f>
        <v>128</v>
      </c>
      <c r="AE14" s="38">
        <f t="shared" si="1"/>
        <v>112</v>
      </c>
      <c r="AF14" s="126">
        <f>D14+F14+H14+AD14+AB14</f>
        <v>1792</v>
      </c>
      <c r="AH14" s="128" t="s">
        <v>92</v>
      </c>
    </row>
    <row r="15" spans="1:34" ht="15" x14ac:dyDescent="0.2">
      <c r="A15" s="43" t="s">
        <v>47</v>
      </c>
      <c r="B15" s="40">
        <v>30</v>
      </c>
      <c r="C15" s="42">
        <v>720</v>
      </c>
      <c r="D15" s="37">
        <f>C15*$B$17</f>
        <v>21600</v>
      </c>
      <c r="E15" s="36">
        <v>16</v>
      </c>
      <c r="F15" s="37">
        <f>E15*$B$17</f>
        <v>480</v>
      </c>
      <c r="G15" s="36">
        <v>40</v>
      </c>
      <c r="H15" s="37">
        <f>G15*$B$17</f>
        <v>1200</v>
      </c>
      <c r="I15" s="36">
        <v>0</v>
      </c>
      <c r="J15" s="37">
        <f>I15*$B$17</f>
        <v>0</v>
      </c>
      <c r="K15" s="36">
        <v>0</v>
      </c>
      <c r="L15" s="37">
        <f>K15*$B$17</f>
        <v>0</v>
      </c>
      <c r="M15" s="36">
        <v>0</v>
      </c>
      <c r="N15" s="37">
        <f>M15*$B$17</f>
        <v>0</v>
      </c>
      <c r="O15" s="36">
        <v>0</v>
      </c>
      <c r="P15" s="37">
        <f>O15*$B$17</f>
        <v>0</v>
      </c>
      <c r="Q15" s="36">
        <v>0</v>
      </c>
      <c r="R15" s="37">
        <f>Q15*$B$17</f>
        <v>0</v>
      </c>
      <c r="S15" s="36">
        <v>0</v>
      </c>
      <c r="T15" s="37">
        <f>S15*$B$17</f>
        <v>0</v>
      </c>
      <c r="U15" s="36">
        <v>0</v>
      </c>
      <c r="V15" s="37">
        <f>U15*$B$18</f>
        <v>0</v>
      </c>
      <c r="W15" s="36">
        <v>0</v>
      </c>
      <c r="X15" s="37">
        <f>W15*$B$18</f>
        <v>0</v>
      </c>
      <c r="Y15" s="36">
        <v>0</v>
      </c>
      <c r="Z15" s="37">
        <f>Y15*$B$18</f>
        <v>0</v>
      </c>
      <c r="AA15" s="36">
        <v>0</v>
      </c>
      <c r="AB15" s="37">
        <f>AA15*$B$17</f>
        <v>0</v>
      </c>
      <c r="AC15" s="36">
        <v>15</v>
      </c>
      <c r="AD15" s="37">
        <f>AC15*$B$17</f>
        <v>450</v>
      </c>
      <c r="AE15" s="38">
        <f t="shared" ref="AE15:AE16" si="2">AC15+AA15+G15+E15+C15</f>
        <v>791</v>
      </c>
      <c r="AF15" s="126">
        <f t="shared" ref="AF15:AF16" si="3">D15+F15+H15+AD15+AB15</f>
        <v>23730</v>
      </c>
      <c r="AH15" s="128" t="s">
        <v>93</v>
      </c>
    </row>
    <row r="16" spans="1:34" ht="15" x14ac:dyDescent="0.2">
      <c r="A16" s="43" t="s">
        <v>82</v>
      </c>
      <c r="B16" s="40">
        <v>45</v>
      </c>
      <c r="C16" s="42">
        <v>168</v>
      </c>
      <c r="D16" s="37">
        <f>C16*$B$18</f>
        <v>7560</v>
      </c>
      <c r="E16" s="36">
        <v>0</v>
      </c>
      <c r="F16" s="37">
        <f>E16*$B$18</f>
        <v>0</v>
      </c>
      <c r="G16" s="36">
        <v>0</v>
      </c>
      <c r="H16" s="37">
        <f>G16*$B$18</f>
        <v>0</v>
      </c>
      <c r="I16" s="36">
        <v>0</v>
      </c>
      <c r="J16" s="37">
        <f>I16*$B$18</f>
        <v>0</v>
      </c>
      <c r="K16" s="36">
        <v>0</v>
      </c>
      <c r="L16" s="37">
        <f>K16*$B$18</f>
        <v>0</v>
      </c>
      <c r="M16" s="36">
        <v>0</v>
      </c>
      <c r="N16" s="37">
        <f>M16*$B$18</f>
        <v>0</v>
      </c>
      <c r="O16" s="36">
        <v>0</v>
      </c>
      <c r="P16" s="37">
        <f>O16*$B$18</f>
        <v>0</v>
      </c>
      <c r="Q16" s="36">
        <v>0</v>
      </c>
      <c r="R16" s="37">
        <f>Q16*$B$18</f>
        <v>0</v>
      </c>
      <c r="S16" s="36">
        <v>0</v>
      </c>
      <c r="T16" s="37">
        <f>S16*$B$18</f>
        <v>0</v>
      </c>
      <c r="U16" s="36">
        <v>0</v>
      </c>
      <c r="V16" s="37">
        <f>U16*$B$18</f>
        <v>0</v>
      </c>
      <c r="W16" s="36">
        <v>0</v>
      </c>
      <c r="X16" s="37">
        <f>W16*$B$18</f>
        <v>0</v>
      </c>
      <c r="Y16" s="36">
        <v>0</v>
      </c>
      <c r="Z16" s="37">
        <f>Y16*$B$18</f>
        <v>0</v>
      </c>
      <c r="AA16" s="36">
        <v>0</v>
      </c>
      <c r="AB16" s="37">
        <f>AA16*$B$18</f>
        <v>0</v>
      </c>
      <c r="AC16" s="36">
        <v>0</v>
      </c>
      <c r="AD16" s="37">
        <f>AC16*$B$18</f>
        <v>0</v>
      </c>
      <c r="AE16" s="38">
        <f t="shared" si="2"/>
        <v>168</v>
      </c>
      <c r="AF16" s="126">
        <f t="shared" si="3"/>
        <v>7560</v>
      </c>
      <c r="AH16" s="128" t="s">
        <v>86</v>
      </c>
    </row>
    <row r="17" spans="1:34" ht="15" x14ac:dyDescent="0.2">
      <c r="A17" s="43" t="s">
        <v>101</v>
      </c>
      <c r="B17" s="40">
        <v>30</v>
      </c>
      <c r="C17" s="42">
        <v>720</v>
      </c>
      <c r="D17" s="37">
        <f>C17*$B$17</f>
        <v>21600</v>
      </c>
      <c r="E17" s="36">
        <v>16</v>
      </c>
      <c r="F17" s="37">
        <f>E17*$B$17</f>
        <v>480</v>
      </c>
      <c r="G17" s="36">
        <v>40</v>
      </c>
      <c r="H17" s="37">
        <f>G17*$B$17</f>
        <v>1200</v>
      </c>
      <c r="I17" s="36">
        <v>0</v>
      </c>
      <c r="J17" s="37">
        <f>I17*$B$17</f>
        <v>0</v>
      </c>
      <c r="K17" s="36">
        <v>0</v>
      </c>
      <c r="L17" s="37">
        <f>K17*$B$17</f>
        <v>0</v>
      </c>
      <c r="M17" s="36">
        <v>0</v>
      </c>
      <c r="N17" s="37">
        <f>M17*$B$17</f>
        <v>0</v>
      </c>
      <c r="O17" s="36">
        <v>0</v>
      </c>
      <c r="P17" s="37">
        <f>O17*$B$17</f>
        <v>0</v>
      </c>
      <c r="Q17" s="36">
        <v>0</v>
      </c>
      <c r="R17" s="37">
        <f>Q17*$B$17</f>
        <v>0</v>
      </c>
      <c r="S17" s="36">
        <v>0</v>
      </c>
      <c r="T17" s="37">
        <f>S17*$B$17</f>
        <v>0</v>
      </c>
      <c r="U17" s="36">
        <v>0</v>
      </c>
      <c r="V17" s="37">
        <f>U17*$B$18</f>
        <v>0</v>
      </c>
      <c r="W17" s="36">
        <v>0</v>
      </c>
      <c r="X17" s="37">
        <f>W17*$B$18</f>
        <v>0</v>
      </c>
      <c r="Y17" s="36">
        <v>0</v>
      </c>
      <c r="Z17" s="37">
        <f>Y17*$B$18</f>
        <v>0</v>
      </c>
      <c r="AA17" s="36">
        <v>0</v>
      </c>
      <c r="AB17" s="37">
        <f>AA17*$B$17</f>
        <v>0</v>
      </c>
      <c r="AC17" s="36">
        <v>15</v>
      </c>
      <c r="AD17" s="37">
        <f>AC17*$B$17</f>
        <v>450</v>
      </c>
      <c r="AE17" s="38">
        <f t="shared" si="1"/>
        <v>791</v>
      </c>
      <c r="AF17" s="126">
        <f t="shared" ref="AF17:AF81" si="4">D17+F17+H17+AD17+AB17</f>
        <v>23730</v>
      </c>
      <c r="AH17" s="128" t="s">
        <v>102</v>
      </c>
    </row>
    <row r="18" spans="1:34" ht="15" x14ac:dyDescent="0.2">
      <c r="A18" s="43" t="s">
        <v>107</v>
      </c>
      <c r="B18" s="40">
        <v>45</v>
      </c>
      <c r="C18" s="42">
        <v>168</v>
      </c>
      <c r="D18" s="37">
        <f>C18*$B$18</f>
        <v>7560</v>
      </c>
      <c r="E18" s="36">
        <v>0</v>
      </c>
      <c r="F18" s="37">
        <f>E18*$B$18</f>
        <v>0</v>
      </c>
      <c r="G18" s="36">
        <v>0</v>
      </c>
      <c r="H18" s="37">
        <f>G18*$B$18</f>
        <v>0</v>
      </c>
      <c r="I18" s="36">
        <v>0</v>
      </c>
      <c r="J18" s="37">
        <f>I18*$B$18</f>
        <v>0</v>
      </c>
      <c r="K18" s="36">
        <v>0</v>
      </c>
      <c r="L18" s="37">
        <f>K18*$B$18</f>
        <v>0</v>
      </c>
      <c r="M18" s="36">
        <v>0</v>
      </c>
      <c r="N18" s="37">
        <f>M18*$B$18</f>
        <v>0</v>
      </c>
      <c r="O18" s="36">
        <v>0</v>
      </c>
      <c r="P18" s="37">
        <f>O18*$B$18</f>
        <v>0</v>
      </c>
      <c r="Q18" s="36">
        <v>0</v>
      </c>
      <c r="R18" s="37">
        <f>Q18*$B$18</f>
        <v>0</v>
      </c>
      <c r="S18" s="36">
        <v>0</v>
      </c>
      <c r="T18" s="37">
        <f>S18*$B$18</f>
        <v>0</v>
      </c>
      <c r="U18" s="36">
        <v>0</v>
      </c>
      <c r="V18" s="37">
        <f>U18*$B$18</f>
        <v>0</v>
      </c>
      <c r="W18" s="36">
        <v>0</v>
      </c>
      <c r="X18" s="37">
        <f>W18*$B$18</f>
        <v>0</v>
      </c>
      <c r="Y18" s="36">
        <v>0</v>
      </c>
      <c r="Z18" s="37">
        <f>Y18*$B$18</f>
        <v>0</v>
      </c>
      <c r="AA18" s="36">
        <v>0</v>
      </c>
      <c r="AB18" s="37">
        <f>AA18*$B$18</f>
        <v>0</v>
      </c>
      <c r="AC18" s="36">
        <v>0</v>
      </c>
      <c r="AD18" s="37">
        <f>AC18*$B$18</f>
        <v>0</v>
      </c>
      <c r="AE18" s="38">
        <f t="shared" si="1"/>
        <v>168</v>
      </c>
      <c r="AF18" s="126">
        <f t="shared" si="4"/>
        <v>7560</v>
      </c>
      <c r="AH18" s="128" t="s">
        <v>111</v>
      </c>
    </row>
    <row r="19" spans="1:34" ht="15" x14ac:dyDescent="0.2">
      <c r="A19" s="44" t="s">
        <v>0</v>
      </c>
      <c r="B19" s="45"/>
      <c r="C19" s="46"/>
      <c r="D19" s="47"/>
      <c r="E19" s="46"/>
      <c r="F19" s="48"/>
      <c r="G19" s="46"/>
      <c r="H19" s="48"/>
      <c r="I19" s="46"/>
      <c r="J19" s="48"/>
      <c r="K19" s="46"/>
      <c r="L19" s="48"/>
      <c r="M19" s="46"/>
      <c r="N19" s="48"/>
      <c r="O19" s="46"/>
      <c r="P19" s="48"/>
      <c r="Q19" s="46"/>
      <c r="R19" s="48"/>
      <c r="S19" s="46"/>
      <c r="T19" s="48"/>
      <c r="U19" s="46"/>
      <c r="V19" s="48"/>
      <c r="W19" s="46"/>
      <c r="X19" s="48"/>
      <c r="Y19" s="46"/>
      <c r="Z19" s="48"/>
      <c r="AA19" s="46"/>
      <c r="AB19" s="48"/>
      <c r="AC19" s="46"/>
      <c r="AD19" s="48"/>
      <c r="AE19" s="38"/>
      <c r="AF19" s="126">
        <f t="shared" si="4"/>
        <v>0</v>
      </c>
      <c r="AH19" s="240"/>
    </row>
    <row r="20" spans="1:34" ht="15" x14ac:dyDescent="0.2">
      <c r="A20" s="43" t="s">
        <v>7</v>
      </c>
      <c r="B20" s="40"/>
      <c r="C20" s="49"/>
      <c r="D20" s="37"/>
      <c r="E20" s="49"/>
      <c r="F20" s="50"/>
      <c r="G20" s="49"/>
      <c r="H20" s="50"/>
      <c r="I20" s="49"/>
      <c r="J20" s="50"/>
      <c r="K20" s="49"/>
      <c r="L20" s="50"/>
      <c r="M20" s="49"/>
      <c r="N20" s="50"/>
      <c r="O20" s="49"/>
      <c r="P20" s="50"/>
      <c r="Q20" s="49"/>
      <c r="R20" s="50"/>
      <c r="S20" s="49"/>
      <c r="T20" s="50"/>
      <c r="U20" s="49"/>
      <c r="V20" s="50"/>
      <c r="W20" s="49"/>
      <c r="X20" s="50"/>
      <c r="Y20" s="49"/>
      <c r="Z20" s="50"/>
      <c r="AA20" s="49"/>
      <c r="AB20" s="50"/>
      <c r="AC20" s="49"/>
      <c r="AD20" s="50"/>
      <c r="AE20" s="38"/>
      <c r="AF20" s="126">
        <f t="shared" si="4"/>
        <v>0</v>
      </c>
    </row>
    <row r="21" spans="1:34" ht="15" x14ac:dyDescent="0.2">
      <c r="A21" s="51" t="s">
        <v>8</v>
      </c>
      <c r="B21" s="40">
        <v>0</v>
      </c>
      <c r="C21" s="36">
        <v>0</v>
      </c>
      <c r="D21" s="52">
        <f>C21*$B$21</f>
        <v>0</v>
      </c>
      <c r="E21" s="36">
        <v>0</v>
      </c>
      <c r="F21" s="52">
        <f>E21*$B$21</f>
        <v>0</v>
      </c>
      <c r="G21" s="36">
        <v>0</v>
      </c>
      <c r="H21" s="52">
        <f>G21*$B$21</f>
        <v>0</v>
      </c>
      <c r="I21" s="36">
        <v>0</v>
      </c>
      <c r="J21" s="52">
        <f>I21*$B$21</f>
        <v>0</v>
      </c>
      <c r="K21" s="36">
        <v>0</v>
      </c>
      <c r="L21" s="52">
        <f>K21*$B$21</f>
        <v>0</v>
      </c>
      <c r="M21" s="36">
        <v>0</v>
      </c>
      <c r="N21" s="52">
        <f>M21*$B$21</f>
        <v>0</v>
      </c>
      <c r="O21" s="36">
        <v>0</v>
      </c>
      <c r="P21" s="52">
        <f>O21*$B$21</f>
        <v>0</v>
      </c>
      <c r="Q21" s="36">
        <v>0</v>
      </c>
      <c r="R21" s="52">
        <f>Q21*$B$21</f>
        <v>0</v>
      </c>
      <c r="S21" s="36">
        <v>0</v>
      </c>
      <c r="T21" s="52">
        <f>S21*$B$21</f>
        <v>0</v>
      </c>
      <c r="U21" s="36">
        <v>0</v>
      </c>
      <c r="V21" s="52">
        <f>U21*$B$21</f>
        <v>0</v>
      </c>
      <c r="W21" s="36">
        <v>0</v>
      </c>
      <c r="X21" s="52">
        <f>W21*$B$21</f>
        <v>0</v>
      </c>
      <c r="Y21" s="36">
        <v>0</v>
      </c>
      <c r="Z21" s="52">
        <f>Y21*$B$21</f>
        <v>0</v>
      </c>
      <c r="AA21" s="36">
        <v>0</v>
      </c>
      <c r="AB21" s="52">
        <f>AA21*$B$21</f>
        <v>0</v>
      </c>
      <c r="AC21" s="36">
        <v>0</v>
      </c>
      <c r="AD21" s="52">
        <f>AC21*$B$21</f>
        <v>0</v>
      </c>
      <c r="AE21" s="38"/>
      <c r="AF21" s="126">
        <f t="shared" si="4"/>
        <v>0</v>
      </c>
    </row>
    <row r="22" spans="1:34" ht="15" x14ac:dyDescent="0.2">
      <c r="A22" s="51" t="s">
        <v>9</v>
      </c>
      <c r="B22" s="40">
        <v>0</v>
      </c>
      <c r="C22" s="36">
        <v>0</v>
      </c>
      <c r="D22" s="52">
        <f>C22*$B$22</f>
        <v>0</v>
      </c>
      <c r="E22" s="36">
        <v>0</v>
      </c>
      <c r="F22" s="52">
        <f>E22*$B$22</f>
        <v>0</v>
      </c>
      <c r="G22" s="36">
        <v>0</v>
      </c>
      <c r="H22" s="52">
        <f>G22*$B$22</f>
        <v>0</v>
      </c>
      <c r="I22" s="36">
        <v>0</v>
      </c>
      <c r="J22" s="52">
        <f>I22*$B$22</f>
        <v>0</v>
      </c>
      <c r="K22" s="36">
        <v>0</v>
      </c>
      <c r="L22" s="52">
        <f>K22*$B$22</f>
        <v>0</v>
      </c>
      <c r="M22" s="36">
        <v>0</v>
      </c>
      <c r="N22" s="52">
        <f>M22*$B$22</f>
        <v>0</v>
      </c>
      <c r="O22" s="36">
        <v>0</v>
      </c>
      <c r="P22" s="52">
        <f>O22*$B$22</f>
        <v>0</v>
      </c>
      <c r="Q22" s="36">
        <v>0</v>
      </c>
      <c r="R22" s="52">
        <f>Q22*$B$22</f>
        <v>0</v>
      </c>
      <c r="S22" s="36">
        <v>0</v>
      </c>
      <c r="T22" s="52">
        <f>S22*$B$22</f>
        <v>0</v>
      </c>
      <c r="U22" s="36">
        <v>0</v>
      </c>
      <c r="V22" s="52">
        <f>U22*$B$22</f>
        <v>0</v>
      </c>
      <c r="W22" s="36">
        <v>0</v>
      </c>
      <c r="X22" s="52">
        <f>W22*$B$22</f>
        <v>0</v>
      </c>
      <c r="Y22" s="36">
        <v>0</v>
      </c>
      <c r="Z22" s="52">
        <f>Y22*$B$22</f>
        <v>0</v>
      </c>
      <c r="AA22" s="36">
        <v>0</v>
      </c>
      <c r="AB22" s="52">
        <f>AA22*$B$22</f>
        <v>0</v>
      </c>
      <c r="AC22" s="36">
        <v>0</v>
      </c>
      <c r="AD22" s="52">
        <f>AC22*$B$22</f>
        <v>0</v>
      </c>
      <c r="AE22" s="38"/>
      <c r="AF22" s="126">
        <f t="shared" si="4"/>
        <v>0</v>
      </c>
      <c r="AH22" s="128"/>
    </row>
    <row r="23" spans="1:34" ht="15" x14ac:dyDescent="0.2">
      <c r="A23" s="53"/>
      <c r="B23" s="54"/>
      <c r="C23" s="55"/>
      <c r="D23" s="56"/>
      <c r="E23" s="57"/>
      <c r="F23" s="58"/>
      <c r="G23" s="57"/>
      <c r="H23" s="56"/>
      <c r="I23" s="55"/>
      <c r="J23" s="58"/>
      <c r="K23" s="57"/>
      <c r="L23" s="58"/>
      <c r="M23" s="57"/>
      <c r="N23" s="58"/>
      <c r="O23" s="57"/>
      <c r="P23" s="58"/>
      <c r="Q23" s="57"/>
      <c r="R23" s="58"/>
      <c r="S23" s="57"/>
      <c r="T23" s="58"/>
      <c r="U23" s="57"/>
      <c r="V23" s="58"/>
      <c r="W23" s="57"/>
      <c r="X23" s="58"/>
      <c r="Y23" s="57"/>
      <c r="Z23" s="58"/>
      <c r="AA23" s="57"/>
      <c r="AB23" s="56"/>
      <c r="AC23" s="57"/>
      <c r="AD23" s="56"/>
      <c r="AE23" s="38"/>
      <c r="AF23" s="126">
        <f t="shared" si="4"/>
        <v>0</v>
      </c>
    </row>
    <row r="24" spans="1:34" ht="15" x14ac:dyDescent="0.2">
      <c r="A24" s="60" t="s">
        <v>10</v>
      </c>
      <c r="B24" s="40"/>
      <c r="C24" s="61">
        <f>SUM(C9:C23)</f>
        <v>2504</v>
      </c>
      <c r="D24" s="62">
        <f>SUM(D9:D18)</f>
        <v>80676.800000000003</v>
      </c>
      <c r="E24" s="61">
        <f>SUM(E9:E23)</f>
        <v>50</v>
      </c>
      <c r="F24" s="62">
        <f>SUM(F9:F18)</f>
        <v>1405.44</v>
      </c>
      <c r="G24" s="61">
        <f>SUM(G9:G23)</f>
        <v>98</v>
      </c>
      <c r="H24" s="63">
        <f>SUM(H9:H18)</f>
        <v>2845.44</v>
      </c>
      <c r="I24" s="61">
        <f t="shared" ref="I24:Z24" si="5">SUM(I9:I14)</f>
        <v>0</v>
      </c>
      <c r="J24" s="62">
        <f t="shared" si="5"/>
        <v>0</v>
      </c>
      <c r="K24" s="61">
        <f t="shared" si="5"/>
        <v>0</v>
      </c>
      <c r="L24" s="62">
        <f t="shared" si="5"/>
        <v>0</v>
      </c>
      <c r="M24" s="61">
        <f t="shared" si="5"/>
        <v>0</v>
      </c>
      <c r="N24" s="62">
        <f t="shared" si="5"/>
        <v>0</v>
      </c>
      <c r="O24" s="61">
        <f t="shared" si="5"/>
        <v>0</v>
      </c>
      <c r="P24" s="62">
        <f t="shared" si="5"/>
        <v>0</v>
      </c>
      <c r="Q24" s="61">
        <f t="shared" si="5"/>
        <v>0</v>
      </c>
      <c r="R24" s="62">
        <f t="shared" si="5"/>
        <v>0</v>
      </c>
      <c r="S24" s="61">
        <f t="shared" si="5"/>
        <v>0</v>
      </c>
      <c r="T24" s="62">
        <f t="shared" si="5"/>
        <v>0</v>
      </c>
      <c r="U24" s="61">
        <f t="shared" si="5"/>
        <v>0</v>
      </c>
      <c r="V24" s="62">
        <f t="shared" si="5"/>
        <v>0</v>
      </c>
      <c r="W24" s="61">
        <f t="shared" si="5"/>
        <v>0</v>
      </c>
      <c r="X24" s="62">
        <f t="shared" si="5"/>
        <v>0</v>
      </c>
      <c r="Y24" s="61">
        <f t="shared" si="5"/>
        <v>0</v>
      </c>
      <c r="Z24" s="62">
        <f t="shared" si="5"/>
        <v>0</v>
      </c>
      <c r="AA24" s="61"/>
      <c r="AB24" s="63">
        <f>SUM(AB9:AB18)</f>
        <v>0</v>
      </c>
      <c r="AC24" s="61">
        <f>SUM(AC9:AC23)</f>
        <v>48</v>
      </c>
      <c r="AD24" s="63">
        <f>SUM(AD9:AD18)</f>
        <v>1345.44</v>
      </c>
      <c r="AE24" s="38">
        <f>C24+E24+G24+AC24</f>
        <v>2700</v>
      </c>
      <c r="AF24" s="126">
        <f t="shared" si="4"/>
        <v>86273.12000000001</v>
      </c>
      <c r="AH24" s="124"/>
    </row>
    <row r="25" spans="1:34" ht="15" x14ac:dyDescent="0.2">
      <c r="A25" s="64"/>
      <c r="B25" s="65"/>
      <c r="C25" s="66"/>
      <c r="D25" s="67"/>
      <c r="E25" s="66"/>
      <c r="F25" s="68"/>
      <c r="G25" s="66"/>
      <c r="H25" s="68"/>
      <c r="I25" s="66"/>
      <c r="J25" s="68"/>
      <c r="K25" s="66"/>
      <c r="L25" s="68"/>
      <c r="M25" s="66"/>
      <c r="N25" s="68"/>
      <c r="O25" s="66"/>
      <c r="P25" s="68"/>
      <c r="Q25" s="66"/>
      <c r="R25" s="68"/>
      <c r="S25" s="66"/>
      <c r="T25" s="68"/>
      <c r="U25" s="66"/>
      <c r="V25" s="68"/>
      <c r="W25" s="66"/>
      <c r="X25" s="68"/>
      <c r="Y25" s="66"/>
      <c r="Z25" s="68"/>
      <c r="AA25" s="66"/>
      <c r="AB25" s="68"/>
      <c r="AC25" s="66"/>
      <c r="AD25" s="68"/>
      <c r="AE25" s="38">
        <f>C25+E25+G25+AC25</f>
        <v>0</v>
      </c>
      <c r="AF25" s="126">
        <f t="shared" si="4"/>
        <v>0</v>
      </c>
      <c r="AH25" s="124"/>
    </row>
    <row r="26" spans="1:34" ht="15" x14ac:dyDescent="0.2">
      <c r="A26" s="69" t="s">
        <v>21</v>
      </c>
      <c r="B26" s="70">
        <v>6.7000000000000002E-3</v>
      </c>
      <c r="C26" s="71" t="s">
        <v>0</v>
      </c>
      <c r="D26" s="72">
        <f>D24*$B$26</f>
        <v>540.53456000000006</v>
      </c>
      <c r="E26" s="71" t="s">
        <v>0</v>
      </c>
      <c r="F26" s="72">
        <f>F24*$B$26</f>
        <v>9.4164480000000008</v>
      </c>
      <c r="G26" s="71" t="s">
        <v>0</v>
      </c>
      <c r="H26" s="72">
        <f>H24*$B$26</f>
        <v>19.064448000000002</v>
      </c>
      <c r="I26" s="71" t="s">
        <v>0</v>
      </c>
      <c r="J26" s="72">
        <f>J24*$B$26</f>
        <v>0</v>
      </c>
      <c r="K26" s="71" t="s">
        <v>0</v>
      </c>
      <c r="L26" s="72">
        <f>L24*$B$26</f>
        <v>0</v>
      </c>
      <c r="M26" s="71" t="s">
        <v>0</v>
      </c>
      <c r="N26" s="72">
        <f>N24*$B$26</f>
        <v>0</v>
      </c>
      <c r="O26" s="71" t="s">
        <v>0</v>
      </c>
      <c r="P26" s="72">
        <f>P24*$B$26</f>
        <v>0</v>
      </c>
      <c r="Q26" s="71" t="s">
        <v>0</v>
      </c>
      <c r="R26" s="72">
        <f>R24*$B$26</f>
        <v>0</v>
      </c>
      <c r="S26" s="71" t="s">
        <v>0</v>
      </c>
      <c r="T26" s="72">
        <f>T24*$B$26</f>
        <v>0</v>
      </c>
      <c r="U26" s="71" t="s">
        <v>0</v>
      </c>
      <c r="V26" s="72">
        <f>V24*$B$26</f>
        <v>0</v>
      </c>
      <c r="W26" s="71" t="s">
        <v>0</v>
      </c>
      <c r="X26" s="72">
        <f>X24*$B$26</f>
        <v>0</v>
      </c>
      <c r="Y26" s="71" t="s">
        <v>0</v>
      </c>
      <c r="Z26" s="72">
        <f>Z24*$B$26</f>
        <v>0</v>
      </c>
      <c r="AA26" s="71" t="s">
        <v>0</v>
      </c>
      <c r="AB26" s="72">
        <f>AB24*$B$26</f>
        <v>0</v>
      </c>
      <c r="AC26" s="71" t="s">
        <v>0</v>
      </c>
      <c r="AD26" s="72">
        <f>AD24*$B$26</f>
        <v>9.0144479999999998</v>
      </c>
      <c r="AE26" s="38"/>
      <c r="AF26" s="126">
        <f t="shared" si="4"/>
        <v>578.02990399999999</v>
      </c>
      <c r="AH26" s="124"/>
    </row>
    <row r="27" spans="1:34" ht="15.75" thickBot="1" x14ac:dyDescent="0.25">
      <c r="A27" s="64"/>
      <c r="B27" s="73"/>
      <c r="C27" s="74"/>
      <c r="D27" s="75"/>
      <c r="E27" s="74"/>
      <c r="F27" s="75"/>
      <c r="G27" s="74"/>
      <c r="H27" s="75"/>
      <c r="I27" s="74"/>
      <c r="J27" s="75"/>
      <c r="K27" s="74"/>
      <c r="L27" s="75"/>
      <c r="M27" s="74"/>
      <c r="N27" s="75"/>
      <c r="O27" s="74"/>
      <c r="P27" s="75"/>
      <c r="Q27" s="74"/>
      <c r="R27" s="75"/>
      <c r="S27" s="74"/>
      <c r="T27" s="75"/>
      <c r="U27" s="74"/>
      <c r="V27" s="75"/>
      <c r="W27" s="74"/>
      <c r="X27" s="75"/>
      <c r="Y27" s="74"/>
      <c r="Z27" s="75"/>
      <c r="AA27" s="74"/>
      <c r="AB27" s="75"/>
      <c r="AC27" s="74"/>
      <c r="AD27" s="75"/>
      <c r="AE27" s="38">
        <f>C27+E27+G27+AC27</f>
        <v>0</v>
      </c>
      <c r="AF27" s="126">
        <f t="shared" si="4"/>
        <v>0</v>
      </c>
      <c r="AH27" s="124"/>
    </row>
    <row r="28" spans="1:34" ht="15.75" thickBot="1" x14ac:dyDescent="0.25">
      <c r="A28" s="76" t="s">
        <v>11</v>
      </c>
      <c r="B28" s="77"/>
      <c r="C28" s="78">
        <f>SUM(C24:C24)</f>
        <v>2504</v>
      </c>
      <c r="D28" s="79">
        <f>SUM(D24:D24, D26)</f>
        <v>81217.334560000003</v>
      </c>
      <c r="E28" s="78">
        <f>SUM(E24:E24)</f>
        <v>50</v>
      </c>
      <c r="F28" s="79">
        <f>SUM(F24:F24, F26:F26)</f>
        <v>1414.856448</v>
      </c>
      <c r="G28" s="78">
        <f>SUM(G24:G24)</f>
        <v>98</v>
      </c>
      <c r="H28" s="79">
        <f>SUM(H24:H24, H26:H26)</f>
        <v>2864.5044480000001</v>
      </c>
      <c r="I28" s="78">
        <f>SUM(I24:I24)</f>
        <v>0</v>
      </c>
      <c r="J28" s="79">
        <f>SUM(J24:J24, J26:J26)</f>
        <v>0</v>
      </c>
      <c r="K28" s="78">
        <f>SUM(K24:K24)</f>
        <v>0</v>
      </c>
      <c r="L28" s="79">
        <f>SUM(L24:L24, L26:L26)</f>
        <v>0</v>
      </c>
      <c r="M28" s="78">
        <f>SUM(M24:M24)</f>
        <v>0</v>
      </c>
      <c r="N28" s="79">
        <f>SUM(N24:N24, N26:N26)</f>
        <v>0</v>
      </c>
      <c r="O28" s="78">
        <f>SUM(O24:O24)</f>
        <v>0</v>
      </c>
      <c r="P28" s="79">
        <f>SUM(P24:P24, P26:P26)</f>
        <v>0</v>
      </c>
      <c r="Q28" s="78">
        <f>SUM(Q24:Q24)</f>
        <v>0</v>
      </c>
      <c r="R28" s="79">
        <f>SUM(R24:R24, R26:R26)</f>
        <v>0</v>
      </c>
      <c r="S28" s="78">
        <f>SUM(S24:S24)</f>
        <v>0</v>
      </c>
      <c r="T28" s="79">
        <f>SUM(T24:T24, T26:T26)</f>
        <v>0</v>
      </c>
      <c r="U28" s="78">
        <f>SUM(U24:U24)</f>
        <v>0</v>
      </c>
      <c r="V28" s="79">
        <f>SUM(V24:V24, V26:V26)</f>
        <v>0</v>
      </c>
      <c r="W28" s="78">
        <f>SUM(W24:W24)</f>
        <v>0</v>
      </c>
      <c r="X28" s="79">
        <f>SUM(X24:X24, X26:X26)</f>
        <v>0</v>
      </c>
      <c r="Y28" s="78">
        <f>SUM(Y24:Y24)</f>
        <v>0</v>
      </c>
      <c r="Z28" s="79">
        <f>SUM(Z24:Z24, Z26:Z26)</f>
        <v>0</v>
      </c>
      <c r="AA28" s="78">
        <f>SUM(AA24:AA24)</f>
        <v>0</v>
      </c>
      <c r="AB28" s="79">
        <f>SUM(AB24:AB24, AB26:AB26)</f>
        <v>0</v>
      </c>
      <c r="AC28" s="78">
        <f>SUM(AC24:AC24)</f>
        <v>48</v>
      </c>
      <c r="AD28" s="79">
        <f>SUM(AD24:AD24, AD26:AD26)</f>
        <v>1354.454448</v>
      </c>
      <c r="AE28" s="38">
        <f>C28+E28+G28+AC28</f>
        <v>2700</v>
      </c>
      <c r="AF28" s="126">
        <f t="shared" si="4"/>
        <v>86851.14990400002</v>
      </c>
      <c r="AH28" s="124"/>
    </row>
    <row r="29" spans="1:34" ht="15.75" thickBot="1" x14ac:dyDescent="0.25">
      <c r="A29" s="80"/>
      <c r="B29" s="81"/>
      <c r="C29" s="82"/>
      <c r="D29" s="83"/>
      <c r="E29" s="82"/>
      <c r="F29" s="83"/>
      <c r="G29" s="82"/>
      <c r="H29" s="83"/>
      <c r="I29" s="82"/>
      <c r="J29" s="83"/>
      <c r="K29" s="82"/>
      <c r="L29" s="83"/>
      <c r="M29" s="82"/>
      <c r="N29" s="83"/>
      <c r="O29" s="82"/>
      <c r="P29" s="83"/>
      <c r="Q29" s="82"/>
      <c r="R29" s="83"/>
      <c r="S29" s="82"/>
      <c r="T29" s="83"/>
      <c r="U29" s="82"/>
      <c r="V29" s="83"/>
      <c r="W29" s="82"/>
      <c r="X29" s="83"/>
      <c r="Y29" s="82"/>
      <c r="Z29" s="83"/>
      <c r="AA29" s="82"/>
      <c r="AB29" s="83"/>
      <c r="AC29" s="82"/>
      <c r="AD29" s="83"/>
      <c r="AE29" s="84"/>
      <c r="AF29" s="126">
        <f t="shared" si="4"/>
        <v>0</v>
      </c>
      <c r="AH29" s="124"/>
    </row>
    <row r="30" spans="1:34" ht="15.75" thickBot="1" x14ac:dyDescent="0.25">
      <c r="A30" s="85"/>
      <c r="B30" s="86"/>
      <c r="C30" s="87"/>
      <c r="D30" s="88"/>
      <c r="E30" s="87"/>
      <c r="F30" s="88"/>
      <c r="G30" s="87"/>
      <c r="H30" s="88"/>
      <c r="I30" s="87"/>
      <c r="J30" s="88"/>
      <c r="K30" s="87"/>
      <c r="L30" s="88"/>
      <c r="M30" s="87"/>
      <c r="N30" s="88"/>
      <c r="O30" s="87"/>
      <c r="P30" s="88"/>
      <c r="Q30" s="87"/>
      <c r="R30" s="88"/>
      <c r="S30" s="87"/>
      <c r="T30" s="88"/>
      <c r="U30" s="87"/>
      <c r="V30" s="88"/>
      <c r="W30" s="87"/>
      <c r="X30" s="88"/>
      <c r="Y30" s="87"/>
      <c r="Z30" s="88"/>
      <c r="AA30" s="87"/>
      <c r="AB30" s="88"/>
      <c r="AC30" s="87"/>
      <c r="AD30" s="88"/>
      <c r="AE30" s="89"/>
      <c r="AF30" s="126">
        <f t="shared" si="4"/>
        <v>0</v>
      </c>
      <c r="AH30" s="124"/>
    </row>
    <row r="31" spans="1:34" ht="15" x14ac:dyDescent="0.2">
      <c r="A31" s="90" t="s">
        <v>12</v>
      </c>
      <c r="B31" s="91"/>
      <c r="C31" s="92"/>
      <c r="D31" s="37"/>
      <c r="E31" s="92"/>
      <c r="F31" s="37"/>
      <c r="G31" s="92"/>
      <c r="H31" s="37"/>
      <c r="I31" s="92"/>
      <c r="J31" s="37"/>
      <c r="K31" s="92"/>
      <c r="L31" s="37"/>
      <c r="M31" s="92"/>
      <c r="N31" s="37"/>
      <c r="O31" s="92"/>
      <c r="P31" s="37"/>
      <c r="Q31" s="92"/>
      <c r="R31" s="37"/>
      <c r="S31" s="92"/>
      <c r="T31" s="37"/>
      <c r="U31" s="92"/>
      <c r="V31" s="37"/>
      <c r="W31" s="92"/>
      <c r="X31" s="37"/>
      <c r="Y31" s="92"/>
      <c r="Z31" s="37"/>
      <c r="AA31" s="92"/>
      <c r="AB31" s="37"/>
      <c r="AC31" s="92"/>
      <c r="AD31" s="37"/>
      <c r="AE31" s="93" t="s">
        <v>0</v>
      </c>
      <c r="AF31" s="126">
        <f t="shared" si="4"/>
        <v>0</v>
      </c>
      <c r="AH31" s="124"/>
    </row>
    <row r="32" spans="1:34" ht="15" x14ac:dyDescent="0.2">
      <c r="A32" s="94" t="s">
        <v>110</v>
      </c>
      <c r="B32" s="95">
        <v>75</v>
      </c>
      <c r="C32" s="92">
        <v>90</v>
      </c>
      <c r="D32" s="52">
        <f>C32*$B$32</f>
        <v>6750</v>
      </c>
      <c r="E32" s="92">
        <v>0</v>
      </c>
      <c r="F32" s="52">
        <f>E32*$B$32</f>
        <v>0</v>
      </c>
      <c r="G32" s="92">
        <v>0</v>
      </c>
      <c r="H32" s="52">
        <f>G32*$B$32</f>
        <v>0</v>
      </c>
      <c r="I32" s="92">
        <v>0</v>
      </c>
      <c r="J32" s="52">
        <f>I32*$B$32</f>
        <v>0</v>
      </c>
      <c r="K32" s="92">
        <v>0</v>
      </c>
      <c r="L32" s="52">
        <f>K32*$B$32</f>
        <v>0</v>
      </c>
      <c r="M32" s="92">
        <v>0</v>
      </c>
      <c r="N32" s="52">
        <f>M32*$B$32</f>
        <v>0</v>
      </c>
      <c r="O32" s="92">
        <v>0</v>
      </c>
      <c r="P32" s="52">
        <f>O32*$B$32</f>
        <v>0</v>
      </c>
      <c r="Q32" s="92">
        <v>0</v>
      </c>
      <c r="R32" s="52">
        <f>Q32*$B$32</f>
        <v>0</v>
      </c>
      <c r="S32" s="92">
        <v>0</v>
      </c>
      <c r="T32" s="52">
        <f>S32*$B$32</f>
        <v>0</v>
      </c>
      <c r="U32" s="92">
        <v>0</v>
      </c>
      <c r="V32" s="52">
        <f>U32*$B$32</f>
        <v>0</v>
      </c>
      <c r="W32" s="92">
        <v>0</v>
      </c>
      <c r="X32" s="52">
        <f>W32*$B$32</f>
        <v>0</v>
      </c>
      <c r="Y32" s="92">
        <v>0</v>
      </c>
      <c r="Z32" s="52">
        <f>Y32*$B$32</f>
        <v>0</v>
      </c>
      <c r="AA32" s="92">
        <v>0</v>
      </c>
      <c r="AB32" s="52">
        <f>AA32*$B$32</f>
        <v>0</v>
      </c>
      <c r="AC32" s="92">
        <v>0</v>
      </c>
      <c r="AD32" s="52">
        <f>AC32*$B$32</f>
        <v>0</v>
      </c>
      <c r="AE32" s="38">
        <f>C32+E32+G32+AC32</f>
        <v>90</v>
      </c>
      <c r="AF32" s="126">
        <f>D32+F32+H32+AB32+AD32</f>
        <v>6750</v>
      </c>
      <c r="AH32" s="206" t="s">
        <v>94</v>
      </c>
    </row>
    <row r="33" spans="1:34" ht="15" x14ac:dyDescent="0.2">
      <c r="A33" s="94" t="s">
        <v>87</v>
      </c>
      <c r="B33" s="95">
        <v>75</v>
      </c>
      <c r="C33" s="92">
        <v>90</v>
      </c>
      <c r="D33" s="52">
        <f>C33*$B$32</f>
        <v>6750</v>
      </c>
      <c r="E33" s="92">
        <v>0</v>
      </c>
      <c r="F33" s="52">
        <f>E33*$B$32</f>
        <v>0</v>
      </c>
      <c r="G33" s="92">
        <v>0</v>
      </c>
      <c r="H33" s="52">
        <f>G33*$B$32</f>
        <v>0</v>
      </c>
      <c r="I33" s="92">
        <v>0</v>
      </c>
      <c r="J33" s="52">
        <f>I33*$B$32</f>
        <v>0</v>
      </c>
      <c r="K33" s="92">
        <v>0</v>
      </c>
      <c r="L33" s="52">
        <f>K33*$B$32</f>
        <v>0</v>
      </c>
      <c r="M33" s="92">
        <v>0</v>
      </c>
      <c r="N33" s="52">
        <f>M33*$B$32</f>
        <v>0</v>
      </c>
      <c r="O33" s="92">
        <v>0</v>
      </c>
      <c r="P33" s="52">
        <f>O33*$B$32</f>
        <v>0</v>
      </c>
      <c r="Q33" s="92">
        <v>0</v>
      </c>
      <c r="R33" s="52">
        <f>Q33*$B$32</f>
        <v>0</v>
      </c>
      <c r="S33" s="92">
        <v>0</v>
      </c>
      <c r="T33" s="52">
        <f>S33*$B$32</f>
        <v>0</v>
      </c>
      <c r="U33" s="92">
        <v>0</v>
      </c>
      <c r="V33" s="52">
        <f>U33*$B$32</f>
        <v>0</v>
      </c>
      <c r="W33" s="92">
        <v>0</v>
      </c>
      <c r="X33" s="52">
        <f>W33*$B$32</f>
        <v>0</v>
      </c>
      <c r="Y33" s="92">
        <v>0</v>
      </c>
      <c r="Z33" s="52">
        <f>Y33*$B$32</f>
        <v>0</v>
      </c>
      <c r="AA33" s="92">
        <v>0</v>
      </c>
      <c r="AB33" s="52">
        <f>AA33*$B$32</f>
        <v>0</v>
      </c>
      <c r="AC33" s="92">
        <v>0</v>
      </c>
      <c r="AD33" s="52">
        <f>AC33*$B$32</f>
        <v>0</v>
      </c>
      <c r="AE33" s="38">
        <f>C33+E33+G33+AC33</f>
        <v>90</v>
      </c>
      <c r="AF33" s="126">
        <f t="shared" si="4"/>
        <v>6750</v>
      </c>
      <c r="AH33" s="206" t="s">
        <v>95</v>
      </c>
    </row>
    <row r="34" spans="1:34" ht="15.75" thickBot="1" x14ac:dyDescent="0.25">
      <c r="A34" s="96"/>
      <c r="B34" s="97"/>
      <c r="C34" s="98"/>
      <c r="D34" s="99"/>
      <c r="E34" s="100"/>
      <c r="F34" s="99"/>
      <c r="G34" s="98"/>
      <c r="H34" s="99"/>
      <c r="I34" s="98">
        <v>0</v>
      </c>
      <c r="J34" s="99">
        <f>I34*$B$34</f>
        <v>0</v>
      </c>
      <c r="K34" s="98">
        <v>0</v>
      </c>
      <c r="L34" s="99">
        <f>K34*$B$34</f>
        <v>0</v>
      </c>
      <c r="M34" s="98">
        <v>0</v>
      </c>
      <c r="N34" s="99">
        <f>M34*$B$34</f>
        <v>0</v>
      </c>
      <c r="O34" s="98">
        <v>0</v>
      </c>
      <c r="P34" s="99">
        <f>O34*$B$34</f>
        <v>0</v>
      </c>
      <c r="Q34" s="98">
        <v>0</v>
      </c>
      <c r="R34" s="99">
        <f>Q34*$B$34</f>
        <v>0</v>
      </c>
      <c r="S34" s="98">
        <v>0</v>
      </c>
      <c r="T34" s="99">
        <f>S34*$B$34</f>
        <v>0</v>
      </c>
      <c r="U34" s="98">
        <v>0</v>
      </c>
      <c r="V34" s="99">
        <f>U34*$B$34</f>
        <v>0</v>
      </c>
      <c r="W34" s="98">
        <v>0</v>
      </c>
      <c r="X34" s="99">
        <f>W34*$B$34</f>
        <v>0</v>
      </c>
      <c r="Y34" s="98">
        <v>0</v>
      </c>
      <c r="Z34" s="99">
        <f>Y34*$B$34</f>
        <v>0</v>
      </c>
      <c r="AA34" s="98"/>
      <c r="AB34" s="99"/>
      <c r="AC34" s="98"/>
      <c r="AD34" s="99"/>
      <c r="AE34" s="59">
        <f>C34+E34+G34+I34+K34+M34+O34+Q34+S34+U34+W34+Y34+AA34</f>
        <v>0</v>
      </c>
      <c r="AF34" s="126">
        <f t="shared" si="4"/>
        <v>0</v>
      </c>
      <c r="AH34" s="124"/>
    </row>
    <row r="35" spans="1:34" ht="15.75" thickBot="1" x14ac:dyDescent="0.3">
      <c r="A35" s="101" t="s">
        <v>13</v>
      </c>
      <c r="B35" s="102"/>
      <c r="C35" s="103"/>
      <c r="D35" s="104"/>
      <c r="E35" s="105"/>
      <c r="F35" s="104"/>
      <c r="G35" s="105"/>
      <c r="H35" s="104"/>
      <c r="I35" s="103"/>
      <c r="J35" s="104"/>
      <c r="K35" s="105"/>
      <c r="L35" s="104"/>
      <c r="M35" s="105"/>
      <c r="N35" s="104"/>
      <c r="O35" s="105"/>
      <c r="P35" s="104"/>
      <c r="Q35" s="105"/>
      <c r="R35" s="104"/>
      <c r="S35" s="105"/>
      <c r="T35" s="104"/>
      <c r="U35" s="105"/>
      <c r="V35" s="104"/>
      <c r="W35" s="105"/>
      <c r="X35" s="104"/>
      <c r="Y35" s="105"/>
      <c r="Z35" s="104"/>
      <c r="AA35" s="105"/>
      <c r="AB35" s="104"/>
      <c r="AC35" s="105"/>
      <c r="AD35" s="104"/>
      <c r="AE35" s="89"/>
      <c r="AF35" s="126">
        <f t="shared" si="4"/>
        <v>0</v>
      </c>
      <c r="AH35" s="124"/>
    </row>
    <row r="36" spans="1:34" ht="25.5" x14ac:dyDescent="0.2">
      <c r="A36" s="129" t="s">
        <v>62</v>
      </c>
      <c r="B36" s="241">
        <v>3500</v>
      </c>
      <c r="C36" s="92">
        <v>3</v>
      </c>
      <c r="D36" s="37">
        <f>C36*B36</f>
        <v>10500</v>
      </c>
      <c r="E36" s="92">
        <v>0</v>
      </c>
      <c r="F36" s="37">
        <f>E36*B36</f>
        <v>0</v>
      </c>
      <c r="G36" s="92">
        <v>0</v>
      </c>
      <c r="H36" s="37">
        <f t="shared" ref="H36:H43" si="6">G36*B36</f>
        <v>0</v>
      </c>
      <c r="I36" s="92">
        <v>0</v>
      </c>
      <c r="J36" s="37">
        <f>I36*$B$36</f>
        <v>0</v>
      </c>
      <c r="K36" s="92">
        <v>0</v>
      </c>
      <c r="L36" s="37">
        <f>K36*$B$36</f>
        <v>0</v>
      </c>
      <c r="M36" s="92">
        <v>0</v>
      </c>
      <c r="N36" s="37">
        <f>M36*$B$36</f>
        <v>0</v>
      </c>
      <c r="O36" s="92">
        <v>0</v>
      </c>
      <c r="P36" s="37">
        <f>O36*$B$36</f>
        <v>0</v>
      </c>
      <c r="Q36" s="92">
        <v>0</v>
      </c>
      <c r="R36" s="37">
        <f>Q36*$B$36</f>
        <v>0</v>
      </c>
      <c r="S36" s="92">
        <v>0</v>
      </c>
      <c r="T36" s="37">
        <f>S36*$B$36</f>
        <v>0</v>
      </c>
      <c r="U36" s="92">
        <v>0</v>
      </c>
      <c r="V36" s="37">
        <f>U36*$B$36</f>
        <v>0</v>
      </c>
      <c r="W36" s="92">
        <v>0</v>
      </c>
      <c r="X36" s="37">
        <f>W36*$B$36</f>
        <v>0</v>
      </c>
      <c r="Y36" s="92">
        <v>0</v>
      </c>
      <c r="Z36" s="37">
        <f>Y36*$B$36</f>
        <v>0</v>
      </c>
      <c r="AA36" s="92">
        <v>0</v>
      </c>
      <c r="AB36" s="37">
        <f>AA36*B36</f>
        <v>0</v>
      </c>
      <c r="AC36" s="92">
        <v>0</v>
      </c>
      <c r="AD36" s="37">
        <f t="shared" ref="AD36:AD43" si="7">AC36*B36</f>
        <v>0</v>
      </c>
      <c r="AE36" s="93">
        <f>C36+E36+G36+AC36+AA36</f>
        <v>3</v>
      </c>
      <c r="AF36" s="126">
        <f t="shared" si="4"/>
        <v>10500</v>
      </c>
      <c r="AH36" s="228" t="s">
        <v>112</v>
      </c>
    </row>
    <row r="37" spans="1:34" ht="25.5" x14ac:dyDescent="0.2">
      <c r="A37" s="129" t="s">
        <v>62</v>
      </c>
      <c r="B37" s="241">
        <v>175</v>
      </c>
      <c r="C37" s="92">
        <v>45</v>
      </c>
      <c r="D37" s="37">
        <f>C37*B37</f>
        <v>7875</v>
      </c>
      <c r="E37" s="92">
        <v>0</v>
      </c>
      <c r="F37" s="37">
        <f>E37*B37</f>
        <v>0</v>
      </c>
      <c r="G37" s="92">
        <v>0</v>
      </c>
      <c r="H37" s="37">
        <f t="shared" ref="H37" si="8">G37*B37</f>
        <v>0</v>
      </c>
      <c r="I37" s="92">
        <v>0</v>
      </c>
      <c r="J37" s="37">
        <f>I37*$B$36</f>
        <v>0</v>
      </c>
      <c r="K37" s="92">
        <v>0</v>
      </c>
      <c r="L37" s="37">
        <f>K37*$B$36</f>
        <v>0</v>
      </c>
      <c r="M37" s="92">
        <v>0</v>
      </c>
      <c r="N37" s="37">
        <f>M37*$B$36</f>
        <v>0</v>
      </c>
      <c r="O37" s="92">
        <v>0</v>
      </c>
      <c r="P37" s="37">
        <f>O37*$B$36</f>
        <v>0</v>
      </c>
      <c r="Q37" s="92">
        <v>0</v>
      </c>
      <c r="R37" s="37">
        <f>Q37*$B$36</f>
        <v>0</v>
      </c>
      <c r="S37" s="92">
        <v>0</v>
      </c>
      <c r="T37" s="37">
        <f>S37*$B$36</f>
        <v>0</v>
      </c>
      <c r="U37" s="92">
        <v>0</v>
      </c>
      <c r="V37" s="37">
        <f>U37*$B$36</f>
        <v>0</v>
      </c>
      <c r="W37" s="92">
        <v>0</v>
      </c>
      <c r="X37" s="37">
        <f>W37*$B$36</f>
        <v>0</v>
      </c>
      <c r="Y37" s="92">
        <v>0</v>
      </c>
      <c r="Z37" s="37">
        <f>Y37*$B$36</f>
        <v>0</v>
      </c>
      <c r="AA37" s="92">
        <v>0</v>
      </c>
      <c r="AB37" s="37">
        <f>AA37*B37</f>
        <v>0</v>
      </c>
      <c r="AC37" s="92">
        <v>0</v>
      </c>
      <c r="AD37" s="37">
        <f t="shared" ref="AD37" si="9">AC37*B37</f>
        <v>0</v>
      </c>
      <c r="AE37" s="93">
        <f>C37+E37+G37+AC37+AA37</f>
        <v>45</v>
      </c>
      <c r="AF37" s="126">
        <f t="shared" ref="AF37" si="10">D37+F37+H37+AD37+AB37</f>
        <v>7875</v>
      </c>
      <c r="AH37" s="228" t="s">
        <v>112</v>
      </c>
    </row>
    <row r="38" spans="1:34" ht="15" x14ac:dyDescent="0.2">
      <c r="A38" s="130" t="s">
        <v>108</v>
      </c>
      <c r="B38" s="106">
        <v>56</v>
      </c>
      <c r="C38" s="92">
        <v>180</v>
      </c>
      <c r="D38" s="37">
        <f t="shared" ref="D38:D43" si="11">C38*B38</f>
        <v>10080</v>
      </c>
      <c r="E38" s="92">
        <v>0</v>
      </c>
      <c r="F38" s="37">
        <f t="shared" ref="F38:F43" si="12">E38*B38</f>
        <v>0</v>
      </c>
      <c r="G38" s="92">
        <v>0</v>
      </c>
      <c r="H38" s="37">
        <f t="shared" si="6"/>
        <v>0</v>
      </c>
      <c r="I38" s="92">
        <v>0</v>
      </c>
      <c r="J38" s="37">
        <f>I38*$B$38</f>
        <v>0</v>
      </c>
      <c r="K38" s="92">
        <v>0</v>
      </c>
      <c r="L38" s="37">
        <f>K38*$B$38</f>
        <v>0</v>
      </c>
      <c r="M38" s="92">
        <v>0</v>
      </c>
      <c r="N38" s="37">
        <f>M38*$B$38</f>
        <v>0</v>
      </c>
      <c r="O38" s="92">
        <v>0</v>
      </c>
      <c r="P38" s="37">
        <f>O38*$B$38</f>
        <v>0</v>
      </c>
      <c r="Q38" s="92">
        <v>0</v>
      </c>
      <c r="R38" s="37">
        <f>Q38*$B$38</f>
        <v>0</v>
      </c>
      <c r="S38" s="92">
        <v>0</v>
      </c>
      <c r="T38" s="37">
        <f>S38*$B$38</f>
        <v>0</v>
      </c>
      <c r="U38" s="92">
        <v>0</v>
      </c>
      <c r="V38" s="37">
        <f>U38*$B$38</f>
        <v>0</v>
      </c>
      <c r="W38" s="92">
        <v>0</v>
      </c>
      <c r="X38" s="37">
        <f>W38*$B$38</f>
        <v>0</v>
      </c>
      <c r="Y38" s="92">
        <v>0</v>
      </c>
      <c r="Z38" s="37">
        <f>Y38*$B$38</f>
        <v>0</v>
      </c>
      <c r="AA38" s="92">
        <v>0</v>
      </c>
      <c r="AB38" s="37">
        <f t="shared" ref="AB38:AB47" si="13">AA38*B38</f>
        <v>0</v>
      </c>
      <c r="AC38" s="92">
        <v>0</v>
      </c>
      <c r="AD38" s="37">
        <f t="shared" si="7"/>
        <v>0</v>
      </c>
      <c r="AE38" s="93">
        <f t="shared" ref="AE38:AE43" si="14">C38+E38+G38+AC38+AA38</f>
        <v>180</v>
      </c>
      <c r="AF38" s="126">
        <f t="shared" si="4"/>
        <v>10080</v>
      </c>
      <c r="AH38" s="124" t="s">
        <v>109</v>
      </c>
    </row>
    <row r="39" spans="1:34" ht="15" x14ac:dyDescent="0.2">
      <c r="A39" s="130" t="s">
        <v>80</v>
      </c>
      <c r="B39" s="106">
        <v>56</v>
      </c>
      <c r="C39" s="92">
        <v>45</v>
      </c>
      <c r="D39" s="37">
        <f t="shared" si="11"/>
        <v>2520</v>
      </c>
      <c r="E39" s="92">
        <v>0</v>
      </c>
      <c r="F39" s="37">
        <f t="shared" si="12"/>
        <v>0</v>
      </c>
      <c r="G39" s="92">
        <v>0</v>
      </c>
      <c r="H39" s="37">
        <f t="shared" si="6"/>
        <v>0</v>
      </c>
      <c r="I39" s="92">
        <v>0</v>
      </c>
      <c r="J39" s="37">
        <f>I39*$B$38</f>
        <v>0</v>
      </c>
      <c r="K39" s="92">
        <v>0</v>
      </c>
      <c r="L39" s="37">
        <f>K39*$B$38</f>
        <v>0</v>
      </c>
      <c r="M39" s="92">
        <v>0</v>
      </c>
      <c r="N39" s="37">
        <f>M39*$B$38</f>
        <v>0</v>
      </c>
      <c r="O39" s="92">
        <v>0</v>
      </c>
      <c r="P39" s="37">
        <f>O39*$B$38</f>
        <v>0</v>
      </c>
      <c r="Q39" s="92">
        <v>0</v>
      </c>
      <c r="R39" s="37">
        <f>Q39*$B$38</f>
        <v>0</v>
      </c>
      <c r="S39" s="92">
        <v>0</v>
      </c>
      <c r="T39" s="37">
        <f>S39*$B$38</f>
        <v>0</v>
      </c>
      <c r="U39" s="92">
        <v>0</v>
      </c>
      <c r="V39" s="37">
        <f>U39*$B$38</f>
        <v>0</v>
      </c>
      <c r="W39" s="92">
        <v>0</v>
      </c>
      <c r="X39" s="37">
        <f>W39*$B$38</f>
        <v>0</v>
      </c>
      <c r="Y39" s="92">
        <v>0</v>
      </c>
      <c r="Z39" s="37">
        <f>Y39*$B$38</f>
        <v>0</v>
      </c>
      <c r="AA39" s="92">
        <v>0</v>
      </c>
      <c r="AB39" s="37">
        <f t="shared" si="13"/>
        <v>0</v>
      </c>
      <c r="AC39" s="92">
        <v>0</v>
      </c>
      <c r="AD39" s="37">
        <f t="shared" si="7"/>
        <v>0</v>
      </c>
      <c r="AE39" s="93">
        <f t="shared" si="14"/>
        <v>45</v>
      </c>
      <c r="AF39" s="126">
        <f t="shared" si="4"/>
        <v>2520</v>
      </c>
      <c r="AH39" s="124" t="s">
        <v>96</v>
      </c>
    </row>
    <row r="40" spans="1:34" ht="15" x14ac:dyDescent="0.2">
      <c r="A40" s="131" t="s">
        <v>46</v>
      </c>
      <c r="B40" s="106">
        <v>100</v>
      </c>
      <c r="C40" s="92">
        <v>45</v>
      </c>
      <c r="D40" s="37">
        <f t="shared" si="11"/>
        <v>4500</v>
      </c>
      <c r="E40" s="92">
        <v>0</v>
      </c>
      <c r="F40" s="37">
        <f t="shared" si="12"/>
        <v>0</v>
      </c>
      <c r="G40" s="92">
        <v>0</v>
      </c>
      <c r="H40" s="37">
        <f t="shared" si="6"/>
        <v>0</v>
      </c>
      <c r="I40" s="92">
        <v>0</v>
      </c>
      <c r="J40" s="37">
        <f>I40*$B$40</f>
        <v>0</v>
      </c>
      <c r="K40" s="92">
        <v>0</v>
      </c>
      <c r="L40" s="37">
        <f>K40*$B$40</f>
        <v>0</v>
      </c>
      <c r="M40" s="92">
        <v>0</v>
      </c>
      <c r="N40" s="37">
        <f>M40*$B$40</f>
        <v>0</v>
      </c>
      <c r="O40" s="92">
        <v>0</v>
      </c>
      <c r="P40" s="37">
        <f>O40*$B$40</f>
        <v>0</v>
      </c>
      <c r="Q40" s="92">
        <v>0</v>
      </c>
      <c r="R40" s="37">
        <f>Q40*$B$40</f>
        <v>0</v>
      </c>
      <c r="S40" s="92">
        <v>0</v>
      </c>
      <c r="T40" s="37">
        <f>S40*$B$40</f>
        <v>0</v>
      </c>
      <c r="U40" s="92">
        <v>0</v>
      </c>
      <c r="V40" s="37">
        <f>U40*$B$40</f>
        <v>0</v>
      </c>
      <c r="W40" s="92">
        <v>0</v>
      </c>
      <c r="X40" s="37">
        <f>W40*$B$40</f>
        <v>0</v>
      </c>
      <c r="Y40" s="92">
        <v>0</v>
      </c>
      <c r="Z40" s="37">
        <f>Y40*$B$40</f>
        <v>0</v>
      </c>
      <c r="AA40" s="92">
        <v>0</v>
      </c>
      <c r="AB40" s="37">
        <f t="shared" si="13"/>
        <v>0</v>
      </c>
      <c r="AC40" s="92">
        <v>0</v>
      </c>
      <c r="AD40" s="37">
        <f t="shared" si="7"/>
        <v>0</v>
      </c>
      <c r="AE40" s="93">
        <f t="shared" si="14"/>
        <v>45</v>
      </c>
      <c r="AF40" s="126">
        <f t="shared" si="4"/>
        <v>4500</v>
      </c>
      <c r="AH40" s="124"/>
    </row>
    <row r="41" spans="1:34" ht="30.75" customHeight="1" x14ac:dyDescent="0.2">
      <c r="A41" s="132" t="s">
        <v>88</v>
      </c>
      <c r="B41" s="127">
        <v>550</v>
      </c>
      <c r="C41" s="92">
        <v>4</v>
      </c>
      <c r="D41" s="37">
        <f t="shared" si="11"/>
        <v>2200</v>
      </c>
      <c r="E41" s="92">
        <v>0</v>
      </c>
      <c r="F41" s="37">
        <f t="shared" si="12"/>
        <v>0</v>
      </c>
      <c r="G41" s="92">
        <v>0</v>
      </c>
      <c r="H41" s="37">
        <f t="shared" si="6"/>
        <v>0</v>
      </c>
      <c r="I41" s="92">
        <v>0</v>
      </c>
      <c r="J41" s="37">
        <f>I41*$B$43</f>
        <v>0</v>
      </c>
      <c r="K41" s="92">
        <v>0</v>
      </c>
      <c r="L41" s="37">
        <f>K41*$B$43</f>
        <v>0</v>
      </c>
      <c r="M41" s="92">
        <v>0</v>
      </c>
      <c r="N41" s="37">
        <f>M41*$B$43</f>
        <v>0</v>
      </c>
      <c r="O41" s="92">
        <v>0</v>
      </c>
      <c r="P41" s="37">
        <f>O41*$B$43</f>
        <v>0</v>
      </c>
      <c r="Q41" s="92">
        <v>0</v>
      </c>
      <c r="R41" s="37">
        <f>Q41*$B$43</f>
        <v>0</v>
      </c>
      <c r="S41" s="92">
        <v>0</v>
      </c>
      <c r="T41" s="37">
        <f>S41*$B$43</f>
        <v>0</v>
      </c>
      <c r="U41" s="92">
        <v>0</v>
      </c>
      <c r="V41" s="37">
        <f>U41*$B$43</f>
        <v>0</v>
      </c>
      <c r="W41" s="92">
        <v>0</v>
      </c>
      <c r="X41" s="37">
        <f>W41*$B$43</f>
        <v>0</v>
      </c>
      <c r="Y41" s="92">
        <v>0</v>
      </c>
      <c r="Z41" s="37">
        <f>Y41*$B$43</f>
        <v>0</v>
      </c>
      <c r="AA41" s="92">
        <v>0</v>
      </c>
      <c r="AB41" s="37">
        <f t="shared" si="13"/>
        <v>0</v>
      </c>
      <c r="AC41" s="92">
        <v>0</v>
      </c>
      <c r="AD41" s="37">
        <f t="shared" si="7"/>
        <v>0</v>
      </c>
      <c r="AE41" s="93">
        <f t="shared" si="14"/>
        <v>4</v>
      </c>
      <c r="AF41" s="126">
        <f t="shared" si="4"/>
        <v>2200</v>
      </c>
      <c r="AH41" s="124" t="s">
        <v>97</v>
      </c>
    </row>
    <row r="42" spans="1:34" ht="30" customHeight="1" x14ac:dyDescent="0.2">
      <c r="A42" s="132" t="s">
        <v>89</v>
      </c>
      <c r="B42" s="127">
        <v>550</v>
      </c>
      <c r="C42" s="92">
        <v>4</v>
      </c>
      <c r="D42" s="37">
        <f t="shared" si="11"/>
        <v>2200</v>
      </c>
      <c r="E42" s="92">
        <v>0</v>
      </c>
      <c r="F42" s="37">
        <f t="shared" si="12"/>
        <v>0</v>
      </c>
      <c r="G42" s="92">
        <v>0</v>
      </c>
      <c r="H42" s="37">
        <f t="shared" si="6"/>
        <v>0</v>
      </c>
      <c r="I42" s="92">
        <v>0</v>
      </c>
      <c r="J42" s="37">
        <f>I42*$B$43</f>
        <v>0</v>
      </c>
      <c r="K42" s="92">
        <v>0</v>
      </c>
      <c r="L42" s="37">
        <f>K42*$B$43</f>
        <v>0</v>
      </c>
      <c r="M42" s="92">
        <v>0</v>
      </c>
      <c r="N42" s="37">
        <f>M42*$B$43</f>
        <v>0</v>
      </c>
      <c r="O42" s="92">
        <v>0</v>
      </c>
      <c r="P42" s="37">
        <f>O42*$B$43</f>
        <v>0</v>
      </c>
      <c r="Q42" s="92">
        <v>0</v>
      </c>
      <c r="R42" s="37">
        <f>Q42*$B$43</f>
        <v>0</v>
      </c>
      <c r="S42" s="92">
        <v>0</v>
      </c>
      <c r="T42" s="37">
        <f>S42*$B$43</f>
        <v>0</v>
      </c>
      <c r="U42" s="92">
        <v>0</v>
      </c>
      <c r="V42" s="37">
        <f>U42*$B$43</f>
        <v>0</v>
      </c>
      <c r="W42" s="92">
        <v>0</v>
      </c>
      <c r="X42" s="37">
        <f>W42*$B$43</f>
        <v>0</v>
      </c>
      <c r="Y42" s="92">
        <v>0</v>
      </c>
      <c r="Z42" s="37">
        <f>Y42*$B$43</f>
        <v>0</v>
      </c>
      <c r="AA42" s="92">
        <v>0</v>
      </c>
      <c r="AB42" s="37">
        <f t="shared" si="13"/>
        <v>0</v>
      </c>
      <c r="AC42" s="92">
        <v>0</v>
      </c>
      <c r="AD42" s="37">
        <f t="shared" si="7"/>
        <v>0</v>
      </c>
      <c r="AE42" s="93">
        <f t="shared" si="14"/>
        <v>4</v>
      </c>
      <c r="AF42" s="126">
        <f t="shared" si="4"/>
        <v>2200</v>
      </c>
      <c r="AH42" s="124" t="s">
        <v>98</v>
      </c>
    </row>
    <row r="43" spans="1:34" ht="33" customHeight="1" thickBot="1" x14ac:dyDescent="0.25">
      <c r="A43" s="132" t="s">
        <v>90</v>
      </c>
      <c r="B43" s="127">
        <v>550</v>
      </c>
      <c r="C43" s="92">
        <v>4</v>
      </c>
      <c r="D43" s="37">
        <f t="shared" si="11"/>
        <v>2200</v>
      </c>
      <c r="E43" s="92">
        <v>0</v>
      </c>
      <c r="F43" s="37">
        <f t="shared" si="12"/>
        <v>0</v>
      </c>
      <c r="G43" s="92">
        <v>0</v>
      </c>
      <c r="H43" s="37">
        <f t="shared" si="6"/>
        <v>0</v>
      </c>
      <c r="I43" s="92">
        <v>0</v>
      </c>
      <c r="J43" s="37">
        <f>I43*$B$43</f>
        <v>0</v>
      </c>
      <c r="K43" s="92">
        <v>0</v>
      </c>
      <c r="L43" s="37">
        <f>K43*$B$43</f>
        <v>0</v>
      </c>
      <c r="M43" s="92">
        <v>0</v>
      </c>
      <c r="N43" s="37">
        <f>M43*$B$43</f>
        <v>0</v>
      </c>
      <c r="O43" s="92">
        <v>0</v>
      </c>
      <c r="P43" s="37">
        <f>O43*$B$43</f>
        <v>0</v>
      </c>
      <c r="Q43" s="92">
        <v>0</v>
      </c>
      <c r="R43" s="37">
        <f>Q43*$B$43</f>
        <v>0</v>
      </c>
      <c r="S43" s="92">
        <v>0</v>
      </c>
      <c r="T43" s="37">
        <f>S43*$B$43</f>
        <v>0</v>
      </c>
      <c r="U43" s="92">
        <v>0</v>
      </c>
      <c r="V43" s="37">
        <f>U43*$B$43</f>
        <v>0</v>
      </c>
      <c r="W43" s="92">
        <v>0</v>
      </c>
      <c r="X43" s="37">
        <f>W43*$B$43</f>
        <v>0</v>
      </c>
      <c r="Y43" s="92">
        <v>0</v>
      </c>
      <c r="Z43" s="37">
        <f>Y43*$B$43</f>
        <v>0</v>
      </c>
      <c r="AA43" s="92">
        <v>0</v>
      </c>
      <c r="AB43" s="37">
        <f t="shared" si="13"/>
        <v>0</v>
      </c>
      <c r="AC43" s="92">
        <v>0</v>
      </c>
      <c r="AD43" s="37">
        <f t="shared" si="7"/>
        <v>0</v>
      </c>
      <c r="AE43" s="93">
        <f t="shared" si="14"/>
        <v>4</v>
      </c>
      <c r="AF43" s="126">
        <f t="shared" si="4"/>
        <v>2200</v>
      </c>
      <c r="AH43" s="124" t="s">
        <v>103</v>
      </c>
    </row>
    <row r="44" spans="1:34" ht="15.75" thickBot="1" x14ac:dyDescent="0.25">
      <c r="A44" s="107" t="s">
        <v>14</v>
      </c>
      <c r="B44" s="108"/>
      <c r="C44" s="109"/>
      <c r="D44" s="110"/>
      <c r="E44" s="111"/>
      <c r="F44" s="110"/>
      <c r="G44" s="111"/>
      <c r="H44" s="110"/>
      <c r="I44" s="109"/>
      <c r="J44" s="110"/>
      <c r="K44" s="111"/>
      <c r="L44" s="110"/>
      <c r="M44" s="111"/>
      <c r="N44" s="110"/>
      <c r="O44" s="111"/>
      <c r="P44" s="110"/>
      <c r="Q44" s="111"/>
      <c r="R44" s="110"/>
      <c r="S44" s="111"/>
      <c r="T44" s="110"/>
      <c r="U44" s="111"/>
      <c r="V44" s="110"/>
      <c r="W44" s="111"/>
      <c r="X44" s="110"/>
      <c r="Y44" s="111"/>
      <c r="Z44" s="110"/>
      <c r="AA44" s="111"/>
      <c r="AB44" s="111"/>
      <c r="AC44" s="111"/>
      <c r="AD44" s="110"/>
      <c r="AE44" s="93">
        <f t="shared" ref="AE44:AE79" si="15">C44+E44+G44+AC44</f>
        <v>0</v>
      </c>
      <c r="AF44" s="126">
        <f t="shared" si="4"/>
        <v>0</v>
      </c>
      <c r="AH44" s="124"/>
    </row>
    <row r="45" spans="1:34" ht="15" x14ac:dyDescent="0.2">
      <c r="A45" s="210" t="s">
        <v>49</v>
      </c>
      <c r="B45" s="211">
        <v>0</v>
      </c>
      <c r="C45" s="212"/>
      <c r="D45" s="213">
        <f>C45*B45</f>
        <v>0</v>
      </c>
      <c r="E45" s="214"/>
      <c r="F45" s="213">
        <f>E45*$B$46</f>
        <v>0</v>
      </c>
      <c r="G45" s="214"/>
      <c r="H45" s="213">
        <f>G45*$B$46</f>
        <v>0</v>
      </c>
      <c r="I45" s="214">
        <v>0</v>
      </c>
      <c r="J45" s="213">
        <f>I45*$B$46</f>
        <v>0</v>
      </c>
      <c r="K45" s="214">
        <v>0</v>
      </c>
      <c r="L45" s="213">
        <f>K45*$B$46</f>
        <v>0</v>
      </c>
      <c r="M45" s="214">
        <v>0</v>
      </c>
      <c r="N45" s="213">
        <f>M45*$B$46</f>
        <v>0</v>
      </c>
      <c r="O45" s="214">
        <v>0</v>
      </c>
      <c r="P45" s="213">
        <f>O45*$B$46</f>
        <v>0</v>
      </c>
      <c r="Q45" s="214">
        <v>0</v>
      </c>
      <c r="R45" s="213">
        <f>Q45*$B$46</f>
        <v>0</v>
      </c>
      <c r="S45" s="214">
        <v>0</v>
      </c>
      <c r="T45" s="213">
        <f>S45*$B$46</f>
        <v>0</v>
      </c>
      <c r="U45" s="214">
        <v>0</v>
      </c>
      <c r="V45" s="213">
        <f>U45*$B$46</f>
        <v>0</v>
      </c>
      <c r="W45" s="214">
        <v>0</v>
      </c>
      <c r="X45" s="213">
        <f>W45*$B$46</f>
        <v>0</v>
      </c>
      <c r="Y45" s="214">
        <v>0</v>
      </c>
      <c r="Z45" s="213">
        <f>Y45*$B$46</f>
        <v>0</v>
      </c>
      <c r="AA45" s="214"/>
      <c r="AB45" s="213">
        <f t="shared" ref="AB45" si="16">AA45*B45</f>
        <v>0</v>
      </c>
      <c r="AC45" s="214"/>
      <c r="AD45" s="213">
        <f>AC45*$B$46</f>
        <v>0</v>
      </c>
      <c r="AE45" s="93">
        <f t="shared" si="15"/>
        <v>0</v>
      </c>
      <c r="AF45" s="126">
        <f t="shared" si="4"/>
        <v>0</v>
      </c>
      <c r="AH45" s="215"/>
    </row>
    <row r="46" spans="1:34" ht="28.5" x14ac:dyDescent="0.2">
      <c r="A46" s="112" t="s">
        <v>32</v>
      </c>
      <c r="B46" s="113">
        <v>39</v>
      </c>
      <c r="C46" s="92">
        <v>132</v>
      </c>
      <c r="D46" s="52">
        <f>C46*$B$46</f>
        <v>5148</v>
      </c>
      <c r="E46" s="92">
        <v>0</v>
      </c>
      <c r="F46" s="52">
        <f>E46*$B$46</f>
        <v>0</v>
      </c>
      <c r="G46" s="92">
        <v>0</v>
      </c>
      <c r="H46" s="52">
        <f>G46*$B$46</f>
        <v>0</v>
      </c>
      <c r="I46" s="92">
        <v>0</v>
      </c>
      <c r="J46" s="52">
        <f>I46*$B$46</f>
        <v>0</v>
      </c>
      <c r="K46" s="92">
        <v>0</v>
      </c>
      <c r="L46" s="52">
        <f>K46*$B$46</f>
        <v>0</v>
      </c>
      <c r="M46" s="92">
        <v>0</v>
      </c>
      <c r="N46" s="52">
        <f>M46*$B$46</f>
        <v>0</v>
      </c>
      <c r="O46" s="92">
        <v>0</v>
      </c>
      <c r="P46" s="52">
        <f>O46*$B$46</f>
        <v>0</v>
      </c>
      <c r="Q46" s="92">
        <v>0</v>
      </c>
      <c r="R46" s="52">
        <f>Q46*$B$46</f>
        <v>0</v>
      </c>
      <c r="S46" s="92">
        <v>0</v>
      </c>
      <c r="T46" s="52">
        <f>S46*$B$46</f>
        <v>0</v>
      </c>
      <c r="U46" s="92">
        <v>0</v>
      </c>
      <c r="V46" s="52">
        <f>U46*$B$46</f>
        <v>0</v>
      </c>
      <c r="W46" s="92">
        <v>0</v>
      </c>
      <c r="X46" s="52">
        <f>W46*$B$46</f>
        <v>0</v>
      </c>
      <c r="Y46" s="92">
        <v>0</v>
      </c>
      <c r="Z46" s="52">
        <f>Y46*$B$46</f>
        <v>0</v>
      </c>
      <c r="AA46" s="92">
        <v>0</v>
      </c>
      <c r="AB46" s="37">
        <f t="shared" si="13"/>
        <v>0</v>
      </c>
      <c r="AC46" s="92">
        <v>0</v>
      </c>
      <c r="AD46" s="52">
        <f>AC46*$B$46</f>
        <v>0</v>
      </c>
      <c r="AE46" s="93">
        <f t="shared" si="15"/>
        <v>132</v>
      </c>
      <c r="AF46" s="126">
        <f t="shared" si="4"/>
        <v>5148</v>
      </c>
      <c r="AH46" s="207" t="s">
        <v>32</v>
      </c>
    </row>
    <row r="47" spans="1:34" ht="15" x14ac:dyDescent="0.2">
      <c r="A47" s="114" t="s">
        <v>39</v>
      </c>
      <c r="B47" s="115">
        <v>19.84</v>
      </c>
      <c r="C47" s="92">
        <v>56</v>
      </c>
      <c r="D47" s="52">
        <f>C47*B47</f>
        <v>1111.04</v>
      </c>
      <c r="E47" s="92">
        <v>0</v>
      </c>
      <c r="F47" s="52">
        <f>E47*B47</f>
        <v>0</v>
      </c>
      <c r="G47" s="92">
        <v>0</v>
      </c>
      <c r="H47" s="52">
        <f>G47*B47</f>
        <v>0</v>
      </c>
      <c r="I47" s="92"/>
      <c r="J47" s="52"/>
      <c r="K47" s="92"/>
      <c r="L47" s="52"/>
      <c r="M47" s="92"/>
      <c r="N47" s="52"/>
      <c r="O47" s="92"/>
      <c r="P47" s="52"/>
      <c r="Q47" s="92"/>
      <c r="R47" s="52"/>
      <c r="S47" s="92"/>
      <c r="T47" s="52"/>
      <c r="U47" s="92"/>
      <c r="V47" s="52"/>
      <c r="W47" s="92"/>
      <c r="X47" s="52"/>
      <c r="Y47" s="92"/>
      <c r="Z47" s="52"/>
      <c r="AA47" s="92">
        <v>0</v>
      </c>
      <c r="AB47" s="37">
        <f t="shared" si="13"/>
        <v>0</v>
      </c>
      <c r="AC47" s="92"/>
      <c r="AD47" s="52">
        <f>AC47*B47</f>
        <v>0</v>
      </c>
      <c r="AE47" s="93">
        <f t="shared" si="15"/>
        <v>56</v>
      </c>
      <c r="AF47" s="126">
        <f t="shared" si="4"/>
        <v>1111.04</v>
      </c>
      <c r="AH47" s="206" t="s">
        <v>50</v>
      </c>
    </row>
    <row r="48" spans="1:34" ht="15" x14ac:dyDescent="0.2">
      <c r="A48" s="114" t="s">
        <v>81</v>
      </c>
      <c r="B48" s="115">
        <v>1500</v>
      </c>
      <c r="C48" s="92">
        <v>1</v>
      </c>
      <c r="D48" s="52">
        <f>C48*B48</f>
        <v>1500</v>
      </c>
      <c r="E48" s="92"/>
      <c r="F48" s="52"/>
      <c r="G48" s="92"/>
      <c r="H48" s="52"/>
      <c r="I48" s="92"/>
      <c r="J48" s="52"/>
      <c r="K48" s="92"/>
      <c r="L48" s="52"/>
      <c r="M48" s="92"/>
      <c r="N48" s="52"/>
      <c r="O48" s="92"/>
      <c r="P48" s="52"/>
      <c r="Q48" s="92"/>
      <c r="R48" s="52"/>
      <c r="S48" s="92"/>
      <c r="T48" s="52"/>
      <c r="U48" s="92"/>
      <c r="V48" s="52"/>
      <c r="W48" s="92"/>
      <c r="X48" s="52"/>
      <c r="Y48" s="92"/>
      <c r="Z48" s="52"/>
      <c r="AA48" s="92"/>
      <c r="AB48" s="52"/>
      <c r="AC48" s="92"/>
      <c r="AD48" s="52"/>
      <c r="AE48" s="93">
        <f t="shared" si="15"/>
        <v>1</v>
      </c>
      <c r="AF48" s="126">
        <f t="shared" si="4"/>
        <v>1500</v>
      </c>
      <c r="AH48" s="124"/>
    </row>
    <row r="49" spans="1:37" ht="15.75" thickBot="1" x14ac:dyDescent="0.25">
      <c r="A49" s="114" t="s">
        <v>52</v>
      </c>
      <c r="B49" s="115">
        <v>0</v>
      </c>
      <c r="C49" s="92">
        <v>1</v>
      </c>
      <c r="D49" s="52">
        <f>C49*B49</f>
        <v>0</v>
      </c>
      <c r="E49" s="92"/>
      <c r="F49" s="52"/>
      <c r="G49" s="92"/>
      <c r="H49" s="52"/>
      <c r="I49" s="92"/>
      <c r="J49" s="52"/>
      <c r="K49" s="92"/>
      <c r="L49" s="52"/>
      <c r="M49" s="92"/>
      <c r="N49" s="52"/>
      <c r="O49" s="92"/>
      <c r="P49" s="52"/>
      <c r="Q49" s="92"/>
      <c r="R49" s="52"/>
      <c r="S49" s="92"/>
      <c r="T49" s="52"/>
      <c r="U49" s="92"/>
      <c r="V49" s="52"/>
      <c r="W49" s="92"/>
      <c r="X49" s="52"/>
      <c r="Y49" s="92"/>
      <c r="Z49" s="52"/>
      <c r="AA49" s="92"/>
      <c r="AB49" s="52"/>
      <c r="AC49" s="92"/>
      <c r="AD49" s="52"/>
      <c r="AE49" s="93">
        <f t="shared" si="15"/>
        <v>1</v>
      </c>
      <c r="AF49" s="126">
        <f t="shared" si="4"/>
        <v>0</v>
      </c>
      <c r="AH49" s="124"/>
    </row>
    <row r="50" spans="1:37" ht="13.5" hidden="1" customHeight="1" thickBot="1" x14ac:dyDescent="0.25">
      <c r="A50" s="116"/>
      <c r="B50" s="117">
        <v>0</v>
      </c>
      <c r="C50" s="98">
        <v>0</v>
      </c>
      <c r="D50" s="118">
        <f>+C50*B50</f>
        <v>0</v>
      </c>
      <c r="E50" s="98">
        <v>0</v>
      </c>
      <c r="F50" s="118">
        <f>+E50*B50</f>
        <v>0</v>
      </c>
      <c r="G50" s="98">
        <v>0</v>
      </c>
      <c r="H50" s="118">
        <f>+G50*B50</f>
        <v>0</v>
      </c>
      <c r="I50" s="98">
        <v>0</v>
      </c>
      <c r="J50" s="56">
        <f>SUM($B50*I50)</f>
        <v>0</v>
      </c>
      <c r="K50" s="119">
        <v>0</v>
      </c>
      <c r="L50" s="56">
        <f>SUM($B50*K50)</f>
        <v>0</v>
      </c>
      <c r="M50" s="119">
        <v>0</v>
      </c>
      <c r="N50" s="56">
        <f>SUM($B50*M50)</f>
        <v>0</v>
      </c>
      <c r="O50" s="119">
        <v>0</v>
      </c>
      <c r="P50" s="56">
        <f>SUM($B50*O50)</f>
        <v>0</v>
      </c>
      <c r="Q50" s="119">
        <v>0</v>
      </c>
      <c r="R50" s="56">
        <f>SUM($B50*Q50)</f>
        <v>0</v>
      </c>
      <c r="S50" s="119">
        <v>0</v>
      </c>
      <c r="T50" s="56">
        <f>SUM($B50*S50)</f>
        <v>0</v>
      </c>
      <c r="U50" s="119">
        <v>0</v>
      </c>
      <c r="V50" s="56">
        <f>SUM($B50*U50)</f>
        <v>0</v>
      </c>
      <c r="W50" s="119">
        <v>0</v>
      </c>
      <c r="X50" s="56">
        <f>SUM($B50*W50)</f>
        <v>0</v>
      </c>
      <c r="Y50" s="119">
        <v>0</v>
      </c>
      <c r="Z50" s="56">
        <f>SUM($B50*Y50)</f>
        <v>0</v>
      </c>
      <c r="AA50" s="98">
        <v>0</v>
      </c>
      <c r="AB50" s="118">
        <f>+AA50*V50</f>
        <v>0</v>
      </c>
      <c r="AC50" s="98">
        <v>0</v>
      </c>
      <c r="AD50" s="118">
        <f>+AC50*X50</f>
        <v>0</v>
      </c>
      <c r="AE50" s="93">
        <f t="shared" si="15"/>
        <v>0</v>
      </c>
      <c r="AF50" s="126">
        <f t="shared" si="4"/>
        <v>0</v>
      </c>
      <c r="AH50" s="124"/>
    </row>
    <row r="51" spans="1:37" ht="15" x14ac:dyDescent="0.2">
      <c r="A51" s="135" t="s">
        <v>51</v>
      </c>
      <c r="B51" s="136"/>
      <c r="C51" s="137"/>
      <c r="D51" s="138"/>
      <c r="E51" s="137"/>
      <c r="F51" s="138"/>
      <c r="G51" s="137"/>
      <c r="H51" s="138"/>
      <c r="I51" s="137"/>
      <c r="J51" s="138"/>
      <c r="K51" s="139"/>
      <c r="L51" s="138"/>
      <c r="M51" s="139"/>
      <c r="N51" s="138"/>
      <c r="O51" s="139"/>
      <c r="P51" s="138"/>
      <c r="Q51" s="139"/>
      <c r="R51" s="138"/>
      <c r="S51" s="139"/>
      <c r="T51" s="138"/>
      <c r="U51" s="139"/>
      <c r="V51" s="138"/>
      <c r="W51" s="139"/>
      <c r="X51" s="138"/>
      <c r="Y51" s="139"/>
      <c r="Z51" s="138"/>
      <c r="AA51" s="137"/>
      <c r="AB51" s="138"/>
      <c r="AC51" s="137"/>
      <c r="AD51" s="138"/>
      <c r="AE51" s="93">
        <f t="shared" si="15"/>
        <v>0</v>
      </c>
      <c r="AF51" s="126">
        <f t="shared" si="4"/>
        <v>0</v>
      </c>
      <c r="AH51" s="124"/>
    </row>
    <row r="52" spans="1:37" ht="18.75" customHeight="1" x14ac:dyDescent="0.2">
      <c r="A52" s="140" t="s">
        <v>53</v>
      </c>
      <c r="B52" s="220"/>
      <c r="C52" s="141">
        <v>1</v>
      </c>
      <c r="D52" s="142">
        <f>C52*$B$52</f>
        <v>0</v>
      </c>
      <c r="E52" s="141">
        <v>0</v>
      </c>
      <c r="F52" s="142">
        <f>E52*$B$52</f>
        <v>0</v>
      </c>
      <c r="G52" s="141">
        <v>0</v>
      </c>
      <c r="H52" s="142">
        <f>G52*$B$52</f>
        <v>0</v>
      </c>
      <c r="I52" s="143">
        <v>0</v>
      </c>
      <c r="J52" s="142">
        <f>I52*$B$52</f>
        <v>0</v>
      </c>
      <c r="K52" s="143">
        <v>0</v>
      </c>
      <c r="L52" s="142">
        <f>K52*$B$52</f>
        <v>0</v>
      </c>
      <c r="M52" s="143">
        <v>0</v>
      </c>
      <c r="N52" s="142">
        <f>M52*$B$52</f>
        <v>0</v>
      </c>
      <c r="O52" s="143">
        <v>0</v>
      </c>
      <c r="P52" s="142">
        <f>O52*$B$52</f>
        <v>0</v>
      </c>
      <c r="Q52" s="143">
        <v>0</v>
      </c>
      <c r="R52" s="142">
        <f>Q52*$B$52</f>
        <v>0</v>
      </c>
      <c r="S52" s="143">
        <v>0</v>
      </c>
      <c r="T52" s="142">
        <f>S52*$B$52</f>
        <v>0</v>
      </c>
      <c r="U52" s="143">
        <v>0</v>
      </c>
      <c r="V52" s="142">
        <f>U52*$B$52</f>
        <v>0</v>
      </c>
      <c r="W52" s="143">
        <v>0</v>
      </c>
      <c r="X52" s="142">
        <f>W52*$B$52</f>
        <v>0</v>
      </c>
      <c r="Y52" s="143">
        <v>0</v>
      </c>
      <c r="Z52" s="142">
        <f>Y52*$B$52</f>
        <v>0</v>
      </c>
      <c r="AA52" s="141">
        <v>0</v>
      </c>
      <c r="AB52" s="142">
        <f>AA52*$B$52</f>
        <v>0</v>
      </c>
      <c r="AC52" s="141">
        <v>0</v>
      </c>
      <c r="AD52" s="142">
        <f>AC52*$B$52</f>
        <v>0</v>
      </c>
      <c r="AE52" s="134">
        <f t="shared" si="15"/>
        <v>1</v>
      </c>
      <c r="AF52" s="126">
        <f t="shared" si="4"/>
        <v>0</v>
      </c>
      <c r="AH52" s="124"/>
    </row>
    <row r="53" spans="1:37" ht="18.75" hidden="1" customHeight="1" x14ac:dyDescent="0.2">
      <c r="A53" s="140"/>
      <c r="B53" s="220"/>
      <c r="C53" s="141">
        <v>1</v>
      </c>
      <c r="D53" s="142">
        <f>C53*B53</f>
        <v>0</v>
      </c>
      <c r="E53" s="141">
        <v>0</v>
      </c>
      <c r="F53" s="142">
        <f>E53*$B$53</f>
        <v>0</v>
      </c>
      <c r="G53" s="141">
        <v>0</v>
      </c>
      <c r="H53" s="142">
        <f>G53*$B$53</f>
        <v>0</v>
      </c>
      <c r="I53" s="143">
        <v>0</v>
      </c>
      <c r="J53" s="142">
        <f>I53*$B$53</f>
        <v>0</v>
      </c>
      <c r="K53" s="143">
        <v>0</v>
      </c>
      <c r="L53" s="142">
        <f>K53*$B$53</f>
        <v>0</v>
      </c>
      <c r="M53" s="143">
        <v>0</v>
      </c>
      <c r="N53" s="142">
        <f>M53*$B$53</f>
        <v>0</v>
      </c>
      <c r="O53" s="143">
        <v>0</v>
      </c>
      <c r="P53" s="142">
        <f>O53*$B$53</f>
        <v>0</v>
      </c>
      <c r="Q53" s="143">
        <v>0</v>
      </c>
      <c r="R53" s="142">
        <f>Q53*$B$53</f>
        <v>0</v>
      </c>
      <c r="S53" s="143">
        <v>0</v>
      </c>
      <c r="T53" s="142">
        <f>S53*$B$53</f>
        <v>0</v>
      </c>
      <c r="U53" s="143">
        <v>0</v>
      </c>
      <c r="V53" s="142">
        <f>U53*$B$52</f>
        <v>0</v>
      </c>
      <c r="W53" s="143">
        <v>0</v>
      </c>
      <c r="X53" s="142">
        <f>W53*$B$52</f>
        <v>0</v>
      </c>
      <c r="Y53" s="143">
        <v>0</v>
      </c>
      <c r="Z53" s="142">
        <f>Y53*$B$52</f>
        <v>0</v>
      </c>
      <c r="AA53" s="141">
        <v>0</v>
      </c>
      <c r="AB53" s="142">
        <f>AA53*$B$53</f>
        <v>0</v>
      </c>
      <c r="AC53" s="141">
        <v>0</v>
      </c>
      <c r="AD53" s="142">
        <f>AC53*$B$53</f>
        <v>0</v>
      </c>
      <c r="AE53" s="134">
        <f t="shared" si="15"/>
        <v>1</v>
      </c>
      <c r="AF53" s="126">
        <f t="shared" si="4"/>
        <v>0</v>
      </c>
      <c r="AH53" s="124"/>
    </row>
    <row r="54" spans="1:37" ht="18.75" hidden="1" customHeight="1" x14ac:dyDescent="0.2">
      <c r="A54" s="140"/>
      <c r="B54" s="220"/>
      <c r="C54" s="141">
        <v>0</v>
      </c>
      <c r="D54" s="142">
        <f>C54*B54</f>
        <v>0</v>
      </c>
      <c r="E54" s="141">
        <v>1</v>
      </c>
      <c r="F54" s="142">
        <f>E54*$B$54</f>
        <v>0</v>
      </c>
      <c r="G54" s="141">
        <v>0</v>
      </c>
      <c r="H54" s="142">
        <f>G54*$B$54</f>
        <v>0</v>
      </c>
      <c r="I54" s="143">
        <v>0</v>
      </c>
      <c r="J54" s="142">
        <f>I54*$B$54</f>
        <v>0</v>
      </c>
      <c r="K54" s="143">
        <v>0</v>
      </c>
      <c r="L54" s="142">
        <f>K54*$B$54</f>
        <v>0</v>
      </c>
      <c r="M54" s="143">
        <v>0</v>
      </c>
      <c r="N54" s="142">
        <f>M54*$B$54</f>
        <v>0</v>
      </c>
      <c r="O54" s="143">
        <v>0</v>
      </c>
      <c r="P54" s="142">
        <f>O54*$B$54</f>
        <v>0</v>
      </c>
      <c r="Q54" s="143">
        <v>0</v>
      </c>
      <c r="R54" s="142">
        <f>Q54*$B$54</f>
        <v>0</v>
      </c>
      <c r="S54" s="143">
        <v>0</v>
      </c>
      <c r="T54" s="142">
        <f>S54*$B$54</f>
        <v>0</v>
      </c>
      <c r="U54" s="143">
        <v>0</v>
      </c>
      <c r="V54" s="142">
        <f>U54*$B$54</f>
        <v>0</v>
      </c>
      <c r="W54" s="143">
        <v>0</v>
      </c>
      <c r="X54" s="142">
        <f>W54*$B$54</f>
        <v>0</v>
      </c>
      <c r="Y54" s="143">
        <v>0</v>
      </c>
      <c r="Z54" s="142">
        <f>Y54*$B$54</f>
        <v>0</v>
      </c>
      <c r="AA54" s="141">
        <v>0</v>
      </c>
      <c r="AB54" s="142">
        <f>AA54*$B$54</f>
        <v>0</v>
      </c>
      <c r="AC54" s="141">
        <v>0</v>
      </c>
      <c r="AD54" s="142">
        <f>AC54*$B$54</f>
        <v>0</v>
      </c>
      <c r="AE54" s="134">
        <f t="shared" si="15"/>
        <v>1</v>
      </c>
      <c r="AF54" s="126">
        <f t="shared" si="4"/>
        <v>0</v>
      </c>
      <c r="AH54" s="124"/>
    </row>
    <row r="55" spans="1:37" ht="18.75" hidden="1" customHeight="1" x14ac:dyDescent="0.2">
      <c r="A55" s="140"/>
      <c r="B55" s="220"/>
      <c r="C55" s="141">
        <v>0</v>
      </c>
      <c r="D55" s="142">
        <f>C55*$B$55</f>
        <v>0</v>
      </c>
      <c r="E55" s="141">
        <v>0</v>
      </c>
      <c r="F55" s="142">
        <f>E55*$B$55</f>
        <v>0</v>
      </c>
      <c r="G55" s="141">
        <v>1</v>
      </c>
      <c r="H55" s="142">
        <f>G55*$B$55</f>
        <v>0</v>
      </c>
      <c r="I55" s="143">
        <v>0</v>
      </c>
      <c r="J55" s="142">
        <f>I55*$B$55</f>
        <v>0</v>
      </c>
      <c r="K55" s="143">
        <v>0</v>
      </c>
      <c r="L55" s="142">
        <f>K55*$B$55</f>
        <v>0</v>
      </c>
      <c r="M55" s="143">
        <v>0</v>
      </c>
      <c r="N55" s="142">
        <f>M55*$B$55</f>
        <v>0</v>
      </c>
      <c r="O55" s="143">
        <v>0</v>
      </c>
      <c r="P55" s="142">
        <f>O55*$B$55</f>
        <v>0</v>
      </c>
      <c r="Q55" s="143">
        <v>0</v>
      </c>
      <c r="R55" s="142">
        <f>Q55*$B$55</f>
        <v>0</v>
      </c>
      <c r="S55" s="143">
        <v>0</v>
      </c>
      <c r="T55" s="142">
        <f>S55*$B$55</f>
        <v>0</v>
      </c>
      <c r="U55" s="143">
        <v>0</v>
      </c>
      <c r="V55" s="142">
        <f>U55*$B$55</f>
        <v>0</v>
      </c>
      <c r="W55" s="143">
        <v>0</v>
      </c>
      <c r="X55" s="142">
        <f>W55*$B$55</f>
        <v>0</v>
      </c>
      <c r="Y55" s="143">
        <v>0</v>
      </c>
      <c r="Z55" s="142">
        <f>Y55*$B$55</f>
        <v>0</v>
      </c>
      <c r="AA55" s="141">
        <v>1</v>
      </c>
      <c r="AB55" s="142">
        <f>AA55*$B$55</f>
        <v>0</v>
      </c>
      <c r="AC55" s="141">
        <v>1</v>
      </c>
      <c r="AD55" s="142">
        <f>AC55*$B$55</f>
        <v>0</v>
      </c>
      <c r="AE55" s="134">
        <f t="shared" si="15"/>
        <v>2</v>
      </c>
      <c r="AF55" s="126">
        <f t="shared" si="4"/>
        <v>0</v>
      </c>
      <c r="AH55" s="124"/>
    </row>
    <row r="56" spans="1:37" ht="15" x14ac:dyDescent="0.2">
      <c r="A56" s="140" t="s">
        <v>56</v>
      </c>
      <c r="B56" s="220"/>
      <c r="C56" s="141">
        <v>0</v>
      </c>
      <c r="D56" s="142">
        <f>C56*$B$56</f>
        <v>0</v>
      </c>
      <c r="E56" s="141">
        <v>1</v>
      </c>
      <c r="F56" s="142">
        <f>E56*B56</f>
        <v>0</v>
      </c>
      <c r="G56" s="141">
        <v>0</v>
      </c>
      <c r="H56" s="142">
        <f>G56*$B$55</f>
        <v>0</v>
      </c>
      <c r="I56" s="143">
        <v>0</v>
      </c>
      <c r="J56" s="142">
        <f>I56*$B$55</f>
        <v>0</v>
      </c>
      <c r="K56" s="143">
        <v>0</v>
      </c>
      <c r="L56" s="142">
        <f>K56*$B$55</f>
        <v>0</v>
      </c>
      <c r="M56" s="143">
        <v>0</v>
      </c>
      <c r="N56" s="142">
        <f>M56*$B$55</f>
        <v>0</v>
      </c>
      <c r="O56" s="143">
        <v>0</v>
      </c>
      <c r="P56" s="142">
        <f>O56*$B$55</f>
        <v>0</v>
      </c>
      <c r="Q56" s="143">
        <v>0</v>
      </c>
      <c r="R56" s="142">
        <f>Q56*$B$55</f>
        <v>0</v>
      </c>
      <c r="S56" s="143">
        <v>0</v>
      </c>
      <c r="T56" s="142">
        <f>S56*$B$55</f>
        <v>0</v>
      </c>
      <c r="U56" s="143">
        <v>0</v>
      </c>
      <c r="V56" s="142">
        <f>U56*$B$55</f>
        <v>0</v>
      </c>
      <c r="W56" s="143">
        <v>0</v>
      </c>
      <c r="X56" s="142">
        <f>W56*$B$55</f>
        <v>0</v>
      </c>
      <c r="Y56" s="143">
        <v>0</v>
      </c>
      <c r="Z56" s="142">
        <f>Y56*$B$55</f>
        <v>0</v>
      </c>
      <c r="AA56" s="141">
        <v>0</v>
      </c>
      <c r="AB56" s="142">
        <f>AA56*$B$55</f>
        <v>0</v>
      </c>
      <c r="AC56" s="141">
        <v>0</v>
      </c>
      <c r="AD56" s="142">
        <f>AC56*$B$55</f>
        <v>0</v>
      </c>
      <c r="AE56" s="134">
        <f t="shared" si="15"/>
        <v>1</v>
      </c>
      <c r="AF56" s="126">
        <f t="shared" si="4"/>
        <v>0</v>
      </c>
      <c r="AH56" s="124"/>
      <c r="AK56" s="124"/>
    </row>
    <row r="57" spans="1:37" ht="15" hidden="1" customHeight="1" x14ac:dyDescent="0.2">
      <c r="A57" s="140"/>
      <c r="B57" s="220"/>
      <c r="C57" s="141">
        <v>0</v>
      </c>
      <c r="D57" s="142">
        <f>C57*$B$57</f>
        <v>0</v>
      </c>
      <c r="E57" s="141">
        <v>0</v>
      </c>
      <c r="F57" s="142">
        <f>E57*$B$57</f>
        <v>0</v>
      </c>
      <c r="G57" s="141">
        <v>0</v>
      </c>
      <c r="H57" s="142">
        <f>G57*$B$57</f>
        <v>0</v>
      </c>
      <c r="I57" s="143">
        <v>0</v>
      </c>
      <c r="J57" s="142">
        <f>I57*$B$57</f>
        <v>0</v>
      </c>
      <c r="K57" s="143">
        <v>0</v>
      </c>
      <c r="L57" s="142">
        <f>K57*$B$57</f>
        <v>0</v>
      </c>
      <c r="M57" s="143">
        <v>0</v>
      </c>
      <c r="N57" s="142">
        <f>M57*$B$57</f>
        <v>0</v>
      </c>
      <c r="O57" s="143">
        <v>0</v>
      </c>
      <c r="P57" s="142">
        <f>O57*$B$57</f>
        <v>0</v>
      </c>
      <c r="Q57" s="143">
        <v>0</v>
      </c>
      <c r="R57" s="142">
        <f>Q57*$B$57</f>
        <v>0</v>
      </c>
      <c r="S57" s="143">
        <v>0</v>
      </c>
      <c r="T57" s="142">
        <f>S57*$B$57</f>
        <v>0</v>
      </c>
      <c r="U57" s="143">
        <v>0</v>
      </c>
      <c r="V57" s="142">
        <f>U57*$B$57</f>
        <v>0</v>
      </c>
      <c r="W57" s="143">
        <v>0</v>
      </c>
      <c r="X57" s="142">
        <f>W57*$B$57</f>
        <v>0</v>
      </c>
      <c r="Y57" s="143">
        <v>0</v>
      </c>
      <c r="Z57" s="142">
        <f>Y57*$B$57</f>
        <v>0</v>
      </c>
      <c r="AA57" s="141">
        <v>0</v>
      </c>
      <c r="AB57" s="142">
        <f>AA57*$B$57</f>
        <v>0</v>
      </c>
      <c r="AC57" s="141">
        <v>0</v>
      </c>
      <c r="AD57" s="142">
        <f>AC57*$B$57</f>
        <v>0</v>
      </c>
      <c r="AE57" s="134">
        <f t="shared" si="15"/>
        <v>0</v>
      </c>
      <c r="AF57" s="126">
        <f t="shared" si="4"/>
        <v>0</v>
      </c>
      <c r="AH57" s="124"/>
    </row>
    <row r="58" spans="1:37" ht="15" hidden="1" customHeight="1" x14ac:dyDescent="0.2">
      <c r="A58" s="140"/>
      <c r="B58" s="220"/>
      <c r="C58" s="141">
        <v>0</v>
      </c>
      <c r="D58" s="142">
        <f>C58*$B$58</f>
        <v>0</v>
      </c>
      <c r="E58" s="141">
        <v>0</v>
      </c>
      <c r="F58" s="142">
        <f>E58*$B$57</f>
        <v>0</v>
      </c>
      <c r="G58" s="141">
        <v>0</v>
      </c>
      <c r="H58" s="142">
        <f>G58*$B$57</f>
        <v>0</v>
      </c>
      <c r="I58" s="143">
        <v>0</v>
      </c>
      <c r="J58" s="142">
        <f>I58*$B$57</f>
        <v>0</v>
      </c>
      <c r="K58" s="143">
        <v>0</v>
      </c>
      <c r="L58" s="142">
        <f>K58*$B$57</f>
        <v>0</v>
      </c>
      <c r="M58" s="143">
        <v>0</v>
      </c>
      <c r="N58" s="142">
        <f>M58*$B$57</f>
        <v>0</v>
      </c>
      <c r="O58" s="143">
        <v>0</v>
      </c>
      <c r="P58" s="142">
        <f>O58*$B$57</f>
        <v>0</v>
      </c>
      <c r="Q58" s="143">
        <v>0</v>
      </c>
      <c r="R58" s="142">
        <f>Q58*$B$57</f>
        <v>0</v>
      </c>
      <c r="S58" s="143">
        <v>0</v>
      </c>
      <c r="T58" s="142">
        <f>S58*$B$57</f>
        <v>0</v>
      </c>
      <c r="U58" s="143">
        <v>0</v>
      </c>
      <c r="V58" s="142">
        <f>U58*$B$57</f>
        <v>0</v>
      </c>
      <c r="W58" s="143">
        <v>0</v>
      </c>
      <c r="X58" s="142">
        <f>W58*$B$57</f>
        <v>0</v>
      </c>
      <c r="Y58" s="143">
        <v>0</v>
      </c>
      <c r="Z58" s="142">
        <f>Y58*$B$57</f>
        <v>0</v>
      </c>
      <c r="AA58" s="141">
        <v>0</v>
      </c>
      <c r="AB58" s="142">
        <f>AA58*$B$57</f>
        <v>0</v>
      </c>
      <c r="AC58" s="141">
        <v>0</v>
      </c>
      <c r="AD58" s="142">
        <f>AC58*$B$57</f>
        <v>0</v>
      </c>
      <c r="AE58" s="134">
        <f t="shared" si="15"/>
        <v>0</v>
      </c>
      <c r="AF58" s="126">
        <f t="shared" si="4"/>
        <v>0</v>
      </c>
      <c r="AH58" s="124"/>
    </row>
    <row r="59" spans="1:37" ht="15" hidden="1" customHeight="1" x14ac:dyDescent="0.2">
      <c r="A59" s="140"/>
      <c r="B59" s="220"/>
      <c r="C59" s="141">
        <v>0</v>
      </c>
      <c r="D59" s="142">
        <f>C59*$B$59</f>
        <v>0</v>
      </c>
      <c r="E59" s="141">
        <v>0</v>
      </c>
      <c r="F59" s="142">
        <f>E59*$B$59</f>
        <v>0</v>
      </c>
      <c r="G59" s="141">
        <v>0</v>
      </c>
      <c r="H59" s="142">
        <f>G59*$B$59</f>
        <v>0</v>
      </c>
      <c r="I59" s="143">
        <v>0</v>
      </c>
      <c r="J59" s="142">
        <f>I59*$B$59</f>
        <v>0</v>
      </c>
      <c r="K59" s="143">
        <v>0</v>
      </c>
      <c r="L59" s="142">
        <f>K59*$B$59</f>
        <v>0</v>
      </c>
      <c r="M59" s="143">
        <v>0</v>
      </c>
      <c r="N59" s="142">
        <f>M59*$B$59</f>
        <v>0</v>
      </c>
      <c r="O59" s="143">
        <v>0</v>
      </c>
      <c r="P59" s="142">
        <f>O59*$B$59</f>
        <v>0</v>
      </c>
      <c r="Q59" s="143">
        <v>0</v>
      </c>
      <c r="R59" s="142">
        <f>Q59*$B$59</f>
        <v>0</v>
      </c>
      <c r="S59" s="143">
        <v>0</v>
      </c>
      <c r="T59" s="142">
        <f>S59*$B$59</f>
        <v>0</v>
      </c>
      <c r="U59" s="143">
        <v>0</v>
      </c>
      <c r="V59" s="142">
        <f>U59*$B$59</f>
        <v>0</v>
      </c>
      <c r="W59" s="143">
        <v>0</v>
      </c>
      <c r="X59" s="142">
        <f>W59*$B$59</f>
        <v>0</v>
      </c>
      <c r="Y59" s="143">
        <v>0</v>
      </c>
      <c r="Z59" s="142">
        <f>Y59*$B$59</f>
        <v>0</v>
      </c>
      <c r="AA59" s="141">
        <v>0</v>
      </c>
      <c r="AB59" s="142">
        <f>AA59*$B$59</f>
        <v>0</v>
      </c>
      <c r="AC59" s="141">
        <v>0</v>
      </c>
      <c r="AD59" s="142">
        <f>AC59*$B$59</f>
        <v>0</v>
      </c>
      <c r="AE59" s="134">
        <f t="shared" si="15"/>
        <v>0</v>
      </c>
      <c r="AF59" s="126">
        <f t="shared" si="4"/>
        <v>0</v>
      </c>
      <c r="AH59" s="124"/>
    </row>
    <row r="60" spans="1:37" ht="15" hidden="1" customHeight="1" x14ac:dyDescent="0.2">
      <c r="A60" s="144"/>
      <c r="B60" s="220"/>
      <c r="C60" s="141">
        <v>0</v>
      </c>
      <c r="D60" s="142">
        <f>C60*$B$60</f>
        <v>0</v>
      </c>
      <c r="E60" s="141">
        <v>0</v>
      </c>
      <c r="F60" s="142">
        <f>E60*$B$59</f>
        <v>0</v>
      </c>
      <c r="G60" s="141">
        <v>0</v>
      </c>
      <c r="H60" s="142">
        <f>G60*$B$59</f>
        <v>0</v>
      </c>
      <c r="I60" s="143">
        <v>0</v>
      </c>
      <c r="J60" s="142">
        <f>I60*$B$59</f>
        <v>0</v>
      </c>
      <c r="K60" s="143">
        <v>0</v>
      </c>
      <c r="L60" s="142">
        <f>K60*$B$59</f>
        <v>0</v>
      </c>
      <c r="M60" s="143">
        <v>0</v>
      </c>
      <c r="N60" s="142">
        <f>M60*$B$59</f>
        <v>0</v>
      </c>
      <c r="O60" s="143">
        <v>0</v>
      </c>
      <c r="P60" s="142">
        <f>O60*$B$59</f>
        <v>0</v>
      </c>
      <c r="Q60" s="143">
        <v>0</v>
      </c>
      <c r="R60" s="142">
        <f>Q60*$B$59</f>
        <v>0</v>
      </c>
      <c r="S60" s="143">
        <v>0</v>
      </c>
      <c r="T60" s="142">
        <f>S60*$B$59</f>
        <v>0</v>
      </c>
      <c r="U60" s="143">
        <v>0</v>
      </c>
      <c r="V60" s="142">
        <f>U60*$B$59</f>
        <v>0</v>
      </c>
      <c r="W60" s="143">
        <v>0</v>
      </c>
      <c r="X60" s="142">
        <f>W60*$B$59</f>
        <v>0</v>
      </c>
      <c r="Y60" s="143">
        <v>0</v>
      </c>
      <c r="Z60" s="142">
        <f>Y60*$B$59</f>
        <v>0</v>
      </c>
      <c r="AA60" s="141">
        <v>0</v>
      </c>
      <c r="AB60" s="142">
        <f>AA60*$B$59</f>
        <v>0</v>
      </c>
      <c r="AC60" s="141">
        <v>0</v>
      </c>
      <c r="AD60" s="142">
        <f>AC60*$B$59</f>
        <v>0</v>
      </c>
      <c r="AE60" s="134">
        <f t="shared" si="15"/>
        <v>0</v>
      </c>
      <c r="AF60" s="126">
        <f t="shared" si="4"/>
        <v>0</v>
      </c>
      <c r="AH60" s="124"/>
    </row>
    <row r="61" spans="1:37" ht="15" hidden="1" customHeight="1" x14ac:dyDescent="0.2">
      <c r="A61" s="144"/>
      <c r="B61" s="220"/>
      <c r="C61" s="141">
        <v>0</v>
      </c>
      <c r="D61" s="142">
        <f>C61*$B$61</f>
        <v>0</v>
      </c>
      <c r="E61" s="141">
        <v>0</v>
      </c>
      <c r="F61" s="142">
        <f>E61*$B$61</f>
        <v>0</v>
      </c>
      <c r="G61" s="141">
        <v>0</v>
      </c>
      <c r="H61" s="142">
        <f>G61*$B$61</f>
        <v>0</v>
      </c>
      <c r="I61" s="143">
        <v>0</v>
      </c>
      <c r="J61" s="142">
        <f>I61*$B$61</f>
        <v>0</v>
      </c>
      <c r="K61" s="143">
        <v>0</v>
      </c>
      <c r="L61" s="142">
        <f>K61*$B$61</f>
        <v>0</v>
      </c>
      <c r="M61" s="143">
        <v>0</v>
      </c>
      <c r="N61" s="142">
        <f>M61*$B$61</f>
        <v>0</v>
      </c>
      <c r="O61" s="143">
        <v>0</v>
      </c>
      <c r="P61" s="142">
        <f>O61*$B$61</f>
        <v>0</v>
      </c>
      <c r="Q61" s="143">
        <v>0</v>
      </c>
      <c r="R61" s="142">
        <f>Q61*$B$61</f>
        <v>0</v>
      </c>
      <c r="S61" s="143">
        <v>0</v>
      </c>
      <c r="T61" s="142">
        <f>S61*$B$61</f>
        <v>0</v>
      </c>
      <c r="U61" s="143">
        <v>0</v>
      </c>
      <c r="V61" s="142">
        <f>U61*$B$61</f>
        <v>0</v>
      </c>
      <c r="W61" s="143">
        <v>0</v>
      </c>
      <c r="X61" s="142">
        <f>W61*$B$61</f>
        <v>0</v>
      </c>
      <c r="Y61" s="143">
        <v>0</v>
      </c>
      <c r="Z61" s="142">
        <f>Y61*$B$61</f>
        <v>0</v>
      </c>
      <c r="AA61" s="141">
        <v>0</v>
      </c>
      <c r="AB61" s="142">
        <f>AA61*$B$61</f>
        <v>0</v>
      </c>
      <c r="AC61" s="141">
        <v>0</v>
      </c>
      <c r="AD61" s="142">
        <f>AC61*$B$61</f>
        <v>0</v>
      </c>
      <c r="AE61" s="134">
        <f t="shared" si="15"/>
        <v>0</v>
      </c>
      <c r="AF61" s="126">
        <f t="shared" si="4"/>
        <v>0</v>
      </c>
      <c r="AH61" s="124"/>
    </row>
    <row r="62" spans="1:37" ht="15" hidden="1" customHeight="1" x14ac:dyDescent="0.2">
      <c r="A62" s="144"/>
      <c r="B62" s="220"/>
      <c r="C62" s="141">
        <v>0</v>
      </c>
      <c r="D62" s="142">
        <f>C62*$B$61</f>
        <v>0</v>
      </c>
      <c r="E62" s="141">
        <v>0</v>
      </c>
      <c r="F62" s="142">
        <f>E62*$B$61</f>
        <v>0</v>
      </c>
      <c r="G62" s="141">
        <v>0</v>
      </c>
      <c r="H62" s="142">
        <f>G62*$B$61</f>
        <v>0</v>
      </c>
      <c r="I62" s="143">
        <v>0</v>
      </c>
      <c r="J62" s="142">
        <f>I62*$B$61</f>
        <v>0</v>
      </c>
      <c r="K62" s="143">
        <v>0</v>
      </c>
      <c r="L62" s="142">
        <f>K62*$B$61</f>
        <v>0</v>
      </c>
      <c r="M62" s="143">
        <v>0</v>
      </c>
      <c r="N62" s="142">
        <f>M62*$B$61</f>
        <v>0</v>
      </c>
      <c r="O62" s="143">
        <v>0</v>
      </c>
      <c r="P62" s="142">
        <f>O62*$B$61</f>
        <v>0</v>
      </c>
      <c r="Q62" s="143">
        <v>0</v>
      </c>
      <c r="R62" s="142">
        <f>Q62*$B$61</f>
        <v>0</v>
      </c>
      <c r="S62" s="143">
        <v>0</v>
      </c>
      <c r="T62" s="142">
        <f>S62*$B$61</f>
        <v>0</v>
      </c>
      <c r="U62" s="143">
        <v>0</v>
      </c>
      <c r="V62" s="142">
        <f>U62*$B$61</f>
        <v>0</v>
      </c>
      <c r="W62" s="143">
        <v>0</v>
      </c>
      <c r="X62" s="142">
        <f>W62*$B$61</f>
        <v>0</v>
      </c>
      <c r="Y62" s="143">
        <v>0</v>
      </c>
      <c r="Z62" s="142">
        <f>Y62*$B$61</f>
        <v>0</v>
      </c>
      <c r="AA62" s="141">
        <v>0</v>
      </c>
      <c r="AB62" s="142">
        <f>AA62*$B$61</f>
        <v>0</v>
      </c>
      <c r="AC62" s="141">
        <v>0</v>
      </c>
      <c r="AD62" s="142">
        <f>AC62*$B$61</f>
        <v>0</v>
      </c>
      <c r="AE62" s="134">
        <f t="shared" si="15"/>
        <v>0</v>
      </c>
      <c r="AF62" s="126">
        <f t="shared" si="4"/>
        <v>0</v>
      </c>
      <c r="AH62" s="124"/>
    </row>
    <row r="63" spans="1:37" ht="15" hidden="1" customHeight="1" x14ac:dyDescent="0.2">
      <c r="A63" s="144"/>
      <c r="B63" s="220"/>
      <c r="C63" s="141">
        <v>0</v>
      </c>
      <c r="D63" s="142">
        <f>C63*$B$63</f>
        <v>0</v>
      </c>
      <c r="E63" s="141">
        <v>0</v>
      </c>
      <c r="F63" s="142">
        <f>E63*$B$59</f>
        <v>0</v>
      </c>
      <c r="G63" s="141">
        <v>0</v>
      </c>
      <c r="H63" s="142">
        <f>G63*$B$59</f>
        <v>0</v>
      </c>
      <c r="I63" s="143">
        <v>0</v>
      </c>
      <c r="J63" s="142">
        <f>I63*$B$59</f>
        <v>0</v>
      </c>
      <c r="K63" s="143">
        <v>0</v>
      </c>
      <c r="L63" s="142">
        <f>K63*$B$59</f>
        <v>0</v>
      </c>
      <c r="M63" s="143">
        <v>0</v>
      </c>
      <c r="N63" s="142">
        <f>M63*$B$59</f>
        <v>0</v>
      </c>
      <c r="O63" s="143">
        <v>0</v>
      </c>
      <c r="P63" s="142">
        <f>O63*$B$59</f>
        <v>0</v>
      </c>
      <c r="Q63" s="143">
        <v>0</v>
      </c>
      <c r="R63" s="142">
        <f>Q63*$B$59</f>
        <v>0</v>
      </c>
      <c r="S63" s="143">
        <v>0</v>
      </c>
      <c r="T63" s="142">
        <f>S63*$B$59</f>
        <v>0</v>
      </c>
      <c r="U63" s="143">
        <v>0</v>
      </c>
      <c r="V63" s="142">
        <f>U63*$B$59</f>
        <v>0</v>
      </c>
      <c r="W63" s="143">
        <v>0</v>
      </c>
      <c r="X63" s="142">
        <f>W63*$B$59</f>
        <v>0</v>
      </c>
      <c r="Y63" s="143">
        <v>0</v>
      </c>
      <c r="Z63" s="142">
        <f>Y63*$B$59</f>
        <v>0</v>
      </c>
      <c r="AA63" s="141">
        <v>0</v>
      </c>
      <c r="AB63" s="142">
        <f>AA63*$B$59</f>
        <v>0</v>
      </c>
      <c r="AC63" s="141">
        <v>0</v>
      </c>
      <c r="AD63" s="142">
        <f>AC63*$B$59</f>
        <v>0</v>
      </c>
      <c r="AE63" s="134">
        <f t="shared" si="15"/>
        <v>0</v>
      </c>
      <c r="AF63" s="126">
        <f t="shared" si="4"/>
        <v>0</v>
      </c>
      <c r="AH63" s="124"/>
    </row>
    <row r="64" spans="1:37" ht="15" hidden="1" customHeight="1" x14ac:dyDescent="0.2">
      <c r="A64" s="144"/>
      <c r="B64" s="220"/>
      <c r="C64" s="141">
        <v>0</v>
      </c>
      <c r="D64" s="142">
        <f>C64*$B$64</f>
        <v>0</v>
      </c>
      <c r="E64" s="141">
        <v>0</v>
      </c>
      <c r="F64" s="142">
        <f>E64*$B$64</f>
        <v>0</v>
      </c>
      <c r="G64" s="141">
        <v>0</v>
      </c>
      <c r="H64" s="142">
        <f>G64*$B$64</f>
        <v>0</v>
      </c>
      <c r="I64" s="143">
        <v>0</v>
      </c>
      <c r="J64" s="142">
        <f>I64*$B$64</f>
        <v>0</v>
      </c>
      <c r="K64" s="143">
        <v>0</v>
      </c>
      <c r="L64" s="142">
        <f>K64*$B$64</f>
        <v>0</v>
      </c>
      <c r="M64" s="143">
        <v>0</v>
      </c>
      <c r="N64" s="142">
        <f>M64*$B$64</f>
        <v>0</v>
      </c>
      <c r="O64" s="143">
        <v>0</v>
      </c>
      <c r="P64" s="142">
        <f>O64*$B$64</f>
        <v>0</v>
      </c>
      <c r="Q64" s="143">
        <v>0</v>
      </c>
      <c r="R64" s="142">
        <f>Q64*$B$64</f>
        <v>0</v>
      </c>
      <c r="S64" s="143">
        <v>0</v>
      </c>
      <c r="T64" s="142">
        <f>S64*$B$64</f>
        <v>0</v>
      </c>
      <c r="U64" s="143">
        <v>0</v>
      </c>
      <c r="V64" s="142">
        <f>U64*$B$64</f>
        <v>0</v>
      </c>
      <c r="W64" s="143">
        <v>0</v>
      </c>
      <c r="X64" s="142">
        <f>W64*$B$64</f>
        <v>0</v>
      </c>
      <c r="Y64" s="143">
        <v>0</v>
      </c>
      <c r="Z64" s="142">
        <f>Y64*$B$64</f>
        <v>0</v>
      </c>
      <c r="AA64" s="141">
        <v>0</v>
      </c>
      <c r="AB64" s="142">
        <f>AA64*$B$64</f>
        <v>0</v>
      </c>
      <c r="AC64" s="141">
        <v>0</v>
      </c>
      <c r="AD64" s="142">
        <f>AC64*$B$64</f>
        <v>0</v>
      </c>
      <c r="AE64" s="134">
        <f t="shared" si="15"/>
        <v>0</v>
      </c>
      <c r="AF64" s="126">
        <f t="shared" si="4"/>
        <v>0</v>
      </c>
      <c r="AH64" s="124"/>
    </row>
    <row r="65" spans="1:35" ht="15" hidden="1" customHeight="1" x14ac:dyDescent="0.2">
      <c r="A65" s="144"/>
      <c r="B65" s="220"/>
      <c r="C65" s="141">
        <v>0</v>
      </c>
      <c r="D65" s="142">
        <f>C65*$B$65</f>
        <v>0</v>
      </c>
      <c r="E65" s="141">
        <v>0</v>
      </c>
      <c r="F65" s="142">
        <f>E65*$B$64</f>
        <v>0</v>
      </c>
      <c r="G65" s="141">
        <v>0</v>
      </c>
      <c r="H65" s="142">
        <f>G65*$B$64</f>
        <v>0</v>
      </c>
      <c r="I65" s="143">
        <v>0</v>
      </c>
      <c r="J65" s="142">
        <f>I65*$B$64</f>
        <v>0</v>
      </c>
      <c r="K65" s="143">
        <v>0</v>
      </c>
      <c r="L65" s="142">
        <f>K65*$B$64</f>
        <v>0</v>
      </c>
      <c r="M65" s="143">
        <v>0</v>
      </c>
      <c r="N65" s="142">
        <f>M65*$B$64</f>
        <v>0</v>
      </c>
      <c r="O65" s="143">
        <v>0</v>
      </c>
      <c r="P65" s="142">
        <f>O65*$B$64</f>
        <v>0</v>
      </c>
      <c r="Q65" s="143">
        <v>0</v>
      </c>
      <c r="R65" s="142">
        <f>Q65*$B$64</f>
        <v>0</v>
      </c>
      <c r="S65" s="143">
        <v>0</v>
      </c>
      <c r="T65" s="142">
        <f>S65*$B$64</f>
        <v>0</v>
      </c>
      <c r="U65" s="143">
        <v>0</v>
      </c>
      <c r="V65" s="142">
        <f>U65*$B$64</f>
        <v>0</v>
      </c>
      <c r="W65" s="143">
        <v>0</v>
      </c>
      <c r="X65" s="142">
        <f>W65*$B$64</f>
        <v>0</v>
      </c>
      <c r="Y65" s="143">
        <v>0</v>
      </c>
      <c r="Z65" s="142">
        <f>Y65*$B$64</f>
        <v>0</v>
      </c>
      <c r="AA65" s="141">
        <v>0</v>
      </c>
      <c r="AB65" s="142">
        <f>AA65*$B$64</f>
        <v>0</v>
      </c>
      <c r="AC65" s="141">
        <v>0</v>
      </c>
      <c r="AD65" s="142">
        <f>AC65*$B$64</f>
        <v>0</v>
      </c>
      <c r="AE65" s="134">
        <f t="shared" si="15"/>
        <v>0</v>
      </c>
      <c r="AF65" s="126">
        <f t="shared" si="4"/>
        <v>0</v>
      </c>
      <c r="AH65" s="124"/>
    </row>
    <row r="66" spans="1:35" ht="15" hidden="1" customHeight="1" x14ac:dyDescent="0.2">
      <c r="A66" s="144"/>
      <c r="B66" s="220"/>
      <c r="C66" s="141">
        <v>0</v>
      </c>
      <c r="D66" s="142">
        <f>C66*$B$66</f>
        <v>0</v>
      </c>
      <c r="E66" s="141">
        <v>0</v>
      </c>
      <c r="F66" s="142">
        <f>E66*$B$66</f>
        <v>0</v>
      </c>
      <c r="G66" s="141">
        <v>0</v>
      </c>
      <c r="H66" s="142">
        <f>G66*$B$66</f>
        <v>0</v>
      </c>
      <c r="I66" s="143">
        <v>0</v>
      </c>
      <c r="J66" s="142">
        <f>I66*$B$66</f>
        <v>0</v>
      </c>
      <c r="K66" s="143">
        <v>0</v>
      </c>
      <c r="L66" s="142">
        <f>K66*$B$66</f>
        <v>0</v>
      </c>
      <c r="M66" s="143">
        <v>0</v>
      </c>
      <c r="N66" s="142">
        <f>M66*$B$66</f>
        <v>0</v>
      </c>
      <c r="O66" s="143">
        <v>0</v>
      </c>
      <c r="P66" s="142">
        <f>O66*$B$66</f>
        <v>0</v>
      </c>
      <c r="Q66" s="143">
        <v>0</v>
      </c>
      <c r="R66" s="142">
        <f>Q66*$B$66</f>
        <v>0</v>
      </c>
      <c r="S66" s="143">
        <v>0</v>
      </c>
      <c r="T66" s="142">
        <f>S66*$B$66</f>
        <v>0</v>
      </c>
      <c r="U66" s="143">
        <v>0</v>
      </c>
      <c r="V66" s="142">
        <f>U66*$B$66</f>
        <v>0</v>
      </c>
      <c r="W66" s="143">
        <v>0</v>
      </c>
      <c r="X66" s="142">
        <f>W66*$B$66</f>
        <v>0</v>
      </c>
      <c r="Y66" s="143">
        <v>0</v>
      </c>
      <c r="Z66" s="142">
        <f>Y66*$B$66</f>
        <v>0</v>
      </c>
      <c r="AA66" s="141">
        <v>0</v>
      </c>
      <c r="AB66" s="142">
        <f>AA66*$B$66</f>
        <v>0</v>
      </c>
      <c r="AC66" s="141">
        <v>0</v>
      </c>
      <c r="AD66" s="142">
        <f>AC66*$B$66</f>
        <v>0</v>
      </c>
      <c r="AE66" s="134">
        <f t="shared" si="15"/>
        <v>0</v>
      </c>
      <c r="AF66" s="126">
        <f t="shared" si="4"/>
        <v>0</v>
      </c>
      <c r="AH66" s="124"/>
    </row>
    <row r="67" spans="1:35" s="1" customFormat="1" ht="15" hidden="1" customHeight="1" x14ac:dyDescent="0.2">
      <c r="A67" s="144"/>
      <c r="B67" s="220"/>
      <c r="C67" s="141">
        <v>0</v>
      </c>
      <c r="D67" s="145">
        <f>C67*$B$67</f>
        <v>0</v>
      </c>
      <c r="E67" s="141">
        <v>0</v>
      </c>
      <c r="F67" s="145">
        <f>E67*$B$67</f>
        <v>0</v>
      </c>
      <c r="G67" s="141">
        <v>0</v>
      </c>
      <c r="H67" s="145">
        <f>G67*$B$67</f>
        <v>0</v>
      </c>
      <c r="I67" s="143">
        <v>0</v>
      </c>
      <c r="J67" s="145">
        <f>I67*$B$67</f>
        <v>0</v>
      </c>
      <c r="K67" s="143">
        <v>0</v>
      </c>
      <c r="L67" s="145">
        <f>K67*$B$67</f>
        <v>0</v>
      </c>
      <c r="M67" s="143">
        <v>0</v>
      </c>
      <c r="N67" s="145">
        <f>M67*$B$67</f>
        <v>0</v>
      </c>
      <c r="O67" s="143">
        <v>0</v>
      </c>
      <c r="P67" s="145">
        <f>O67*$B$67</f>
        <v>0</v>
      </c>
      <c r="Q67" s="143">
        <v>0</v>
      </c>
      <c r="R67" s="145">
        <f>Q67*$B$67</f>
        <v>0</v>
      </c>
      <c r="S67" s="143">
        <v>0</v>
      </c>
      <c r="T67" s="145">
        <f>S67*$B$67</f>
        <v>0</v>
      </c>
      <c r="U67" s="143">
        <v>0</v>
      </c>
      <c r="V67" s="145">
        <f>U67*$B$67</f>
        <v>0</v>
      </c>
      <c r="W67" s="143">
        <v>0</v>
      </c>
      <c r="X67" s="145">
        <f>W67*$B$67</f>
        <v>0</v>
      </c>
      <c r="Y67" s="143">
        <v>0</v>
      </c>
      <c r="Z67" s="145">
        <f>Y67*$B$67</f>
        <v>0</v>
      </c>
      <c r="AA67" s="141">
        <v>0</v>
      </c>
      <c r="AB67" s="145">
        <f>AA67*$B$67</f>
        <v>0</v>
      </c>
      <c r="AC67" s="141">
        <v>0</v>
      </c>
      <c r="AD67" s="145">
        <f>AC67*$B$67</f>
        <v>0</v>
      </c>
      <c r="AE67" s="134">
        <f t="shared" si="15"/>
        <v>0</v>
      </c>
      <c r="AF67" s="126">
        <f t="shared" si="4"/>
        <v>0</v>
      </c>
      <c r="AH67" s="124"/>
      <c r="AI67" s="151"/>
    </row>
    <row r="68" spans="1:35" s="1" customFormat="1" ht="15" hidden="1" customHeight="1" x14ac:dyDescent="0.2">
      <c r="A68" s="146"/>
      <c r="B68" s="220"/>
      <c r="C68" s="141">
        <v>0</v>
      </c>
      <c r="D68" s="142">
        <f>C68*$B$68</f>
        <v>0</v>
      </c>
      <c r="E68" s="141">
        <v>0</v>
      </c>
      <c r="F68" s="142">
        <f>E68*$B$68</f>
        <v>0</v>
      </c>
      <c r="G68" s="141">
        <v>0</v>
      </c>
      <c r="H68" s="142">
        <f>G68*$B$68</f>
        <v>0</v>
      </c>
      <c r="I68" s="141">
        <v>0</v>
      </c>
      <c r="J68" s="142">
        <f>I68*$B$68</f>
        <v>0</v>
      </c>
      <c r="K68" s="141">
        <v>0</v>
      </c>
      <c r="L68" s="142">
        <f>K68*$B$68</f>
        <v>0</v>
      </c>
      <c r="M68" s="141">
        <v>0</v>
      </c>
      <c r="N68" s="142">
        <f>M68*$B$68</f>
        <v>0</v>
      </c>
      <c r="O68" s="141">
        <v>0</v>
      </c>
      <c r="P68" s="142">
        <f>O68*$B$68</f>
        <v>0</v>
      </c>
      <c r="Q68" s="141">
        <v>0</v>
      </c>
      <c r="R68" s="142">
        <f>Q68*$B$68</f>
        <v>0</v>
      </c>
      <c r="S68" s="141">
        <v>0</v>
      </c>
      <c r="T68" s="142">
        <f>S68*$B$68</f>
        <v>0</v>
      </c>
      <c r="U68" s="141">
        <v>0</v>
      </c>
      <c r="V68" s="142">
        <f>U68*$B$68</f>
        <v>0</v>
      </c>
      <c r="W68" s="141">
        <v>0</v>
      </c>
      <c r="X68" s="142">
        <f>W68*$B$68</f>
        <v>0</v>
      </c>
      <c r="Y68" s="141">
        <v>0</v>
      </c>
      <c r="Z68" s="142">
        <f>Y68*$B$68</f>
        <v>0</v>
      </c>
      <c r="AA68" s="141">
        <v>0</v>
      </c>
      <c r="AB68" s="142">
        <f>AA68*$B$68</f>
        <v>0</v>
      </c>
      <c r="AC68" s="141">
        <v>0</v>
      </c>
      <c r="AD68" s="142">
        <f>AC68*$B$68</f>
        <v>0</v>
      </c>
      <c r="AE68" s="134">
        <f t="shared" si="15"/>
        <v>0</v>
      </c>
      <c r="AF68" s="126">
        <f t="shared" si="4"/>
        <v>0</v>
      </c>
      <c r="AH68" s="124"/>
      <c r="AI68" s="151"/>
    </row>
    <row r="69" spans="1:35" s="1" customFormat="1" ht="15" hidden="1" customHeight="1" x14ac:dyDescent="0.2">
      <c r="A69" s="147"/>
      <c r="B69" s="220"/>
      <c r="C69" s="141">
        <v>0</v>
      </c>
      <c r="D69" s="145">
        <f>C69*$B$69</f>
        <v>0</v>
      </c>
      <c r="E69" s="141">
        <v>0</v>
      </c>
      <c r="F69" s="145">
        <f>E69*$B$69</f>
        <v>0</v>
      </c>
      <c r="G69" s="141">
        <v>0</v>
      </c>
      <c r="H69" s="145">
        <f>G69*$B$69</f>
        <v>0</v>
      </c>
      <c r="I69" s="141">
        <v>0</v>
      </c>
      <c r="J69" s="145">
        <f>I69*$B$69</f>
        <v>0</v>
      </c>
      <c r="K69" s="141">
        <v>0</v>
      </c>
      <c r="L69" s="145">
        <f>K69*$B$69</f>
        <v>0</v>
      </c>
      <c r="M69" s="141">
        <v>0</v>
      </c>
      <c r="N69" s="145">
        <f>M69*$B$69</f>
        <v>0</v>
      </c>
      <c r="O69" s="141">
        <v>0</v>
      </c>
      <c r="P69" s="145">
        <f>O69*$B$69</f>
        <v>0</v>
      </c>
      <c r="Q69" s="141">
        <v>0</v>
      </c>
      <c r="R69" s="145">
        <f>Q69*$B$69</f>
        <v>0</v>
      </c>
      <c r="S69" s="141">
        <v>0</v>
      </c>
      <c r="T69" s="145">
        <f>S69*$B$69</f>
        <v>0</v>
      </c>
      <c r="U69" s="141">
        <v>0</v>
      </c>
      <c r="V69" s="145">
        <f>U69*$B$69</f>
        <v>0</v>
      </c>
      <c r="W69" s="141">
        <v>0</v>
      </c>
      <c r="X69" s="145">
        <f>W69*$B$69</f>
        <v>0</v>
      </c>
      <c r="Y69" s="141">
        <v>0</v>
      </c>
      <c r="Z69" s="145">
        <f>Y69*$B$69</f>
        <v>0</v>
      </c>
      <c r="AA69" s="141">
        <v>0</v>
      </c>
      <c r="AB69" s="145">
        <f>AA69*$B$69</f>
        <v>0</v>
      </c>
      <c r="AC69" s="141">
        <v>0</v>
      </c>
      <c r="AD69" s="145">
        <f>AC69*$B$69</f>
        <v>0</v>
      </c>
      <c r="AE69" s="134">
        <f t="shared" si="15"/>
        <v>0</v>
      </c>
      <c r="AF69" s="126">
        <f t="shared" si="4"/>
        <v>0</v>
      </c>
      <c r="AH69" s="124"/>
      <c r="AI69" s="151"/>
    </row>
    <row r="70" spans="1:35" s="1" customFormat="1" ht="15" hidden="1" customHeight="1" x14ac:dyDescent="0.2">
      <c r="A70" s="147"/>
      <c r="B70" s="220"/>
      <c r="C70" s="141">
        <v>0</v>
      </c>
      <c r="D70" s="142">
        <f>C70*$B$70</f>
        <v>0</v>
      </c>
      <c r="E70" s="141">
        <v>0</v>
      </c>
      <c r="F70" s="142">
        <f t="shared" ref="F70:F75" si="17">E70*$B$70</f>
        <v>0</v>
      </c>
      <c r="G70" s="141">
        <v>0</v>
      </c>
      <c r="H70" s="142">
        <f>G70*$B$70</f>
        <v>0</v>
      </c>
      <c r="I70" s="141">
        <v>0</v>
      </c>
      <c r="J70" s="142">
        <f t="shared" ref="J70:J75" si="18">I70*$B$70</f>
        <v>0</v>
      </c>
      <c r="K70" s="141">
        <v>0</v>
      </c>
      <c r="L70" s="142">
        <f t="shared" ref="L70:L75" si="19">K70*$B$70</f>
        <v>0</v>
      </c>
      <c r="M70" s="141">
        <v>0</v>
      </c>
      <c r="N70" s="142">
        <f t="shared" ref="N70:N75" si="20">M70*$B$70</f>
        <v>0</v>
      </c>
      <c r="O70" s="141">
        <v>0</v>
      </c>
      <c r="P70" s="142">
        <f t="shared" ref="P70:P75" si="21">O70*$B$70</f>
        <v>0</v>
      </c>
      <c r="Q70" s="141">
        <v>0</v>
      </c>
      <c r="R70" s="142">
        <f t="shared" ref="R70:R75" si="22">Q70*$B$70</f>
        <v>0</v>
      </c>
      <c r="S70" s="141">
        <v>0</v>
      </c>
      <c r="T70" s="142">
        <f t="shared" ref="T70:T75" si="23">S70*$B$70</f>
        <v>0</v>
      </c>
      <c r="U70" s="141">
        <v>0</v>
      </c>
      <c r="V70" s="142">
        <f t="shared" ref="V70:V75" si="24">U70*$B$70</f>
        <v>0</v>
      </c>
      <c r="W70" s="141">
        <v>0</v>
      </c>
      <c r="X70" s="142">
        <f t="shared" ref="X70:X75" si="25">W70*$B$70</f>
        <v>0</v>
      </c>
      <c r="Y70" s="141">
        <v>0</v>
      </c>
      <c r="Z70" s="142">
        <f t="shared" ref="Z70:Z75" si="26">Y70*$B$70</f>
        <v>0</v>
      </c>
      <c r="AA70" s="141">
        <v>0</v>
      </c>
      <c r="AB70" s="142">
        <f>AA70*$B$70</f>
        <v>0</v>
      </c>
      <c r="AC70" s="141">
        <v>0</v>
      </c>
      <c r="AD70" s="142">
        <f>AC70*$B$70</f>
        <v>0</v>
      </c>
      <c r="AE70" s="134">
        <f t="shared" si="15"/>
        <v>0</v>
      </c>
      <c r="AF70" s="126">
        <f t="shared" si="4"/>
        <v>0</v>
      </c>
      <c r="AH70" s="124"/>
      <c r="AI70" s="151"/>
    </row>
    <row r="71" spans="1:35" s="1" customFormat="1" ht="15" hidden="1" customHeight="1" x14ac:dyDescent="0.2">
      <c r="A71" s="147"/>
      <c r="B71" s="220"/>
      <c r="C71" s="141">
        <v>0</v>
      </c>
      <c r="D71" s="142">
        <f>C71*$B$71</f>
        <v>0</v>
      </c>
      <c r="E71" s="141">
        <v>0</v>
      </c>
      <c r="F71" s="142">
        <f t="shared" si="17"/>
        <v>0</v>
      </c>
      <c r="G71" s="141">
        <v>0</v>
      </c>
      <c r="H71" s="142">
        <f>G71*$B$70</f>
        <v>0</v>
      </c>
      <c r="I71" s="141">
        <v>0</v>
      </c>
      <c r="J71" s="142">
        <f t="shared" si="18"/>
        <v>0</v>
      </c>
      <c r="K71" s="141">
        <v>0</v>
      </c>
      <c r="L71" s="142">
        <f t="shared" si="19"/>
        <v>0</v>
      </c>
      <c r="M71" s="141">
        <v>0</v>
      </c>
      <c r="N71" s="142">
        <f t="shared" si="20"/>
        <v>0</v>
      </c>
      <c r="O71" s="141">
        <v>0</v>
      </c>
      <c r="P71" s="142">
        <f t="shared" si="21"/>
        <v>0</v>
      </c>
      <c r="Q71" s="141">
        <v>0</v>
      </c>
      <c r="R71" s="142">
        <f t="shared" si="22"/>
        <v>0</v>
      </c>
      <c r="S71" s="141">
        <v>0</v>
      </c>
      <c r="T71" s="142">
        <f t="shared" si="23"/>
        <v>0</v>
      </c>
      <c r="U71" s="141">
        <v>0</v>
      </c>
      <c r="V71" s="142">
        <f t="shared" si="24"/>
        <v>0</v>
      </c>
      <c r="W71" s="141">
        <v>0</v>
      </c>
      <c r="X71" s="142">
        <f t="shared" si="25"/>
        <v>0</v>
      </c>
      <c r="Y71" s="141">
        <v>0</v>
      </c>
      <c r="Z71" s="142">
        <f t="shared" si="26"/>
        <v>0</v>
      </c>
      <c r="AA71" s="141">
        <v>0</v>
      </c>
      <c r="AB71" s="142">
        <f>AA71*$B$70</f>
        <v>0</v>
      </c>
      <c r="AC71" s="141">
        <v>0</v>
      </c>
      <c r="AD71" s="142">
        <f>AC71*$B$70</f>
        <v>0</v>
      </c>
      <c r="AE71" s="134">
        <f t="shared" si="15"/>
        <v>0</v>
      </c>
      <c r="AF71" s="126">
        <f t="shared" si="4"/>
        <v>0</v>
      </c>
      <c r="AH71" s="124"/>
      <c r="AI71" s="151"/>
    </row>
    <row r="72" spans="1:35" s="1" customFormat="1" ht="15" hidden="1" customHeight="1" x14ac:dyDescent="0.2">
      <c r="A72" s="147"/>
      <c r="B72" s="220"/>
      <c r="C72" s="141">
        <v>0</v>
      </c>
      <c r="D72" s="142">
        <f>C72*$B$72</f>
        <v>0</v>
      </c>
      <c r="E72" s="141">
        <v>0</v>
      </c>
      <c r="F72" s="142">
        <f t="shared" si="17"/>
        <v>0</v>
      </c>
      <c r="G72" s="141">
        <v>0</v>
      </c>
      <c r="H72" s="142">
        <f>G72*$B$70</f>
        <v>0</v>
      </c>
      <c r="I72" s="141">
        <v>0</v>
      </c>
      <c r="J72" s="142">
        <f t="shared" si="18"/>
        <v>0</v>
      </c>
      <c r="K72" s="141">
        <v>0</v>
      </c>
      <c r="L72" s="142">
        <f t="shared" si="19"/>
        <v>0</v>
      </c>
      <c r="M72" s="141">
        <v>0</v>
      </c>
      <c r="N72" s="142">
        <f t="shared" si="20"/>
        <v>0</v>
      </c>
      <c r="O72" s="141">
        <v>0</v>
      </c>
      <c r="P72" s="142">
        <f t="shared" si="21"/>
        <v>0</v>
      </c>
      <c r="Q72" s="141">
        <v>0</v>
      </c>
      <c r="R72" s="142">
        <f t="shared" si="22"/>
        <v>0</v>
      </c>
      <c r="S72" s="141">
        <v>0</v>
      </c>
      <c r="T72" s="142">
        <f t="shared" si="23"/>
        <v>0</v>
      </c>
      <c r="U72" s="141">
        <v>0</v>
      </c>
      <c r="V72" s="142">
        <f t="shared" si="24"/>
        <v>0</v>
      </c>
      <c r="W72" s="141">
        <v>0</v>
      </c>
      <c r="X72" s="142">
        <f t="shared" si="25"/>
        <v>0</v>
      </c>
      <c r="Y72" s="141">
        <v>0</v>
      </c>
      <c r="Z72" s="142">
        <f t="shared" si="26"/>
        <v>0</v>
      </c>
      <c r="AA72" s="141">
        <v>0</v>
      </c>
      <c r="AB72" s="142">
        <f>AA72*$B$70</f>
        <v>0</v>
      </c>
      <c r="AC72" s="141">
        <v>0</v>
      </c>
      <c r="AD72" s="142">
        <f>AC72*$B$70</f>
        <v>0</v>
      </c>
      <c r="AE72" s="134">
        <f t="shared" si="15"/>
        <v>0</v>
      </c>
      <c r="AF72" s="126">
        <f t="shared" si="4"/>
        <v>0</v>
      </c>
      <c r="AH72" s="124"/>
      <c r="AI72" s="151"/>
    </row>
    <row r="73" spans="1:35" s="1" customFormat="1" ht="33" customHeight="1" x14ac:dyDescent="0.2">
      <c r="A73" s="140" t="s">
        <v>58</v>
      </c>
      <c r="B73" s="220"/>
      <c r="C73" s="141">
        <v>0</v>
      </c>
      <c r="D73" s="142">
        <f>C73*$B$75</f>
        <v>0</v>
      </c>
      <c r="E73" s="141">
        <v>0</v>
      </c>
      <c r="F73" s="142">
        <f t="shared" si="17"/>
        <v>0</v>
      </c>
      <c r="G73" s="141">
        <v>0</v>
      </c>
      <c r="H73" s="142">
        <f>G73*B73</f>
        <v>0</v>
      </c>
      <c r="I73" s="141">
        <v>0</v>
      </c>
      <c r="J73" s="142">
        <f t="shared" si="18"/>
        <v>0</v>
      </c>
      <c r="K73" s="141">
        <v>0</v>
      </c>
      <c r="L73" s="142">
        <f t="shared" si="19"/>
        <v>0</v>
      </c>
      <c r="M73" s="141">
        <v>0</v>
      </c>
      <c r="N73" s="142">
        <f t="shared" si="20"/>
        <v>0</v>
      </c>
      <c r="O73" s="141">
        <v>0</v>
      </c>
      <c r="P73" s="142">
        <f t="shared" si="21"/>
        <v>0</v>
      </c>
      <c r="Q73" s="141">
        <v>0</v>
      </c>
      <c r="R73" s="142">
        <f t="shared" si="22"/>
        <v>0</v>
      </c>
      <c r="S73" s="141">
        <v>0</v>
      </c>
      <c r="T73" s="142">
        <f t="shared" si="23"/>
        <v>0</v>
      </c>
      <c r="U73" s="141">
        <v>0</v>
      </c>
      <c r="V73" s="142">
        <f t="shared" si="24"/>
        <v>0</v>
      </c>
      <c r="W73" s="141">
        <v>0</v>
      </c>
      <c r="X73" s="142">
        <f t="shared" si="25"/>
        <v>0</v>
      </c>
      <c r="Y73" s="141">
        <v>0</v>
      </c>
      <c r="Z73" s="142">
        <f t="shared" si="26"/>
        <v>0</v>
      </c>
      <c r="AA73" s="141">
        <v>0</v>
      </c>
      <c r="AB73" s="142">
        <f>AA73*$B$70</f>
        <v>0</v>
      </c>
      <c r="AC73" s="141">
        <v>0</v>
      </c>
      <c r="AD73" s="142">
        <f>AC73*$B$70</f>
        <v>0</v>
      </c>
      <c r="AE73" s="134">
        <v>0</v>
      </c>
      <c r="AF73" s="126">
        <f t="shared" si="4"/>
        <v>0</v>
      </c>
      <c r="AH73" s="124"/>
      <c r="AI73" s="151"/>
    </row>
    <row r="74" spans="1:35" s="1" customFormat="1" ht="17.25" customHeight="1" x14ac:dyDescent="0.2">
      <c r="A74" s="140" t="s">
        <v>59</v>
      </c>
      <c r="B74" s="220"/>
      <c r="C74" s="141">
        <v>0</v>
      </c>
      <c r="D74" s="142">
        <f t="shared" ref="D74" si="27">C74*$B$56</f>
        <v>0</v>
      </c>
      <c r="E74" s="141">
        <v>0</v>
      </c>
      <c r="F74" s="142">
        <f t="shared" si="17"/>
        <v>0</v>
      </c>
      <c r="G74" s="141">
        <v>0</v>
      </c>
      <c r="H74" s="142">
        <f>G74*$B$70</f>
        <v>0</v>
      </c>
      <c r="I74" s="141">
        <v>0</v>
      </c>
      <c r="J74" s="142">
        <f t="shared" si="18"/>
        <v>0</v>
      </c>
      <c r="K74" s="141">
        <v>0</v>
      </c>
      <c r="L74" s="142">
        <f t="shared" si="19"/>
        <v>0</v>
      </c>
      <c r="M74" s="141">
        <v>0</v>
      </c>
      <c r="N74" s="142">
        <f t="shared" si="20"/>
        <v>0</v>
      </c>
      <c r="O74" s="141">
        <v>0</v>
      </c>
      <c r="P74" s="142">
        <f t="shared" si="21"/>
        <v>0</v>
      </c>
      <c r="Q74" s="141">
        <v>0</v>
      </c>
      <c r="R74" s="142">
        <f t="shared" si="22"/>
        <v>0</v>
      </c>
      <c r="S74" s="141">
        <v>0</v>
      </c>
      <c r="T74" s="142">
        <f t="shared" si="23"/>
        <v>0</v>
      </c>
      <c r="U74" s="141">
        <v>0</v>
      </c>
      <c r="V74" s="142">
        <f t="shared" si="24"/>
        <v>0</v>
      </c>
      <c r="W74" s="141">
        <v>0</v>
      </c>
      <c r="X74" s="142">
        <f t="shared" si="25"/>
        <v>0</v>
      </c>
      <c r="Y74" s="141">
        <v>0</v>
      </c>
      <c r="Z74" s="142">
        <f t="shared" si="26"/>
        <v>0</v>
      </c>
      <c r="AA74" s="141">
        <v>0</v>
      </c>
      <c r="AB74" s="142">
        <f>AA74*B74</f>
        <v>0</v>
      </c>
      <c r="AC74" s="141">
        <v>0</v>
      </c>
      <c r="AD74" s="142">
        <f>AC74*B74</f>
        <v>0</v>
      </c>
      <c r="AE74" s="134">
        <f t="shared" si="15"/>
        <v>0</v>
      </c>
      <c r="AF74" s="126">
        <f t="shared" si="4"/>
        <v>0</v>
      </c>
      <c r="AH74" s="124"/>
      <c r="AI74" s="151"/>
    </row>
    <row r="75" spans="1:35" s="1" customFormat="1" ht="17.25" hidden="1" customHeight="1" x14ac:dyDescent="0.2">
      <c r="A75" s="140"/>
      <c r="B75" s="220"/>
      <c r="C75" s="141">
        <v>0</v>
      </c>
      <c r="D75" s="142">
        <f t="shared" ref="D75" si="28">C75*$B$57</f>
        <v>0</v>
      </c>
      <c r="E75" s="141">
        <v>0</v>
      </c>
      <c r="F75" s="142">
        <f t="shared" si="17"/>
        <v>0</v>
      </c>
      <c r="G75" s="141">
        <v>0</v>
      </c>
      <c r="H75" s="142">
        <f>G75*$B$70</f>
        <v>0</v>
      </c>
      <c r="I75" s="141">
        <v>0</v>
      </c>
      <c r="J75" s="142">
        <f t="shared" si="18"/>
        <v>0</v>
      </c>
      <c r="K75" s="141">
        <v>0</v>
      </c>
      <c r="L75" s="142">
        <f t="shared" si="19"/>
        <v>0</v>
      </c>
      <c r="M75" s="141">
        <v>0</v>
      </c>
      <c r="N75" s="142">
        <f t="shared" si="20"/>
        <v>0</v>
      </c>
      <c r="O75" s="141">
        <v>0</v>
      </c>
      <c r="P75" s="142">
        <f t="shared" si="21"/>
        <v>0</v>
      </c>
      <c r="Q75" s="141">
        <v>0</v>
      </c>
      <c r="R75" s="142">
        <f t="shared" si="22"/>
        <v>0</v>
      </c>
      <c r="S75" s="141">
        <v>0</v>
      </c>
      <c r="T75" s="142">
        <f t="shared" si="23"/>
        <v>0</v>
      </c>
      <c r="U75" s="141">
        <v>0</v>
      </c>
      <c r="V75" s="142">
        <f t="shared" si="24"/>
        <v>0</v>
      </c>
      <c r="W75" s="141">
        <v>0</v>
      </c>
      <c r="X75" s="142">
        <f t="shared" si="25"/>
        <v>0</v>
      </c>
      <c r="Y75" s="141">
        <v>0</v>
      </c>
      <c r="Z75" s="142">
        <f t="shared" si="26"/>
        <v>0</v>
      </c>
      <c r="AA75" s="141"/>
      <c r="AB75" s="142">
        <f>AA75*B75</f>
        <v>0</v>
      </c>
      <c r="AC75" s="141">
        <v>0</v>
      </c>
      <c r="AD75" s="142">
        <f>AC75*B75</f>
        <v>0</v>
      </c>
      <c r="AE75" s="134">
        <f t="shared" si="15"/>
        <v>0</v>
      </c>
      <c r="AF75" s="126">
        <f t="shared" si="4"/>
        <v>0</v>
      </c>
      <c r="AH75" s="124"/>
      <c r="AI75" s="151"/>
    </row>
    <row r="76" spans="1:35" s="1" customFormat="1" ht="13.5" hidden="1" customHeight="1" thickBot="1" x14ac:dyDescent="0.2">
      <c r="A76" s="216"/>
      <c r="B76" s="217"/>
      <c r="C76" s="141">
        <v>0</v>
      </c>
      <c r="D76" s="142">
        <f t="shared" ref="D76" si="29">C76*$B$58</f>
        <v>0</v>
      </c>
      <c r="E76" s="92">
        <v>0</v>
      </c>
      <c r="F76" s="37">
        <f>E76*$B$76</f>
        <v>0</v>
      </c>
      <c r="G76" s="92">
        <v>0</v>
      </c>
      <c r="H76" s="37">
        <f>G76*$B$76</f>
        <v>0</v>
      </c>
      <c r="I76" s="92">
        <v>0</v>
      </c>
      <c r="J76" s="37">
        <f>I76*$B$76</f>
        <v>0</v>
      </c>
      <c r="K76" s="92">
        <v>0</v>
      </c>
      <c r="L76" s="37">
        <f>K76*$B$76</f>
        <v>0</v>
      </c>
      <c r="M76" s="92">
        <v>0</v>
      </c>
      <c r="N76" s="37">
        <f>M76*$B$76</f>
        <v>0</v>
      </c>
      <c r="O76" s="92">
        <v>0</v>
      </c>
      <c r="P76" s="37">
        <f>O76*$B$76</f>
        <v>0</v>
      </c>
      <c r="Q76" s="92">
        <v>0</v>
      </c>
      <c r="R76" s="37">
        <f>Q76*$B$76</f>
        <v>0</v>
      </c>
      <c r="S76" s="92">
        <v>0</v>
      </c>
      <c r="T76" s="37">
        <f>S76*$B$76</f>
        <v>0</v>
      </c>
      <c r="U76" s="92">
        <v>0</v>
      </c>
      <c r="V76" s="37">
        <f>U76*$B$76</f>
        <v>0</v>
      </c>
      <c r="W76" s="92">
        <v>0</v>
      </c>
      <c r="X76" s="37">
        <f>W76*$B$76</f>
        <v>0</v>
      </c>
      <c r="Y76" s="92">
        <v>0</v>
      </c>
      <c r="Z76" s="37">
        <f>Y76*$B$76</f>
        <v>0</v>
      </c>
      <c r="AA76" s="92">
        <v>0</v>
      </c>
      <c r="AB76" s="37">
        <f>AA76*$B$76</f>
        <v>0</v>
      </c>
      <c r="AC76" s="92">
        <v>0</v>
      </c>
      <c r="AD76" s="37">
        <f>AC76*$B$76</f>
        <v>0</v>
      </c>
      <c r="AE76" s="93">
        <f t="shared" si="15"/>
        <v>0</v>
      </c>
      <c r="AF76" s="126">
        <f t="shared" si="4"/>
        <v>0</v>
      </c>
      <c r="AH76" s="124"/>
      <c r="AI76" s="151"/>
    </row>
    <row r="77" spans="1:35" s="1" customFormat="1" ht="13.5" hidden="1" customHeight="1" thickBot="1" x14ac:dyDescent="0.2">
      <c r="A77" s="216"/>
      <c r="B77" s="217"/>
      <c r="C77" s="141">
        <v>0</v>
      </c>
      <c r="D77" s="142">
        <f t="shared" ref="D77" si="30">C77*$B$59</f>
        <v>0</v>
      </c>
      <c r="E77" s="92">
        <v>0</v>
      </c>
      <c r="F77" s="120">
        <f>E77*$B$77</f>
        <v>0</v>
      </c>
      <c r="G77" s="92">
        <v>0</v>
      </c>
      <c r="H77" s="120">
        <f>G77*$B$77</f>
        <v>0</v>
      </c>
      <c r="I77" s="92">
        <v>0</v>
      </c>
      <c r="J77" s="120">
        <f>I77*$B$77</f>
        <v>0</v>
      </c>
      <c r="K77" s="92">
        <v>0</v>
      </c>
      <c r="L77" s="120">
        <f>K77*$B$77</f>
        <v>0</v>
      </c>
      <c r="M77" s="92">
        <v>0</v>
      </c>
      <c r="N77" s="120">
        <f>M77*$B$77</f>
        <v>0</v>
      </c>
      <c r="O77" s="92">
        <v>0</v>
      </c>
      <c r="P77" s="120">
        <f>O77*$B$77</f>
        <v>0</v>
      </c>
      <c r="Q77" s="92">
        <v>0</v>
      </c>
      <c r="R77" s="120">
        <f>Q77*$B$77</f>
        <v>0</v>
      </c>
      <c r="S77" s="92">
        <v>0</v>
      </c>
      <c r="T77" s="120">
        <f>S77*$B$77</f>
        <v>0</v>
      </c>
      <c r="U77" s="92">
        <v>0</v>
      </c>
      <c r="V77" s="120">
        <f>U77*$B$77</f>
        <v>0</v>
      </c>
      <c r="W77" s="92">
        <v>0</v>
      </c>
      <c r="X77" s="120">
        <f>W77*$B$77</f>
        <v>0</v>
      </c>
      <c r="Y77" s="92">
        <v>0</v>
      </c>
      <c r="Z77" s="120">
        <f>Y77*$B$77</f>
        <v>0</v>
      </c>
      <c r="AA77" s="92">
        <v>0</v>
      </c>
      <c r="AB77" s="120">
        <f>AA77*$B$77</f>
        <v>0</v>
      </c>
      <c r="AC77" s="92">
        <v>0</v>
      </c>
      <c r="AD77" s="120">
        <f>AC77*$B$77</f>
        <v>0</v>
      </c>
      <c r="AE77" s="93">
        <f t="shared" si="15"/>
        <v>0</v>
      </c>
      <c r="AF77" s="126">
        <f t="shared" si="4"/>
        <v>0</v>
      </c>
      <c r="AH77" s="124"/>
      <c r="AI77" s="151"/>
    </row>
    <row r="78" spans="1:35" s="1" customFormat="1" ht="13.5" hidden="1" customHeight="1" thickBot="1" x14ac:dyDescent="0.2">
      <c r="A78" s="218"/>
      <c r="B78" s="219"/>
      <c r="C78" s="141">
        <v>0</v>
      </c>
      <c r="D78" s="142">
        <f t="shared" ref="D78" si="31">C78*$B$60</f>
        <v>0</v>
      </c>
      <c r="E78" s="92">
        <v>0</v>
      </c>
      <c r="F78" s="37">
        <f>E78*$B$78</f>
        <v>0</v>
      </c>
      <c r="G78" s="92">
        <v>0</v>
      </c>
      <c r="H78" s="37">
        <f>G78*$B$78</f>
        <v>0</v>
      </c>
      <c r="I78" s="92">
        <v>0</v>
      </c>
      <c r="J78" s="37">
        <f>I78*$B$78</f>
        <v>0</v>
      </c>
      <c r="K78" s="92">
        <v>0</v>
      </c>
      <c r="L78" s="37">
        <f>K78*$B$78</f>
        <v>0</v>
      </c>
      <c r="M78" s="92">
        <v>0</v>
      </c>
      <c r="N78" s="37">
        <f>M78*$B$78</f>
        <v>0</v>
      </c>
      <c r="O78" s="92">
        <v>0</v>
      </c>
      <c r="P78" s="37">
        <f>O78*$B$78</f>
        <v>0</v>
      </c>
      <c r="Q78" s="92">
        <v>0</v>
      </c>
      <c r="R78" s="37">
        <f>Q78*$B$78</f>
        <v>0</v>
      </c>
      <c r="S78" s="92">
        <v>0</v>
      </c>
      <c r="T78" s="37">
        <f>S78*$B$78</f>
        <v>0</v>
      </c>
      <c r="U78" s="92">
        <v>0</v>
      </c>
      <c r="V78" s="37">
        <f>U78*$B$78</f>
        <v>0</v>
      </c>
      <c r="W78" s="92">
        <v>0</v>
      </c>
      <c r="X78" s="37">
        <f>W78*$B$78</f>
        <v>0</v>
      </c>
      <c r="Y78" s="92">
        <v>0</v>
      </c>
      <c r="Z78" s="37">
        <f>Y78*$B$78</f>
        <v>0</v>
      </c>
      <c r="AA78" s="92">
        <v>0</v>
      </c>
      <c r="AB78" s="37">
        <f>AA78*$B$78</f>
        <v>0</v>
      </c>
      <c r="AC78" s="92">
        <v>0</v>
      </c>
      <c r="AD78" s="37">
        <f>AC78*$B$78</f>
        <v>0</v>
      </c>
      <c r="AE78" s="93">
        <f t="shared" si="15"/>
        <v>0</v>
      </c>
      <c r="AF78" s="126">
        <f t="shared" si="4"/>
        <v>0</v>
      </c>
      <c r="AH78" s="124"/>
      <c r="AI78" s="151"/>
    </row>
    <row r="79" spans="1:35" s="1" customFormat="1" ht="13.5" hidden="1" customHeight="1" thickBot="1" x14ac:dyDescent="0.2">
      <c r="A79" s="157"/>
      <c r="B79" s="158"/>
      <c r="C79" s="141">
        <v>0</v>
      </c>
      <c r="D79" s="142">
        <f t="shared" ref="D79:D80" si="32">C79*$B$61</f>
        <v>0</v>
      </c>
      <c r="E79" s="98">
        <v>0</v>
      </c>
      <c r="F79" s="159">
        <f>E79*$B$79</f>
        <v>0</v>
      </c>
      <c r="G79" s="98">
        <v>0</v>
      </c>
      <c r="H79" s="159">
        <f>G79*$B$79</f>
        <v>0</v>
      </c>
      <c r="I79" s="160">
        <v>0</v>
      </c>
      <c r="J79" s="159">
        <f>I79*$B$79</f>
        <v>0</v>
      </c>
      <c r="K79" s="160">
        <v>0</v>
      </c>
      <c r="L79" s="159">
        <f>K79*$B$79</f>
        <v>0</v>
      </c>
      <c r="M79" s="160">
        <v>0</v>
      </c>
      <c r="N79" s="159">
        <f>M79*$B$79</f>
        <v>0</v>
      </c>
      <c r="O79" s="160">
        <v>0</v>
      </c>
      <c r="P79" s="159">
        <f>O79*$B$79</f>
        <v>0</v>
      </c>
      <c r="Q79" s="160">
        <v>0</v>
      </c>
      <c r="R79" s="159">
        <f>Q79*$B$79</f>
        <v>0</v>
      </c>
      <c r="S79" s="160">
        <v>0</v>
      </c>
      <c r="T79" s="159">
        <f>S79*$B$79</f>
        <v>0</v>
      </c>
      <c r="U79" s="160">
        <v>0</v>
      </c>
      <c r="V79" s="159">
        <f>U79*$B$79</f>
        <v>0</v>
      </c>
      <c r="W79" s="160">
        <v>0</v>
      </c>
      <c r="X79" s="159">
        <f>W79*$B$79</f>
        <v>0</v>
      </c>
      <c r="Y79" s="160">
        <v>0</v>
      </c>
      <c r="Z79" s="159">
        <f>Y79*$B$79</f>
        <v>0</v>
      </c>
      <c r="AA79" s="98">
        <v>0</v>
      </c>
      <c r="AB79" s="159">
        <f>AA79*$B$79</f>
        <v>0</v>
      </c>
      <c r="AC79" s="98">
        <v>0</v>
      </c>
      <c r="AD79" s="159">
        <f>AC79*$B$79</f>
        <v>0</v>
      </c>
      <c r="AE79" s="161">
        <f t="shared" si="15"/>
        <v>0</v>
      </c>
      <c r="AF79" s="126">
        <f t="shared" si="4"/>
        <v>0</v>
      </c>
      <c r="AH79" s="124"/>
      <c r="AI79" s="151"/>
    </row>
    <row r="80" spans="1:35" ht="18.75" customHeight="1" x14ac:dyDescent="0.2">
      <c r="A80" s="140" t="s">
        <v>60</v>
      </c>
      <c r="B80" s="220"/>
      <c r="C80" s="141">
        <v>0</v>
      </c>
      <c r="D80" s="142">
        <f t="shared" si="32"/>
        <v>0</v>
      </c>
      <c r="E80" s="141">
        <v>0</v>
      </c>
      <c r="F80" s="142">
        <f>E80*$B$52</f>
        <v>0</v>
      </c>
      <c r="G80" s="141">
        <v>0</v>
      </c>
      <c r="H80" s="142">
        <f>G80*$B$52</f>
        <v>0</v>
      </c>
      <c r="I80" s="143">
        <v>0</v>
      </c>
      <c r="J80" s="142">
        <f>I80*$B$52</f>
        <v>0</v>
      </c>
      <c r="K80" s="143">
        <v>0</v>
      </c>
      <c r="L80" s="142">
        <f>K80*$B$52</f>
        <v>0</v>
      </c>
      <c r="M80" s="143">
        <v>0</v>
      </c>
      <c r="N80" s="142">
        <f>M80*$B$52</f>
        <v>0</v>
      </c>
      <c r="O80" s="143">
        <v>0</v>
      </c>
      <c r="P80" s="142">
        <f>O80*$B$52</f>
        <v>0</v>
      </c>
      <c r="Q80" s="143">
        <v>0</v>
      </c>
      <c r="R80" s="142">
        <f>Q80*$B$52</f>
        <v>0</v>
      </c>
      <c r="S80" s="143">
        <v>0</v>
      </c>
      <c r="T80" s="142">
        <f>S80*$B$52</f>
        <v>0</v>
      </c>
      <c r="U80" s="143">
        <v>0</v>
      </c>
      <c r="V80" s="142">
        <f>U80*$B$52</f>
        <v>0</v>
      </c>
      <c r="W80" s="143">
        <v>0</v>
      </c>
      <c r="X80" s="142">
        <f>W80*$B$52</f>
        <v>0</v>
      </c>
      <c r="Y80" s="143">
        <v>0</v>
      </c>
      <c r="Z80" s="142">
        <f>Y80*$B$52</f>
        <v>0</v>
      </c>
      <c r="AA80" s="141">
        <v>0</v>
      </c>
      <c r="AB80" s="142">
        <f>AA80*$B$52</f>
        <v>0</v>
      </c>
      <c r="AC80" s="141">
        <v>0</v>
      </c>
      <c r="AD80" s="142">
        <f>AC80*$B$52</f>
        <v>0</v>
      </c>
      <c r="AE80" s="134">
        <f t="shared" ref="AE80:AE100" si="33">C80+E80+G80+AC80</f>
        <v>0</v>
      </c>
      <c r="AF80" s="126">
        <f t="shared" si="4"/>
        <v>0</v>
      </c>
      <c r="AH80" s="124"/>
    </row>
    <row r="81" spans="1:37" ht="18.75" hidden="1" customHeight="1" x14ac:dyDescent="0.2">
      <c r="A81" s="140"/>
      <c r="B81" s="220"/>
      <c r="C81" s="141">
        <v>0</v>
      </c>
      <c r="D81" s="142">
        <f t="shared" ref="D81" si="34">C81*$B$63</f>
        <v>0</v>
      </c>
      <c r="E81" s="141">
        <v>0</v>
      </c>
      <c r="F81" s="142">
        <f>E81*$B$53</f>
        <v>0</v>
      </c>
      <c r="G81" s="141">
        <v>0</v>
      </c>
      <c r="H81" s="142">
        <f>G81*$B$53</f>
        <v>0</v>
      </c>
      <c r="I81" s="143">
        <v>0</v>
      </c>
      <c r="J81" s="142">
        <f>I81*$B$53</f>
        <v>0</v>
      </c>
      <c r="K81" s="143">
        <v>0</v>
      </c>
      <c r="L81" s="142">
        <f>K81*$B$53</f>
        <v>0</v>
      </c>
      <c r="M81" s="143">
        <v>0</v>
      </c>
      <c r="N81" s="142">
        <f>M81*$B$53</f>
        <v>0</v>
      </c>
      <c r="O81" s="143">
        <v>0</v>
      </c>
      <c r="P81" s="142">
        <f>O81*$B$53</f>
        <v>0</v>
      </c>
      <c r="Q81" s="143">
        <v>0</v>
      </c>
      <c r="R81" s="142">
        <f>Q81*$B$53</f>
        <v>0</v>
      </c>
      <c r="S81" s="143">
        <v>0</v>
      </c>
      <c r="T81" s="142">
        <f>S81*$B$53</f>
        <v>0</v>
      </c>
      <c r="U81" s="143">
        <v>0</v>
      </c>
      <c r="V81" s="142">
        <f>U81*$B$52</f>
        <v>0</v>
      </c>
      <c r="W81" s="143">
        <v>0</v>
      </c>
      <c r="X81" s="142">
        <f>W81*$B$52</f>
        <v>0</v>
      </c>
      <c r="Y81" s="143">
        <v>0</v>
      </c>
      <c r="Z81" s="142">
        <f>Y81*$B$52</f>
        <v>0</v>
      </c>
      <c r="AA81" s="141">
        <v>0</v>
      </c>
      <c r="AB81" s="142">
        <f>AA81*$B$53</f>
        <v>0</v>
      </c>
      <c r="AC81" s="141">
        <v>0</v>
      </c>
      <c r="AD81" s="142">
        <f>AC81*$B$53</f>
        <v>0</v>
      </c>
      <c r="AE81" s="134">
        <f t="shared" si="33"/>
        <v>0</v>
      </c>
      <c r="AF81" s="126">
        <f t="shared" si="4"/>
        <v>0</v>
      </c>
      <c r="AH81" s="124"/>
    </row>
    <row r="82" spans="1:37" ht="18.75" hidden="1" customHeight="1" x14ac:dyDescent="0.2">
      <c r="A82" s="140"/>
      <c r="B82" s="220"/>
      <c r="C82" s="141">
        <v>0</v>
      </c>
      <c r="D82" s="142">
        <f t="shared" ref="D82" si="35">C82*$B$64</f>
        <v>0</v>
      </c>
      <c r="E82" s="141">
        <v>1</v>
      </c>
      <c r="F82" s="142">
        <f>E82*$B$54</f>
        <v>0</v>
      </c>
      <c r="G82" s="141">
        <v>0</v>
      </c>
      <c r="H82" s="142">
        <f>G82*$B$54</f>
        <v>0</v>
      </c>
      <c r="I82" s="143">
        <v>0</v>
      </c>
      <c r="J82" s="142">
        <f>I82*$B$54</f>
        <v>0</v>
      </c>
      <c r="K82" s="143">
        <v>0</v>
      </c>
      <c r="L82" s="142">
        <f>K82*$B$54</f>
        <v>0</v>
      </c>
      <c r="M82" s="143">
        <v>0</v>
      </c>
      <c r="N82" s="142">
        <f>M82*$B$54</f>
        <v>0</v>
      </c>
      <c r="O82" s="143">
        <v>0</v>
      </c>
      <c r="P82" s="142">
        <f>O82*$B$54</f>
        <v>0</v>
      </c>
      <c r="Q82" s="143">
        <v>0</v>
      </c>
      <c r="R82" s="142">
        <f>Q82*$B$54</f>
        <v>0</v>
      </c>
      <c r="S82" s="143">
        <v>0</v>
      </c>
      <c r="T82" s="142">
        <f>S82*$B$54</f>
        <v>0</v>
      </c>
      <c r="U82" s="143">
        <v>0</v>
      </c>
      <c r="V82" s="142">
        <f>U82*$B$54</f>
        <v>0</v>
      </c>
      <c r="W82" s="143">
        <v>0</v>
      </c>
      <c r="X82" s="142">
        <f>W82*$B$54</f>
        <v>0</v>
      </c>
      <c r="Y82" s="143">
        <v>0</v>
      </c>
      <c r="Z82" s="142">
        <f>Y82*$B$54</f>
        <v>0</v>
      </c>
      <c r="AA82" s="141">
        <v>0</v>
      </c>
      <c r="AB82" s="142">
        <f>AA82*$B$54</f>
        <v>0</v>
      </c>
      <c r="AC82" s="141">
        <v>0</v>
      </c>
      <c r="AD82" s="142">
        <f>AC82*$B$54</f>
        <v>0</v>
      </c>
      <c r="AE82" s="134">
        <f t="shared" si="33"/>
        <v>1</v>
      </c>
      <c r="AF82" s="126">
        <f t="shared" ref="AF82:AF103" si="36">D82+F82+H82+AD82+AB82</f>
        <v>0</v>
      </c>
      <c r="AH82" s="124"/>
    </row>
    <row r="83" spans="1:37" ht="18.75" hidden="1" customHeight="1" x14ac:dyDescent="0.2">
      <c r="A83" s="140"/>
      <c r="B83" s="220"/>
      <c r="C83" s="141">
        <v>0</v>
      </c>
      <c r="D83" s="142">
        <f t="shared" ref="D83" si="37">C83*$B$65</f>
        <v>0</v>
      </c>
      <c r="E83" s="141">
        <v>0</v>
      </c>
      <c r="F83" s="142">
        <f>E83*$B$55</f>
        <v>0</v>
      </c>
      <c r="G83" s="141">
        <v>1</v>
      </c>
      <c r="H83" s="142">
        <f>G83*$B$55</f>
        <v>0</v>
      </c>
      <c r="I83" s="143">
        <v>0</v>
      </c>
      <c r="J83" s="142">
        <f>I83*$B$55</f>
        <v>0</v>
      </c>
      <c r="K83" s="143">
        <v>0</v>
      </c>
      <c r="L83" s="142">
        <f>K83*$B$55</f>
        <v>0</v>
      </c>
      <c r="M83" s="143">
        <v>0</v>
      </c>
      <c r="N83" s="142">
        <f>M83*$B$55</f>
        <v>0</v>
      </c>
      <c r="O83" s="143">
        <v>0</v>
      </c>
      <c r="P83" s="142">
        <f>O83*$B$55</f>
        <v>0</v>
      </c>
      <c r="Q83" s="143">
        <v>0</v>
      </c>
      <c r="R83" s="142">
        <f>Q83*$B$55</f>
        <v>0</v>
      </c>
      <c r="S83" s="143">
        <v>0</v>
      </c>
      <c r="T83" s="142">
        <f>S83*$B$55</f>
        <v>0</v>
      </c>
      <c r="U83" s="143">
        <v>0</v>
      </c>
      <c r="V83" s="142">
        <f>U83*$B$55</f>
        <v>0</v>
      </c>
      <c r="W83" s="143">
        <v>0</v>
      </c>
      <c r="X83" s="142">
        <f>W83*$B$55</f>
        <v>0</v>
      </c>
      <c r="Y83" s="143">
        <v>0</v>
      </c>
      <c r="Z83" s="142">
        <f>Y83*$B$55</f>
        <v>0</v>
      </c>
      <c r="AA83" s="141">
        <v>1</v>
      </c>
      <c r="AB83" s="142">
        <f>AA83*$B$55</f>
        <v>0</v>
      </c>
      <c r="AC83" s="141">
        <v>1</v>
      </c>
      <c r="AD83" s="142">
        <f>AC83*$B$55</f>
        <v>0</v>
      </c>
      <c r="AE83" s="134">
        <f t="shared" si="33"/>
        <v>2</v>
      </c>
      <c r="AF83" s="126">
        <f t="shared" si="36"/>
        <v>0</v>
      </c>
      <c r="AH83" s="124"/>
    </row>
    <row r="84" spans="1:37" ht="15" x14ac:dyDescent="0.2">
      <c r="A84" s="140" t="s">
        <v>61</v>
      </c>
      <c r="B84" s="220"/>
      <c r="C84" s="141">
        <v>0</v>
      </c>
      <c r="D84" s="142">
        <f t="shared" ref="D84" si="38">C84*$B$66</f>
        <v>0</v>
      </c>
      <c r="E84" s="141">
        <v>0</v>
      </c>
      <c r="F84" s="142">
        <f>E84*B84</f>
        <v>0</v>
      </c>
      <c r="G84" s="141">
        <v>0</v>
      </c>
      <c r="H84" s="142">
        <f>G84*$B$55</f>
        <v>0</v>
      </c>
      <c r="I84" s="143">
        <v>0</v>
      </c>
      <c r="J84" s="142">
        <f>I84*$B$55</f>
        <v>0</v>
      </c>
      <c r="K84" s="143">
        <v>0</v>
      </c>
      <c r="L84" s="142">
        <f>K84*$B$55</f>
        <v>0</v>
      </c>
      <c r="M84" s="143">
        <v>0</v>
      </c>
      <c r="N84" s="142">
        <f>M84*$B$55</f>
        <v>0</v>
      </c>
      <c r="O84" s="143">
        <v>0</v>
      </c>
      <c r="P84" s="142">
        <f>O84*$B$55</f>
        <v>0</v>
      </c>
      <c r="Q84" s="143">
        <v>0</v>
      </c>
      <c r="R84" s="142">
        <f>Q84*$B$55</f>
        <v>0</v>
      </c>
      <c r="S84" s="143">
        <v>0</v>
      </c>
      <c r="T84" s="142">
        <f>S84*$B$55</f>
        <v>0</v>
      </c>
      <c r="U84" s="143">
        <v>0</v>
      </c>
      <c r="V84" s="142">
        <f>U84*$B$55</f>
        <v>0</v>
      </c>
      <c r="W84" s="143">
        <v>0</v>
      </c>
      <c r="X84" s="142">
        <f>W84*$B$55</f>
        <v>0</v>
      </c>
      <c r="Y84" s="143">
        <v>0</v>
      </c>
      <c r="Z84" s="142">
        <f>Y84*$B$55</f>
        <v>0</v>
      </c>
      <c r="AA84" s="141">
        <v>0</v>
      </c>
      <c r="AB84" s="142">
        <f>AA84*$B$55</f>
        <v>0</v>
      </c>
      <c r="AC84" s="141">
        <v>0</v>
      </c>
      <c r="AD84" s="142">
        <f>AC84*$B$55</f>
        <v>0</v>
      </c>
      <c r="AE84" s="134">
        <f t="shared" si="33"/>
        <v>0</v>
      </c>
      <c r="AF84" s="126">
        <f t="shared" si="36"/>
        <v>0</v>
      </c>
      <c r="AH84" s="124"/>
      <c r="AK84" s="124"/>
    </row>
    <row r="85" spans="1:37" ht="15" hidden="1" customHeight="1" x14ac:dyDescent="0.2">
      <c r="A85" s="140"/>
      <c r="B85" s="220"/>
      <c r="C85" s="141">
        <v>0</v>
      </c>
      <c r="D85" s="145">
        <f t="shared" ref="D85" si="39">C85*$B$67</f>
        <v>0</v>
      </c>
      <c r="E85" s="141">
        <v>0</v>
      </c>
      <c r="F85" s="142">
        <f>E85*$B$57</f>
        <v>0</v>
      </c>
      <c r="G85" s="141">
        <v>0</v>
      </c>
      <c r="H85" s="142">
        <f>G85*$B$57</f>
        <v>0</v>
      </c>
      <c r="I85" s="143">
        <v>0</v>
      </c>
      <c r="J85" s="142">
        <f>I85*$B$57</f>
        <v>0</v>
      </c>
      <c r="K85" s="143">
        <v>0</v>
      </c>
      <c r="L85" s="142">
        <f>K85*$B$57</f>
        <v>0</v>
      </c>
      <c r="M85" s="143">
        <v>0</v>
      </c>
      <c r="N85" s="142">
        <f>M85*$B$57</f>
        <v>0</v>
      </c>
      <c r="O85" s="143">
        <v>0</v>
      </c>
      <c r="P85" s="142">
        <f>O85*$B$57</f>
        <v>0</v>
      </c>
      <c r="Q85" s="143">
        <v>0</v>
      </c>
      <c r="R85" s="142">
        <f>Q85*$B$57</f>
        <v>0</v>
      </c>
      <c r="S85" s="143">
        <v>0</v>
      </c>
      <c r="T85" s="142">
        <f>S85*$B$57</f>
        <v>0</v>
      </c>
      <c r="U85" s="143">
        <v>0</v>
      </c>
      <c r="V85" s="142">
        <f>U85*$B$57</f>
        <v>0</v>
      </c>
      <c r="W85" s="143">
        <v>0</v>
      </c>
      <c r="X85" s="142">
        <f>W85*$B$57</f>
        <v>0</v>
      </c>
      <c r="Y85" s="143">
        <v>0</v>
      </c>
      <c r="Z85" s="142">
        <f>Y85*$B$57</f>
        <v>0</v>
      </c>
      <c r="AA85" s="141">
        <v>0</v>
      </c>
      <c r="AB85" s="142">
        <f>AA85*$B$57</f>
        <v>0</v>
      </c>
      <c r="AC85" s="141">
        <v>0</v>
      </c>
      <c r="AD85" s="142">
        <f>AC85*$B$57</f>
        <v>0</v>
      </c>
      <c r="AE85" s="134">
        <f t="shared" si="33"/>
        <v>0</v>
      </c>
      <c r="AF85" s="126">
        <f t="shared" si="36"/>
        <v>0</v>
      </c>
      <c r="AH85" s="124"/>
    </row>
    <row r="86" spans="1:37" ht="15" hidden="1" customHeight="1" x14ac:dyDescent="0.2">
      <c r="A86" s="140"/>
      <c r="B86" s="220"/>
      <c r="C86" s="141">
        <v>0</v>
      </c>
      <c r="D86" s="142">
        <f t="shared" ref="D86" si="40">C86*$B$68</f>
        <v>0</v>
      </c>
      <c r="E86" s="141">
        <v>0</v>
      </c>
      <c r="F86" s="142">
        <f>E86*$B$57</f>
        <v>0</v>
      </c>
      <c r="G86" s="141">
        <v>0</v>
      </c>
      <c r="H86" s="142">
        <f>G86*$B$57</f>
        <v>0</v>
      </c>
      <c r="I86" s="143">
        <v>0</v>
      </c>
      <c r="J86" s="142">
        <f>I86*$B$57</f>
        <v>0</v>
      </c>
      <c r="K86" s="143">
        <v>0</v>
      </c>
      <c r="L86" s="142">
        <f>K86*$B$57</f>
        <v>0</v>
      </c>
      <c r="M86" s="143">
        <v>0</v>
      </c>
      <c r="N86" s="142">
        <f>M86*$B$57</f>
        <v>0</v>
      </c>
      <c r="O86" s="143">
        <v>0</v>
      </c>
      <c r="P86" s="142">
        <f>O86*$B$57</f>
        <v>0</v>
      </c>
      <c r="Q86" s="143">
        <v>0</v>
      </c>
      <c r="R86" s="142">
        <f>Q86*$B$57</f>
        <v>0</v>
      </c>
      <c r="S86" s="143">
        <v>0</v>
      </c>
      <c r="T86" s="142">
        <f>S86*$B$57</f>
        <v>0</v>
      </c>
      <c r="U86" s="143">
        <v>0</v>
      </c>
      <c r="V86" s="142">
        <f>U86*$B$57</f>
        <v>0</v>
      </c>
      <c r="W86" s="143">
        <v>0</v>
      </c>
      <c r="X86" s="142">
        <f>W86*$B$57</f>
        <v>0</v>
      </c>
      <c r="Y86" s="143">
        <v>0</v>
      </c>
      <c r="Z86" s="142">
        <f>Y86*$B$57</f>
        <v>0</v>
      </c>
      <c r="AA86" s="141">
        <v>0</v>
      </c>
      <c r="AB86" s="142">
        <f>AA86*$B$57</f>
        <v>0</v>
      </c>
      <c r="AC86" s="141">
        <v>0</v>
      </c>
      <c r="AD86" s="142">
        <f>AC86*$B$57</f>
        <v>0</v>
      </c>
      <c r="AE86" s="134">
        <f t="shared" si="33"/>
        <v>0</v>
      </c>
      <c r="AF86" s="126">
        <f t="shared" si="36"/>
        <v>0</v>
      </c>
      <c r="AH86" s="124"/>
    </row>
    <row r="87" spans="1:37" ht="15" hidden="1" customHeight="1" x14ac:dyDescent="0.2">
      <c r="A87" s="140"/>
      <c r="B87" s="220"/>
      <c r="C87" s="141">
        <v>0</v>
      </c>
      <c r="D87" s="145">
        <f t="shared" ref="D87" si="41">C87*$B$69</f>
        <v>0</v>
      </c>
      <c r="E87" s="141">
        <v>0</v>
      </c>
      <c r="F87" s="142">
        <f>E87*$B$59</f>
        <v>0</v>
      </c>
      <c r="G87" s="141">
        <v>0</v>
      </c>
      <c r="H87" s="142">
        <f>G87*$B$59</f>
        <v>0</v>
      </c>
      <c r="I87" s="143">
        <v>0</v>
      </c>
      <c r="J87" s="142">
        <f>I87*$B$59</f>
        <v>0</v>
      </c>
      <c r="K87" s="143">
        <v>0</v>
      </c>
      <c r="L87" s="142">
        <f>K87*$B$59</f>
        <v>0</v>
      </c>
      <c r="M87" s="143">
        <v>0</v>
      </c>
      <c r="N87" s="142">
        <f>M87*$B$59</f>
        <v>0</v>
      </c>
      <c r="O87" s="143">
        <v>0</v>
      </c>
      <c r="P87" s="142">
        <f>O87*$B$59</f>
        <v>0</v>
      </c>
      <c r="Q87" s="143">
        <v>0</v>
      </c>
      <c r="R87" s="142">
        <f>Q87*$B$59</f>
        <v>0</v>
      </c>
      <c r="S87" s="143">
        <v>0</v>
      </c>
      <c r="T87" s="142">
        <f>S87*$B$59</f>
        <v>0</v>
      </c>
      <c r="U87" s="143">
        <v>0</v>
      </c>
      <c r="V87" s="142">
        <f>U87*$B$59</f>
        <v>0</v>
      </c>
      <c r="W87" s="143">
        <v>0</v>
      </c>
      <c r="X87" s="142">
        <f>W87*$B$59</f>
        <v>0</v>
      </c>
      <c r="Y87" s="143">
        <v>0</v>
      </c>
      <c r="Z87" s="142">
        <f>Y87*$B$59</f>
        <v>0</v>
      </c>
      <c r="AA87" s="141">
        <v>0</v>
      </c>
      <c r="AB87" s="142">
        <f>AA87*$B$59</f>
        <v>0</v>
      </c>
      <c r="AC87" s="141">
        <v>0</v>
      </c>
      <c r="AD87" s="142">
        <f>AC87*$B$59</f>
        <v>0</v>
      </c>
      <c r="AE87" s="134">
        <f t="shared" si="33"/>
        <v>0</v>
      </c>
      <c r="AF87" s="126">
        <f t="shared" si="36"/>
        <v>0</v>
      </c>
      <c r="AH87" s="124"/>
    </row>
    <row r="88" spans="1:37" ht="15" hidden="1" customHeight="1" x14ac:dyDescent="0.2">
      <c r="A88" s="144"/>
      <c r="B88" s="220"/>
      <c r="C88" s="141">
        <v>0</v>
      </c>
      <c r="D88" s="142">
        <f t="shared" ref="D88" si="42">C88*$B$70</f>
        <v>0</v>
      </c>
      <c r="E88" s="141">
        <v>0</v>
      </c>
      <c r="F88" s="142">
        <f>E88*$B$59</f>
        <v>0</v>
      </c>
      <c r="G88" s="141">
        <v>0</v>
      </c>
      <c r="H88" s="142">
        <f>G88*$B$59</f>
        <v>0</v>
      </c>
      <c r="I88" s="143">
        <v>0</v>
      </c>
      <c r="J88" s="142">
        <f>I88*$B$59</f>
        <v>0</v>
      </c>
      <c r="K88" s="143">
        <v>0</v>
      </c>
      <c r="L88" s="142">
        <f>K88*$B$59</f>
        <v>0</v>
      </c>
      <c r="M88" s="143">
        <v>0</v>
      </c>
      <c r="N88" s="142">
        <f>M88*$B$59</f>
        <v>0</v>
      </c>
      <c r="O88" s="143">
        <v>0</v>
      </c>
      <c r="P88" s="142">
        <f>O88*$B$59</f>
        <v>0</v>
      </c>
      <c r="Q88" s="143">
        <v>0</v>
      </c>
      <c r="R88" s="142">
        <f>Q88*$B$59</f>
        <v>0</v>
      </c>
      <c r="S88" s="143">
        <v>0</v>
      </c>
      <c r="T88" s="142">
        <f>S88*$B$59</f>
        <v>0</v>
      </c>
      <c r="U88" s="143">
        <v>0</v>
      </c>
      <c r="V88" s="142">
        <f>U88*$B$59</f>
        <v>0</v>
      </c>
      <c r="W88" s="143">
        <v>0</v>
      </c>
      <c r="X88" s="142">
        <f>W88*$B$59</f>
        <v>0</v>
      </c>
      <c r="Y88" s="143">
        <v>0</v>
      </c>
      <c r="Z88" s="142">
        <f>Y88*$B$59</f>
        <v>0</v>
      </c>
      <c r="AA88" s="141">
        <v>0</v>
      </c>
      <c r="AB88" s="142">
        <f>AA88*$B$59</f>
        <v>0</v>
      </c>
      <c r="AC88" s="141">
        <v>0</v>
      </c>
      <c r="AD88" s="142">
        <f>AC88*$B$59</f>
        <v>0</v>
      </c>
      <c r="AE88" s="134">
        <f t="shared" si="33"/>
        <v>0</v>
      </c>
      <c r="AF88" s="126">
        <f t="shared" si="36"/>
        <v>0</v>
      </c>
      <c r="AH88" s="124"/>
    </row>
    <row r="89" spans="1:37" ht="15" hidden="1" customHeight="1" x14ac:dyDescent="0.2">
      <c r="A89" s="144"/>
      <c r="B89" s="220"/>
      <c r="C89" s="141">
        <v>0</v>
      </c>
      <c r="D89" s="142">
        <f t="shared" ref="D89" si="43">C89*$B$71</f>
        <v>0</v>
      </c>
      <c r="E89" s="141">
        <v>0</v>
      </c>
      <c r="F89" s="142">
        <f>E89*$B$61</f>
        <v>0</v>
      </c>
      <c r="G89" s="141">
        <v>0</v>
      </c>
      <c r="H89" s="142">
        <f>G89*$B$61</f>
        <v>0</v>
      </c>
      <c r="I89" s="143">
        <v>0</v>
      </c>
      <c r="J89" s="142">
        <f>I89*$B$61</f>
        <v>0</v>
      </c>
      <c r="K89" s="143">
        <v>0</v>
      </c>
      <c r="L89" s="142">
        <f>K89*$B$61</f>
        <v>0</v>
      </c>
      <c r="M89" s="143">
        <v>0</v>
      </c>
      <c r="N89" s="142">
        <f>M89*$B$61</f>
        <v>0</v>
      </c>
      <c r="O89" s="143">
        <v>0</v>
      </c>
      <c r="P89" s="142">
        <f>O89*$B$61</f>
        <v>0</v>
      </c>
      <c r="Q89" s="143">
        <v>0</v>
      </c>
      <c r="R89" s="142">
        <f>Q89*$B$61</f>
        <v>0</v>
      </c>
      <c r="S89" s="143">
        <v>0</v>
      </c>
      <c r="T89" s="142">
        <f>S89*$B$61</f>
        <v>0</v>
      </c>
      <c r="U89" s="143">
        <v>0</v>
      </c>
      <c r="V89" s="142">
        <f>U89*$B$61</f>
        <v>0</v>
      </c>
      <c r="W89" s="143">
        <v>0</v>
      </c>
      <c r="X89" s="142">
        <f>W89*$B$61</f>
        <v>0</v>
      </c>
      <c r="Y89" s="143">
        <v>0</v>
      </c>
      <c r="Z89" s="142">
        <f>Y89*$B$61</f>
        <v>0</v>
      </c>
      <c r="AA89" s="141">
        <v>0</v>
      </c>
      <c r="AB89" s="142">
        <f>AA89*$B$61</f>
        <v>0</v>
      </c>
      <c r="AC89" s="141">
        <v>0</v>
      </c>
      <c r="AD89" s="142">
        <f>AC89*$B$61</f>
        <v>0</v>
      </c>
      <c r="AE89" s="134">
        <f t="shared" si="33"/>
        <v>0</v>
      </c>
      <c r="AF89" s="126">
        <f t="shared" si="36"/>
        <v>0</v>
      </c>
      <c r="AH89" s="124"/>
    </row>
    <row r="90" spans="1:37" ht="15" hidden="1" customHeight="1" x14ac:dyDescent="0.2">
      <c r="A90" s="144"/>
      <c r="B90" s="220"/>
      <c r="C90" s="141">
        <v>0</v>
      </c>
      <c r="D90" s="142">
        <f t="shared" ref="D90" si="44">C90*$B$72</f>
        <v>0</v>
      </c>
      <c r="E90" s="141">
        <v>0</v>
      </c>
      <c r="F90" s="142">
        <f>E90*$B$61</f>
        <v>0</v>
      </c>
      <c r="G90" s="141">
        <v>0</v>
      </c>
      <c r="H90" s="142">
        <f>G90*$B$61</f>
        <v>0</v>
      </c>
      <c r="I90" s="143">
        <v>0</v>
      </c>
      <c r="J90" s="142">
        <f>I90*$B$61</f>
        <v>0</v>
      </c>
      <c r="K90" s="143">
        <v>0</v>
      </c>
      <c r="L90" s="142">
        <f>K90*$B$61</f>
        <v>0</v>
      </c>
      <c r="M90" s="143">
        <v>0</v>
      </c>
      <c r="N90" s="142">
        <f>M90*$B$61</f>
        <v>0</v>
      </c>
      <c r="O90" s="143">
        <v>0</v>
      </c>
      <c r="P90" s="142">
        <f>O90*$B$61</f>
        <v>0</v>
      </c>
      <c r="Q90" s="143">
        <v>0</v>
      </c>
      <c r="R90" s="142">
        <f>Q90*$B$61</f>
        <v>0</v>
      </c>
      <c r="S90" s="143">
        <v>0</v>
      </c>
      <c r="T90" s="142">
        <f>S90*$B$61</f>
        <v>0</v>
      </c>
      <c r="U90" s="143">
        <v>0</v>
      </c>
      <c r="V90" s="142">
        <f>U90*$B$61</f>
        <v>0</v>
      </c>
      <c r="W90" s="143">
        <v>0</v>
      </c>
      <c r="X90" s="142">
        <f>W90*$B$61</f>
        <v>0</v>
      </c>
      <c r="Y90" s="143">
        <v>0</v>
      </c>
      <c r="Z90" s="142">
        <f>Y90*$B$61</f>
        <v>0</v>
      </c>
      <c r="AA90" s="141">
        <v>0</v>
      </c>
      <c r="AB90" s="142">
        <f>AA90*$B$61</f>
        <v>0</v>
      </c>
      <c r="AC90" s="141">
        <v>0</v>
      </c>
      <c r="AD90" s="142">
        <f>AC90*$B$61</f>
        <v>0</v>
      </c>
      <c r="AE90" s="134">
        <f t="shared" si="33"/>
        <v>0</v>
      </c>
      <c r="AF90" s="126">
        <f t="shared" si="36"/>
        <v>0</v>
      </c>
      <c r="AH90" s="124"/>
    </row>
    <row r="91" spans="1:37" ht="15" hidden="1" customHeight="1" x14ac:dyDescent="0.2">
      <c r="A91" s="144"/>
      <c r="B91" s="220"/>
      <c r="C91" s="141">
        <v>0</v>
      </c>
      <c r="D91" s="142">
        <f t="shared" ref="D91" si="45">C91*$B$75</f>
        <v>0</v>
      </c>
      <c r="E91" s="141">
        <v>0</v>
      </c>
      <c r="F91" s="142">
        <f>E91*$B$59</f>
        <v>0</v>
      </c>
      <c r="G91" s="141">
        <v>0</v>
      </c>
      <c r="H91" s="142">
        <f>G91*$B$59</f>
        <v>0</v>
      </c>
      <c r="I91" s="143">
        <v>0</v>
      </c>
      <c r="J91" s="142">
        <f>I91*$B$59</f>
        <v>0</v>
      </c>
      <c r="K91" s="143">
        <v>0</v>
      </c>
      <c r="L91" s="142">
        <f>K91*$B$59</f>
        <v>0</v>
      </c>
      <c r="M91" s="143">
        <v>0</v>
      </c>
      <c r="N91" s="142">
        <f>M91*$B$59</f>
        <v>0</v>
      </c>
      <c r="O91" s="143">
        <v>0</v>
      </c>
      <c r="P91" s="142">
        <f>O91*$B$59</f>
        <v>0</v>
      </c>
      <c r="Q91" s="143">
        <v>0</v>
      </c>
      <c r="R91" s="142">
        <f>Q91*$B$59</f>
        <v>0</v>
      </c>
      <c r="S91" s="143">
        <v>0</v>
      </c>
      <c r="T91" s="142">
        <f>S91*$B$59</f>
        <v>0</v>
      </c>
      <c r="U91" s="143">
        <v>0</v>
      </c>
      <c r="V91" s="142">
        <f>U91*$B$59</f>
        <v>0</v>
      </c>
      <c r="W91" s="143">
        <v>0</v>
      </c>
      <c r="X91" s="142">
        <f>W91*$B$59</f>
        <v>0</v>
      </c>
      <c r="Y91" s="143">
        <v>0</v>
      </c>
      <c r="Z91" s="142">
        <f>Y91*$B$59</f>
        <v>0</v>
      </c>
      <c r="AA91" s="141">
        <v>0</v>
      </c>
      <c r="AB91" s="142">
        <f>AA91*$B$59</f>
        <v>0</v>
      </c>
      <c r="AC91" s="141">
        <v>0</v>
      </c>
      <c r="AD91" s="142">
        <f>AC91*$B$59</f>
        <v>0</v>
      </c>
      <c r="AE91" s="134">
        <f t="shared" si="33"/>
        <v>0</v>
      </c>
      <c r="AF91" s="126">
        <f t="shared" si="36"/>
        <v>0</v>
      </c>
      <c r="AH91" s="124"/>
    </row>
    <row r="92" spans="1:37" ht="15" hidden="1" customHeight="1" x14ac:dyDescent="0.2">
      <c r="A92" s="144"/>
      <c r="B92" s="220"/>
      <c r="C92" s="141">
        <v>0</v>
      </c>
      <c r="D92" s="142">
        <f t="shared" ref="D92" si="46">C92*$B$56</f>
        <v>0</v>
      </c>
      <c r="E92" s="141">
        <v>0</v>
      </c>
      <c r="F92" s="142">
        <f>E92*$B$64</f>
        <v>0</v>
      </c>
      <c r="G92" s="141">
        <v>0</v>
      </c>
      <c r="H92" s="142">
        <f>G92*$B$64</f>
        <v>0</v>
      </c>
      <c r="I92" s="143">
        <v>0</v>
      </c>
      <c r="J92" s="142">
        <f>I92*$B$64</f>
        <v>0</v>
      </c>
      <c r="K92" s="143">
        <v>0</v>
      </c>
      <c r="L92" s="142">
        <f>K92*$B$64</f>
        <v>0</v>
      </c>
      <c r="M92" s="143">
        <v>0</v>
      </c>
      <c r="N92" s="142">
        <f>M92*$B$64</f>
        <v>0</v>
      </c>
      <c r="O92" s="143">
        <v>0</v>
      </c>
      <c r="P92" s="142">
        <f>O92*$B$64</f>
        <v>0</v>
      </c>
      <c r="Q92" s="143">
        <v>0</v>
      </c>
      <c r="R92" s="142">
        <f>Q92*$B$64</f>
        <v>0</v>
      </c>
      <c r="S92" s="143">
        <v>0</v>
      </c>
      <c r="T92" s="142">
        <f>S92*$B$64</f>
        <v>0</v>
      </c>
      <c r="U92" s="143">
        <v>0</v>
      </c>
      <c r="V92" s="142">
        <f>U92*$B$64</f>
        <v>0</v>
      </c>
      <c r="W92" s="143">
        <v>0</v>
      </c>
      <c r="X92" s="142">
        <f>W92*$B$64</f>
        <v>0</v>
      </c>
      <c r="Y92" s="143">
        <v>0</v>
      </c>
      <c r="Z92" s="142">
        <f>Y92*$B$64</f>
        <v>0</v>
      </c>
      <c r="AA92" s="141">
        <v>0</v>
      </c>
      <c r="AB92" s="142">
        <f>AA92*$B$64</f>
        <v>0</v>
      </c>
      <c r="AC92" s="141">
        <v>0</v>
      </c>
      <c r="AD92" s="142">
        <f>AC92*$B$64</f>
        <v>0</v>
      </c>
      <c r="AE92" s="134">
        <f t="shared" si="33"/>
        <v>0</v>
      </c>
      <c r="AF92" s="126">
        <f t="shared" si="36"/>
        <v>0</v>
      </c>
      <c r="AH92" s="124"/>
    </row>
    <row r="93" spans="1:37" ht="15" hidden="1" customHeight="1" x14ac:dyDescent="0.2">
      <c r="A93" s="144"/>
      <c r="B93" s="220"/>
      <c r="C93" s="141">
        <v>0</v>
      </c>
      <c r="D93" s="142">
        <f t="shared" ref="D93" si="47">C93*$B$57</f>
        <v>0</v>
      </c>
      <c r="E93" s="141">
        <v>0</v>
      </c>
      <c r="F93" s="142">
        <f>E93*$B$64</f>
        <v>0</v>
      </c>
      <c r="G93" s="141">
        <v>0</v>
      </c>
      <c r="H93" s="142">
        <f>G93*$B$64</f>
        <v>0</v>
      </c>
      <c r="I93" s="143">
        <v>0</v>
      </c>
      <c r="J93" s="142">
        <f>I93*$B$64</f>
        <v>0</v>
      </c>
      <c r="K93" s="143">
        <v>0</v>
      </c>
      <c r="L93" s="142">
        <f>K93*$B$64</f>
        <v>0</v>
      </c>
      <c r="M93" s="143">
        <v>0</v>
      </c>
      <c r="N93" s="142">
        <f>M93*$B$64</f>
        <v>0</v>
      </c>
      <c r="O93" s="143">
        <v>0</v>
      </c>
      <c r="P93" s="142">
        <f>O93*$B$64</f>
        <v>0</v>
      </c>
      <c r="Q93" s="143">
        <v>0</v>
      </c>
      <c r="R93" s="142">
        <f>Q93*$B$64</f>
        <v>0</v>
      </c>
      <c r="S93" s="143">
        <v>0</v>
      </c>
      <c r="T93" s="142">
        <f>S93*$B$64</f>
        <v>0</v>
      </c>
      <c r="U93" s="143">
        <v>0</v>
      </c>
      <c r="V93" s="142">
        <f>U93*$B$64</f>
        <v>0</v>
      </c>
      <c r="W93" s="143">
        <v>0</v>
      </c>
      <c r="X93" s="142">
        <f>W93*$B$64</f>
        <v>0</v>
      </c>
      <c r="Y93" s="143">
        <v>0</v>
      </c>
      <c r="Z93" s="142">
        <f>Y93*$B$64</f>
        <v>0</v>
      </c>
      <c r="AA93" s="141">
        <v>0</v>
      </c>
      <c r="AB93" s="142">
        <f>AA93*$B$64</f>
        <v>0</v>
      </c>
      <c r="AC93" s="141">
        <v>0</v>
      </c>
      <c r="AD93" s="142">
        <f>AC93*$B$64</f>
        <v>0</v>
      </c>
      <c r="AE93" s="134">
        <f t="shared" si="33"/>
        <v>0</v>
      </c>
      <c r="AF93" s="126">
        <f t="shared" si="36"/>
        <v>0</v>
      </c>
      <c r="AH93" s="124"/>
    </row>
    <row r="94" spans="1:37" ht="15" hidden="1" customHeight="1" x14ac:dyDescent="0.2">
      <c r="A94" s="144"/>
      <c r="B94" s="220"/>
      <c r="C94" s="141">
        <v>0</v>
      </c>
      <c r="D94" s="142">
        <f t="shared" ref="D94" si="48">C94*$B$58</f>
        <v>0</v>
      </c>
      <c r="E94" s="141">
        <v>0</v>
      </c>
      <c r="F94" s="142">
        <f>E94*$B$66</f>
        <v>0</v>
      </c>
      <c r="G94" s="141">
        <v>0</v>
      </c>
      <c r="H94" s="142">
        <f>G94*$B$66</f>
        <v>0</v>
      </c>
      <c r="I94" s="143">
        <v>0</v>
      </c>
      <c r="J94" s="142">
        <f>I94*$B$66</f>
        <v>0</v>
      </c>
      <c r="K94" s="143">
        <v>0</v>
      </c>
      <c r="L94" s="142">
        <f>K94*$B$66</f>
        <v>0</v>
      </c>
      <c r="M94" s="143">
        <v>0</v>
      </c>
      <c r="N94" s="142">
        <f>M94*$B$66</f>
        <v>0</v>
      </c>
      <c r="O94" s="143">
        <v>0</v>
      </c>
      <c r="P94" s="142">
        <f>O94*$B$66</f>
        <v>0</v>
      </c>
      <c r="Q94" s="143">
        <v>0</v>
      </c>
      <c r="R94" s="142">
        <f>Q94*$B$66</f>
        <v>0</v>
      </c>
      <c r="S94" s="143">
        <v>0</v>
      </c>
      <c r="T94" s="142">
        <f>S94*$B$66</f>
        <v>0</v>
      </c>
      <c r="U94" s="143">
        <v>0</v>
      </c>
      <c r="V94" s="142">
        <f>U94*$B$66</f>
        <v>0</v>
      </c>
      <c r="W94" s="143">
        <v>0</v>
      </c>
      <c r="X94" s="142">
        <f>W94*$B$66</f>
        <v>0</v>
      </c>
      <c r="Y94" s="143">
        <v>0</v>
      </c>
      <c r="Z94" s="142">
        <f>Y94*$B$66</f>
        <v>0</v>
      </c>
      <c r="AA94" s="141">
        <v>0</v>
      </c>
      <c r="AB94" s="142">
        <f>AA94*$B$66</f>
        <v>0</v>
      </c>
      <c r="AC94" s="141">
        <v>0</v>
      </c>
      <c r="AD94" s="142">
        <f>AC94*$B$66</f>
        <v>0</v>
      </c>
      <c r="AE94" s="134">
        <f t="shared" si="33"/>
        <v>0</v>
      </c>
      <c r="AF94" s="126">
        <f t="shared" si="36"/>
        <v>0</v>
      </c>
      <c r="AH94" s="124"/>
    </row>
    <row r="95" spans="1:37" s="1" customFormat="1" ht="15" hidden="1" customHeight="1" x14ac:dyDescent="0.2">
      <c r="A95" s="144"/>
      <c r="B95" s="220"/>
      <c r="C95" s="141">
        <v>0</v>
      </c>
      <c r="D95" s="142">
        <f t="shared" ref="D95" si="49">C95*$B$59</f>
        <v>0</v>
      </c>
      <c r="E95" s="141">
        <v>0</v>
      </c>
      <c r="F95" s="145">
        <f>E95*$B$67</f>
        <v>0</v>
      </c>
      <c r="G95" s="141">
        <v>0</v>
      </c>
      <c r="H95" s="145">
        <f>G95*$B$67</f>
        <v>0</v>
      </c>
      <c r="I95" s="143">
        <v>0</v>
      </c>
      <c r="J95" s="145">
        <f>I95*$B$67</f>
        <v>0</v>
      </c>
      <c r="K95" s="143">
        <v>0</v>
      </c>
      <c r="L95" s="145">
        <f>K95*$B$67</f>
        <v>0</v>
      </c>
      <c r="M95" s="143">
        <v>0</v>
      </c>
      <c r="N95" s="145">
        <f>M95*$B$67</f>
        <v>0</v>
      </c>
      <c r="O95" s="143">
        <v>0</v>
      </c>
      <c r="P95" s="145">
        <f>O95*$B$67</f>
        <v>0</v>
      </c>
      <c r="Q95" s="143">
        <v>0</v>
      </c>
      <c r="R95" s="145">
        <f>Q95*$B$67</f>
        <v>0</v>
      </c>
      <c r="S95" s="143">
        <v>0</v>
      </c>
      <c r="T95" s="145">
        <f>S95*$B$67</f>
        <v>0</v>
      </c>
      <c r="U95" s="143">
        <v>0</v>
      </c>
      <c r="V95" s="145">
        <f>U95*$B$67</f>
        <v>0</v>
      </c>
      <c r="W95" s="143">
        <v>0</v>
      </c>
      <c r="X95" s="145">
        <f>W95*$B$67</f>
        <v>0</v>
      </c>
      <c r="Y95" s="143">
        <v>0</v>
      </c>
      <c r="Z95" s="145">
        <f>Y95*$B$67</f>
        <v>0</v>
      </c>
      <c r="AA95" s="141">
        <v>0</v>
      </c>
      <c r="AB95" s="145">
        <f>AA95*$B$67</f>
        <v>0</v>
      </c>
      <c r="AC95" s="141">
        <v>0</v>
      </c>
      <c r="AD95" s="145">
        <f>AC95*$B$67</f>
        <v>0</v>
      </c>
      <c r="AE95" s="134">
        <f t="shared" si="33"/>
        <v>0</v>
      </c>
      <c r="AF95" s="126">
        <f t="shared" si="36"/>
        <v>0</v>
      </c>
      <c r="AH95" s="124"/>
      <c r="AI95" s="151"/>
    </row>
    <row r="96" spans="1:37" s="1" customFormat="1" ht="15" hidden="1" customHeight="1" x14ac:dyDescent="0.2">
      <c r="A96" s="146"/>
      <c r="B96" s="220"/>
      <c r="C96" s="141">
        <v>0</v>
      </c>
      <c r="D96" s="142">
        <f t="shared" ref="D96" si="50">C96*$B$60</f>
        <v>0</v>
      </c>
      <c r="E96" s="141">
        <v>0</v>
      </c>
      <c r="F96" s="142">
        <f>E96*$B$68</f>
        <v>0</v>
      </c>
      <c r="G96" s="141">
        <v>0</v>
      </c>
      <c r="H96" s="142">
        <f>G96*$B$68</f>
        <v>0</v>
      </c>
      <c r="I96" s="141">
        <v>0</v>
      </c>
      <c r="J96" s="142">
        <f>I96*$B$68</f>
        <v>0</v>
      </c>
      <c r="K96" s="141">
        <v>0</v>
      </c>
      <c r="L96" s="142">
        <f>K96*$B$68</f>
        <v>0</v>
      </c>
      <c r="M96" s="141">
        <v>0</v>
      </c>
      <c r="N96" s="142">
        <f>M96*$B$68</f>
        <v>0</v>
      </c>
      <c r="O96" s="141">
        <v>0</v>
      </c>
      <c r="P96" s="142">
        <f>O96*$B$68</f>
        <v>0</v>
      </c>
      <c r="Q96" s="141">
        <v>0</v>
      </c>
      <c r="R96" s="142">
        <f>Q96*$B$68</f>
        <v>0</v>
      </c>
      <c r="S96" s="141">
        <v>0</v>
      </c>
      <c r="T96" s="142">
        <f>S96*$B$68</f>
        <v>0</v>
      </c>
      <c r="U96" s="141">
        <v>0</v>
      </c>
      <c r="V96" s="142">
        <f>U96*$B$68</f>
        <v>0</v>
      </c>
      <c r="W96" s="141">
        <v>0</v>
      </c>
      <c r="X96" s="142">
        <f>W96*$B$68</f>
        <v>0</v>
      </c>
      <c r="Y96" s="141">
        <v>0</v>
      </c>
      <c r="Z96" s="142">
        <f>Y96*$B$68</f>
        <v>0</v>
      </c>
      <c r="AA96" s="141">
        <v>0</v>
      </c>
      <c r="AB96" s="142">
        <f>AA96*$B$68</f>
        <v>0</v>
      </c>
      <c r="AC96" s="141">
        <v>0</v>
      </c>
      <c r="AD96" s="142">
        <f>AC96*$B$68</f>
        <v>0</v>
      </c>
      <c r="AE96" s="134">
        <f t="shared" si="33"/>
        <v>0</v>
      </c>
      <c r="AF96" s="126">
        <f t="shared" si="36"/>
        <v>0</v>
      </c>
      <c r="AH96" s="124"/>
      <c r="AI96" s="151"/>
    </row>
    <row r="97" spans="1:35" s="1" customFormat="1" ht="15" hidden="1" customHeight="1" x14ac:dyDescent="0.2">
      <c r="A97" s="147"/>
      <c r="B97" s="220"/>
      <c r="C97" s="141">
        <v>0</v>
      </c>
      <c r="D97" s="142">
        <f t="shared" ref="D97:D98" si="51">C97*$B$61</f>
        <v>0</v>
      </c>
      <c r="E97" s="141">
        <v>0</v>
      </c>
      <c r="F97" s="145">
        <f>E97*$B$69</f>
        <v>0</v>
      </c>
      <c r="G97" s="141">
        <v>0</v>
      </c>
      <c r="H97" s="145">
        <f>G97*$B$69</f>
        <v>0</v>
      </c>
      <c r="I97" s="141">
        <v>0</v>
      </c>
      <c r="J97" s="145">
        <f>I97*$B$69</f>
        <v>0</v>
      </c>
      <c r="K97" s="141">
        <v>0</v>
      </c>
      <c r="L97" s="145">
        <f>K97*$B$69</f>
        <v>0</v>
      </c>
      <c r="M97" s="141">
        <v>0</v>
      </c>
      <c r="N97" s="145">
        <f>M97*$B$69</f>
        <v>0</v>
      </c>
      <c r="O97" s="141">
        <v>0</v>
      </c>
      <c r="P97" s="145">
        <f>O97*$B$69</f>
        <v>0</v>
      </c>
      <c r="Q97" s="141">
        <v>0</v>
      </c>
      <c r="R97" s="145">
        <f>Q97*$B$69</f>
        <v>0</v>
      </c>
      <c r="S97" s="141">
        <v>0</v>
      </c>
      <c r="T97" s="145">
        <f>S97*$B$69</f>
        <v>0</v>
      </c>
      <c r="U97" s="141">
        <v>0</v>
      </c>
      <c r="V97" s="145">
        <f>U97*$B$69</f>
        <v>0</v>
      </c>
      <c r="W97" s="141">
        <v>0</v>
      </c>
      <c r="X97" s="145">
        <f>W97*$B$69</f>
        <v>0</v>
      </c>
      <c r="Y97" s="141">
        <v>0</v>
      </c>
      <c r="Z97" s="145">
        <f>Y97*$B$69</f>
        <v>0</v>
      </c>
      <c r="AA97" s="141">
        <v>0</v>
      </c>
      <c r="AB97" s="145">
        <f>AA97*$B$69</f>
        <v>0</v>
      </c>
      <c r="AC97" s="141">
        <v>0</v>
      </c>
      <c r="AD97" s="145">
        <f>AC97*$B$69</f>
        <v>0</v>
      </c>
      <c r="AE97" s="134">
        <f t="shared" si="33"/>
        <v>0</v>
      </c>
      <c r="AF97" s="126">
        <f t="shared" si="36"/>
        <v>0</v>
      </c>
      <c r="AH97" s="124"/>
      <c r="AI97" s="151"/>
    </row>
    <row r="98" spans="1:35" s="1" customFormat="1" ht="15" hidden="1" customHeight="1" x14ac:dyDescent="0.2">
      <c r="A98" s="147"/>
      <c r="B98" s="220"/>
      <c r="C98" s="141">
        <v>0</v>
      </c>
      <c r="D98" s="142">
        <f t="shared" si="51"/>
        <v>0</v>
      </c>
      <c r="E98" s="141">
        <v>0</v>
      </c>
      <c r="F98" s="142">
        <f t="shared" ref="F98:F101" si="52">E98*$B$70</f>
        <v>0</v>
      </c>
      <c r="G98" s="141">
        <v>0</v>
      </c>
      <c r="H98" s="142">
        <f>G98*$B$70</f>
        <v>0</v>
      </c>
      <c r="I98" s="141">
        <v>0</v>
      </c>
      <c r="J98" s="142">
        <f t="shared" ref="J98:J101" si="53">I98*$B$70</f>
        <v>0</v>
      </c>
      <c r="K98" s="141">
        <v>0</v>
      </c>
      <c r="L98" s="142">
        <f t="shared" ref="L98:L101" si="54">K98*$B$70</f>
        <v>0</v>
      </c>
      <c r="M98" s="141">
        <v>0</v>
      </c>
      <c r="N98" s="142">
        <f t="shared" ref="N98:N101" si="55">M98*$B$70</f>
        <v>0</v>
      </c>
      <c r="O98" s="141">
        <v>0</v>
      </c>
      <c r="P98" s="142">
        <f t="shared" ref="P98:P101" si="56">O98*$B$70</f>
        <v>0</v>
      </c>
      <c r="Q98" s="141">
        <v>0</v>
      </c>
      <c r="R98" s="142">
        <f t="shared" ref="R98:R101" si="57">Q98*$B$70</f>
        <v>0</v>
      </c>
      <c r="S98" s="141">
        <v>0</v>
      </c>
      <c r="T98" s="142">
        <f t="shared" ref="T98:T101" si="58">S98*$B$70</f>
        <v>0</v>
      </c>
      <c r="U98" s="141">
        <v>0</v>
      </c>
      <c r="V98" s="142">
        <f t="shared" ref="V98:V101" si="59">U98*$B$70</f>
        <v>0</v>
      </c>
      <c r="W98" s="141">
        <v>0</v>
      </c>
      <c r="X98" s="142">
        <f t="shared" ref="X98:X101" si="60">W98*$B$70</f>
        <v>0</v>
      </c>
      <c r="Y98" s="141">
        <v>0</v>
      </c>
      <c r="Z98" s="142">
        <f t="shared" ref="Z98:Z101" si="61">Y98*$B$70</f>
        <v>0</v>
      </c>
      <c r="AA98" s="141">
        <v>0</v>
      </c>
      <c r="AB98" s="142">
        <f>AA98*$B$70</f>
        <v>0</v>
      </c>
      <c r="AC98" s="141">
        <v>0</v>
      </c>
      <c r="AD98" s="142">
        <f>AC98*$B$70</f>
        <v>0</v>
      </c>
      <c r="AE98" s="134">
        <f t="shared" si="33"/>
        <v>0</v>
      </c>
      <c r="AF98" s="126">
        <f t="shared" si="36"/>
        <v>0</v>
      </c>
      <c r="AH98" s="124"/>
      <c r="AI98" s="151"/>
    </row>
    <row r="99" spans="1:35" s="1" customFormat="1" ht="15" hidden="1" customHeight="1" x14ac:dyDescent="0.2">
      <c r="A99" s="147"/>
      <c r="B99" s="220"/>
      <c r="C99" s="141">
        <v>0</v>
      </c>
      <c r="D99" s="142">
        <f t="shared" ref="D99" si="62">C99*$B$63</f>
        <v>0</v>
      </c>
      <c r="E99" s="141">
        <v>0</v>
      </c>
      <c r="F99" s="142">
        <f t="shared" si="52"/>
        <v>0</v>
      </c>
      <c r="G99" s="141">
        <v>0</v>
      </c>
      <c r="H99" s="142">
        <f>G99*$B$70</f>
        <v>0</v>
      </c>
      <c r="I99" s="141">
        <v>0</v>
      </c>
      <c r="J99" s="142">
        <f t="shared" si="53"/>
        <v>0</v>
      </c>
      <c r="K99" s="141">
        <v>0</v>
      </c>
      <c r="L99" s="142">
        <f t="shared" si="54"/>
        <v>0</v>
      </c>
      <c r="M99" s="141">
        <v>0</v>
      </c>
      <c r="N99" s="142">
        <f t="shared" si="55"/>
        <v>0</v>
      </c>
      <c r="O99" s="141">
        <v>0</v>
      </c>
      <c r="P99" s="142">
        <f t="shared" si="56"/>
        <v>0</v>
      </c>
      <c r="Q99" s="141">
        <v>0</v>
      </c>
      <c r="R99" s="142">
        <f t="shared" si="57"/>
        <v>0</v>
      </c>
      <c r="S99" s="141">
        <v>0</v>
      </c>
      <c r="T99" s="142">
        <f t="shared" si="58"/>
        <v>0</v>
      </c>
      <c r="U99" s="141">
        <v>0</v>
      </c>
      <c r="V99" s="142">
        <f t="shared" si="59"/>
        <v>0</v>
      </c>
      <c r="W99" s="141">
        <v>0</v>
      </c>
      <c r="X99" s="142">
        <f t="shared" si="60"/>
        <v>0</v>
      </c>
      <c r="Y99" s="141">
        <v>0</v>
      </c>
      <c r="Z99" s="142">
        <f t="shared" si="61"/>
        <v>0</v>
      </c>
      <c r="AA99" s="141">
        <v>0</v>
      </c>
      <c r="AB99" s="142">
        <f>AA99*$B$70</f>
        <v>0</v>
      </c>
      <c r="AC99" s="141">
        <v>0</v>
      </c>
      <c r="AD99" s="142">
        <f>AC99*$B$70</f>
        <v>0</v>
      </c>
      <c r="AE99" s="134">
        <f t="shared" si="33"/>
        <v>0</v>
      </c>
      <c r="AF99" s="126">
        <f t="shared" si="36"/>
        <v>0</v>
      </c>
      <c r="AH99" s="124"/>
      <c r="AI99" s="151"/>
    </row>
    <row r="100" spans="1:35" s="1" customFormat="1" ht="15" hidden="1" customHeight="1" x14ac:dyDescent="0.2">
      <c r="A100" s="147"/>
      <c r="B100" s="220"/>
      <c r="C100" s="141">
        <v>0</v>
      </c>
      <c r="D100" s="142">
        <f t="shared" ref="D100" si="63">C100*$B$64</f>
        <v>0</v>
      </c>
      <c r="E100" s="141">
        <v>0</v>
      </c>
      <c r="F100" s="142">
        <f t="shared" si="52"/>
        <v>0</v>
      </c>
      <c r="G100" s="141">
        <v>0</v>
      </c>
      <c r="H100" s="142">
        <f>G100*$B$70</f>
        <v>0</v>
      </c>
      <c r="I100" s="141">
        <v>0</v>
      </c>
      <c r="J100" s="142">
        <f t="shared" si="53"/>
        <v>0</v>
      </c>
      <c r="K100" s="141">
        <v>0</v>
      </c>
      <c r="L100" s="142">
        <f t="shared" si="54"/>
        <v>0</v>
      </c>
      <c r="M100" s="141">
        <v>0</v>
      </c>
      <c r="N100" s="142">
        <f t="shared" si="55"/>
        <v>0</v>
      </c>
      <c r="O100" s="141">
        <v>0</v>
      </c>
      <c r="P100" s="142">
        <f t="shared" si="56"/>
        <v>0</v>
      </c>
      <c r="Q100" s="141">
        <v>0</v>
      </c>
      <c r="R100" s="142">
        <f t="shared" si="57"/>
        <v>0</v>
      </c>
      <c r="S100" s="141">
        <v>0</v>
      </c>
      <c r="T100" s="142">
        <f t="shared" si="58"/>
        <v>0</v>
      </c>
      <c r="U100" s="141">
        <v>0</v>
      </c>
      <c r="V100" s="142">
        <f t="shared" si="59"/>
        <v>0</v>
      </c>
      <c r="W100" s="141">
        <v>0</v>
      </c>
      <c r="X100" s="142">
        <f t="shared" si="60"/>
        <v>0</v>
      </c>
      <c r="Y100" s="141">
        <v>0</v>
      </c>
      <c r="Z100" s="142">
        <f t="shared" si="61"/>
        <v>0</v>
      </c>
      <c r="AA100" s="141">
        <v>0</v>
      </c>
      <c r="AB100" s="142">
        <f>AA100*$B$70</f>
        <v>0</v>
      </c>
      <c r="AC100" s="141">
        <v>0</v>
      </c>
      <c r="AD100" s="142">
        <f>AC100*$B$70</f>
        <v>0</v>
      </c>
      <c r="AE100" s="134">
        <f t="shared" si="33"/>
        <v>0</v>
      </c>
      <c r="AF100" s="126">
        <f t="shared" si="36"/>
        <v>0</v>
      </c>
      <c r="AH100" s="124"/>
      <c r="AI100" s="151"/>
    </row>
    <row r="101" spans="1:35" s="1" customFormat="1" ht="15" customHeight="1" x14ac:dyDescent="0.2">
      <c r="A101" s="140" t="s">
        <v>99</v>
      </c>
      <c r="B101" s="220"/>
      <c r="C101" s="141">
        <v>0</v>
      </c>
      <c r="D101" s="142">
        <f t="shared" ref="D101" si="64">C101*$B$65</f>
        <v>0</v>
      </c>
      <c r="E101" s="141">
        <v>0</v>
      </c>
      <c r="F101" s="142">
        <f t="shared" si="52"/>
        <v>0</v>
      </c>
      <c r="G101" s="141">
        <v>0</v>
      </c>
      <c r="H101" s="142">
        <f>G101*B101</f>
        <v>0</v>
      </c>
      <c r="I101" s="141">
        <v>0</v>
      </c>
      <c r="J101" s="142">
        <f t="shared" si="53"/>
        <v>0</v>
      </c>
      <c r="K101" s="141">
        <v>0</v>
      </c>
      <c r="L101" s="142">
        <f t="shared" si="54"/>
        <v>0</v>
      </c>
      <c r="M101" s="141">
        <v>0</v>
      </c>
      <c r="N101" s="142">
        <f t="shared" si="55"/>
        <v>0</v>
      </c>
      <c r="O101" s="141">
        <v>0</v>
      </c>
      <c r="P101" s="142">
        <f t="shared" si="56"/>
        <v>0</v>
      </c>
      <c r="Q101" s="141">
        <v>0</v>
      </c>
      <c r="R101" s="142">
        <f t="shared" si="57"/>
        <v>0</v>
      </c>
      <c r="S101" s="141">
        <v>0</v>
      </c>
      <c r="T101" s="142">
        <f t="shared" si="58"/>
        <v>0</v>
      </c>
      <c r="U101" s="141">
        <v>0</v>
      </c>
      <c r="V101" s="142">
        <f t="shared" si="59"/>
        <v>0</v>
      </c>
      <c r="W101" s="141">
        <v>0</v>
      </c>
      <c r="X101" s="142">
        <f t="shared" si="60"/>
        <v>0</v>
      </c>
      <c r="Y101" s="141">
        <v>0</v>
      </c>
      <c r="Z101" s="142">
        <f t="shared" si="61"/>
        <v>0</v>
      </c>
      <c r="AA101" s="141">
        <v>0</v>
      </c>
      <c r="AB101" s="142">
        <f>AA101*$B$70</f>
        <v>0</v>
      </c>
      <c r="AC101" s="141">
        <v>0</v>
      </c>
      <c r="AD101" s="142">
        <f>AC101*$B$70</f>
        <v>0</v>
      </c>
      <c r="AE101" s="134">
        <v>0</v>
      </c>
      <c r="AF101" s="126">
        <f t="shared" si="36"/>
        <v>0</v>
      </c>
      <c r="AH101" s="124"/>
      <c r="AI101" s="151"/>
    </row>
    <row r="102" spans="1:35" s="1" customFormat="1" ht="30" hidden="1" customHeight="1" x14ac:dyDescent="0.2">
      <c r="A102" s="140" t="s">
        <v>100</v>
      </c>
      <c r="B102" s="220"/>
      <c r="C102" s="141">
        <v>0</v>
      </c>
      <c r="D102" s="142">
        <f>C102*$B$75</f>
        <v>0</v>
      </c>
      <c r="E102" s="141">
        <v>0</v>
      </c>
      <c r="F102" s="142">
        <f>E102*$B$70</f>
        <v>0</v>
      </c>
      <c r="G102" s="141">
        <v>0</v>
      </c>
      <c r="H102" s="142">
        <f>G102*$B$70</f>
        <v>0</v>
      </c>
      <c r="I102" s="141">
        <v>0</v>
      </c>
      <c r="J102" s="142">
        <f>I102*$B$70</f>
        <v>0</v>
      </c>
      <c r="K102" s="141">
        <v>0</v>
      </c>
      <c r="L102" s="142">
        <f>K102*$B$70</f>
        <v>0</v>
      </c>
      <c r="M102" s="141">
        <v>0</v>
      </c>
      <c r="N102" s="142">
        <f>M102*$B$70</f>
        <v>0</v>
      </c>
      <c r="O102" s="141">
        <v>0</v>
      </c>
      <c r="P102" s="142">
        <f>O102*$B$70</f>
        <v>0</v>
      </c>
      <c r="Q102" s="141">
        <v>0</v>
      </c>
      <c r="R102" s="142">
        <f>Q102*$B$70</f>
        <v>0</v>
      </c>
      <c r="S102" s="141">
        <v>0</v>
      </c>
      <c r="T102" s="142">
        <f>S102*$B$70</f>
        <v>0</v>
      </c>
      <c r="U102" s="141">
        <v>0</v>
      </c>
      <c r="V102" s="142">
        <f>U102*$B$70</f>
        <v>0</v>
      </c>
      <c r="W102" s="141">
        <v>0</v>
      </c>
      <c r="X102" s="142">
        <f>W102*$B$70</f>
        <v>0</v>
      </c>
      <c r="Y102" s="141">
        <v>0</v>
      </c>
      <c r="Z102" s="142">
        <f>Y102*$B$70</f>
        <v>0</v>
      </c>
      <c r="AA102" s="141">
        <v>0</v>
      </c>
      <c r="AB102" s="142">
        <f>AA102*B102</f>
        <v>0</v>
      </c>
      <c r="AC102" s="141"/>
      <c r="AD102" s="142">
        <f>AC102*B102</f>
        <v>0</v>
      </c>
      <c r="AE102" s="134">
        <f t="shared" ref="AE102:AE103" si="65">C102+E102+G102+AC102</f>
        <v>0</v>
      </c>
      <c r="AF102" s="126">
        <f t="shared" si="36"/>
        <v>0</v>
      </c>
      <c r="AH102" s="124"/>
      <c r="AI102" s="151"/>
    </row>
    <row r="103" spans="1:35" s="1" customFormat="1" ht="17.25" customHeight="1" thickBot="1" x14ac:dyDescent="0.25">
      <c r="A103" s="140"/>
      <c r="B103" s="220"/>
      <c r="C103" s="141">
        <v>0</v>
      </c>
      <c r="D103" s="142">
        <f>C103*$B$75</f>
        <v>0</v>
      </c>
      <c r="E103" s="141">
        <v>0</v>
      </c>
      <c r="F103" s="142">
        <f>E103*$B$70</f>
        <v>0</v>
      </c>
      <c r="G103" s="141">
        <v>0</v>
      </c>
      <c r="H103" s="142">
        <f>G103*$B$70</f>
        <v>0</v>
      </c>
      <c r="I103" s="141">
        <v>0</v>
      </c>
      <c r="J103" s="142">
        <f>I103*$B$70</f>
        <v>0</v>
      </c>
      <c r="K103" s="141">
        <v>0</v>
      </c>
      <c r="L103" s="142">
        <f>K103*$B$70</f>
        <v>0</v>
      </c>
      <c r="M103" s="141">
        <v>0</v>
      </c>
      <c r="N103" s="142">
        <f>M103*$B$70</f>
        <v>0</v>
      </c>
      <c r="O103" s="141">
        <v>0</v>
      </c>
      <c r="P103" s="142">
        <f>O103*$B$70</f>
        <v>0</v>
      </c>
      <c r="Q103" s="141">
        <v>0</v>
      </c>
      <c r="R103" s="142">
        <f>Q103*$B$70</f>
        <v>0</v>
      </c>
      <c r="S103" s="141">
        <v>0</v>
      </c>
      <c r="T103" s="142">
        <f>S103*$B$70</f>
        <v>0</v>
      </c>
      <c r="U103" s="141">
        <v>0</v>
      </c>
      <c r="V103" s="142">
        <f>U103*$B$70</f>
        <v>0</v>
      </c>
      <c r="W103" s="141">
        <v>0</v>
      </c>
      <c r="X103" s="142">
        <f>W103*$B$70</f>
        <v>0</v>
      </c>
      <c r="Y103" s="141">
        <v>0</v>
      </c>
      <c r="Z103" s="142">
        <f>Y103*$B$70</f>
        <v>0</v>
      </c>
      <c r="AA103" s="141"/>
      <c r="AB103" s="142">
        <f>AA103*B103</f>
        <v>0</v>
      </c>
      <c r="AC103" s="141">
        <v>0</v>
      </c>
      <c r="AD103" s="142">
        <f>AC103*B103</f>
        <v>0</v>
      </c>
      <c r="AE103" s="134">
        <f t="shared" si="65"/>
        <v>0</v>
      </c>
      <c r="AF103" s="126">
        <f t="shared" si="36"/>
        <v>0</v>
      </c>
      <c r="AH103" s="124"/>
      <c r="AI103" s="151"/>
    </row>
    <row r="104" spans="1:35" ht="15" x14ac:dyDescent="0.2">
      <c r="A104" s="165" t="s">
        <v>15</v>
      </c>
      <c r="B104" s="166"/>
      <c r="C104" s="148"/>
      <c r="D104" s="149">
        <f>SUM(D32:D103)</f>
        <v>63334.04</v>
      </c>
      <c r="E104" s="148"/>
      <c r="F104" s="149">
        <f>SUM(F32:F103)</f>
        <v>0</v>
      </c>
      <c r="G104" s="148"/>
      <c r="H104" s="149">
        <f>SUM(H32:H103)</f>
        <v>0</v>
      </c>
      <c r="I104" s="148"/>
      <c r="J104" s="149">
        <f>SUM(J30:J79)</f>
        <v>0</v>
      </c>
      <c r="K104" s="148"/>
      <c r="L104" s="149">
        <f>SUM(L30:L79)</f>
        <v>0</v>
      </c>
      <c r="M104" s="148"/>
      <c r="N104" s="149">
        <f>SUM(N30:N79)</f>
        <v>0</v>
      </c>
      <c r="O104" s="148"/>
      <c r="P104" s="149">
        <f>SUM(P30:P79)</f>
        <v>0</v>
      </c>
      <c r="Q104" s="148"/>
      <c r="R104" s="149">
        <f>SUM(R30:R79)</f>
        <v>0</v>
      </c>
      <c r="S104" s="148"/>
      <c r="T104" s="149">
        <f>SUM(T30:T79)</f>
        <v>0</v>
      </c>
      <c r="U104" s="148"/>
      <c r="V104" s="149">
        <f>SUM(V30:V79)</f>
        <v>0</v>
      </c>
      <c r="W104" s="148"/>
      <c r="X104" s="149">
        <f>SUM(X30:X79)</f>
        <v>0</v>
      </c>
      <c r="Y104" s="148"/>
      <c r="Z104" s="149">
        <f>SUM(Z30:Z79)</f>
        <v>0</v>
      </c>
      <c r="AA104" s="148"/>
      <c r="AB104" s="149">
        <f>SUM(AB32:AB103)</f>
        <v>0</v>
      </c>
      <c r="AC104" s="148"/>
      <c r="AD104" s="149">
        <f>SUM(AD32:AD103)</f>
        <v>0</v>
      </c>
      <c r="AE104" s="167"/>
      <c r="AF104" s="168">
        <f>SUM(AF32:AF103)</f>
        <v>63334.04</v>
      </c>
      <c r="AH104" s="223"/>
    </row>
    <row r="105" spans="1:35" ht="15" x14ac:dyDescent="0.2">
      <c r="A105" s="169" t="s">
        <v>16</v>
      </c>
      <c r="B105" s="162"/>
      <c r="C105" s="141"/>
      <c r="D105" s="142">
        <f>D104+D28</f>
        <v>144551.37456</v>
      </c>
      <c r="E105" s="142" t="s">
        <v>0</v>
      </c>
      <c r="F105" s="142">
        <f>F104+F28</f>
        <v>1414.856448</v>
      </c>
      <c r="G105" s="142" t="s">
        <v>0</v>
      </c>
      <c r="H105" s="142">
        <f>H104+H28</f>
        <v>2864.5044480000001</v>
      </c>
      <c r="I105" s="141"/>
      <c r="J105" s="142">
        <f>SUM(J104,J28)</f>
        <v>0</v>
      </c>
      <c r="K105" s="141"/>
      <c r="L105" s="142">
        <f>SUM(L104,L28)</f>
        <v>0</v>
      </c>
      <c r="M105" s="141"/>
      <c r="N105" s="142">
        <f>SUM(N104,N28)</f>
        <v>0</v>
      </c>
      <c r="O105" s="141"/>
      <c r="P105" s="142">
        <f>SUM(P104,P28)</f>
        <v>0</v>
      </c>
      <c r="Q105" s="141"/>
      <c r="R105" s="142">
        <f>SUM(R104,R28)</f>
        <v>0</v>
      </c>
      <c r="S105" s="141"/>
      <c r="T105" s="142">
        <f>SUM(T104,T28)</f>
        <v>0</v>
      </c>
      <c r="U105" s="141"/>
      <c r="V105" s="142">
        <f>SUM(V104,V28)</f>
        <v>0</v>
      </c>
      <c r="W105" s="141"/>
      <c r="X105" s="142">
        <f>SUM(X104,X28)</f>
        <v>0</v>
      </c>
      <c r="Y105" s="141"/>
      <c r="Z105" s="142">
        <f>SUM(Z104,Z28)</f>
        <v>0</v>
      </c>
      <c r="AA105" s="142" t="s">
        <v>0</v>
      </c>
      <c r="AB105" s="142">
        <f>AB104+AB28</f>
        <v>0</v>
      </c>
      <c r="AC105" s="142" t="s">
        <v>0</v>
      </c>
      <c r="AD105" s="142">
        <f>AD104+AD28</f>
        <v>1354.454448</v>
      </c>
      <c r="AE105" s="163"/>
      <c r="AF105" s="170">
        <f>AF104+AF28</f>
        <v>150185.18990400003</v>
      </c>
      <c r="AH105" s="223"/>
    </row>
    <row r="106" spans="1:35" ht="15.75" thickBot="1" x14ac:dyDescent="0.25">
      <c r="A106" s="173" t="s">
        <v>17</v>
      </c>
      <c r="B106" s="174">
        <v>0.10349999999999999</v>
      </c>
      <c r="C106" s="154"/>
      <c r="D106" s="155">
        <f>D105*$B$106</f>
        <v>14961.067266959999</v>
      </c>
      <c r="E106" s="154"/>
      <c r="F106" s="155">
        <f>F105*$B$106</f>
        <v>146.43764236799998</v>
      </c>
      <c r="G106" s="154"/>
      <c r="H106" s="155">
        <f>H105*$B$106</f>
        <v>296.47621036800001</v>
      </c>
      <c r="I106" s="154"/>
      <c r="J106" s="155">
        <f>J105*$B$106</f>
        <v>0</v>
      </c>
      <c r="K106" s="154"/>
      <c r="L106" s="155">
        <f>L105*$B$106</f>
        <v>0</v>
      </c>
      <c r="M106" s="154"/>
      <c r="N106" s="155">
        <f>N105*$B$106</f>
        <v>0</v>
      </c>
      <c r="O106" s="154"/>
      <c r="P106" s="155">
        <f>P105*$B$106</f>
        <v>0</v>
      </c>
      <c r="Q106" s="154"/>
      <c r="R106" s="155">
        <f>R105*$B$106</f>
        <v>0</v>
      </c>
      <c r="S106" s="154"/>
      <c r="T106" s="155">
        <f>T105*$B$106</f>
        <v>0</v>
      </c>
      <c r="U106" s="154"/>
      <c r="V106" s="155">
        <f>V105*$B$106</f>
        <v>0</v>
      </c>
      <c r="W106" s="154"/>
      <c r="X106" s="155">
        <f>X105*$B$106</f>
        <v>0</v>
      </c>
      <c r="Y106" s="154"/>
      <c r="Z106" s="155">
        <f>Z105*$B$106</f>
        <v>0</v>
      </c>
      <c r="AA106" s="154"/>
      <c r="AB106" s="155">
        <f>AB105*$B$106</f>
        <v>0</v>
      </c>
      <c r="AC106" s="154"/>
      <c r="AD106" s="155">
        <f>AD105*$B$106</f>
        <v>140.18603536799998</v>
      </c>
      <c r="AE106" s="175"/>
      <c r="AF106" s="176">
        <f>D106+F106+H106+J106+AD106+AB106</f>
        <v>15544.167155064</v>
      </c>
      <c r="AH106" s="223"/>
    </row>
    <row r="107" spans="1:35" ht="15" x14ac:dyDescent="0.2">
      <c r="A107" s="165" t="s">
        <v>18</v>
      </c>
      <c r="B107" s="189"/>
      <c r="C107" s="148"/>
      <c r="D107" s="149">
        <f>D105+D106</f>
        <v>159512.44182695998</v>
      </c>
      <c r="E107" s="148"/>
      <c r="F107" s="149">
        <f>F105+F106</f>
        <v>1561.2940903680001</v>
      </c>
      <c r="G107" s="148"/>
      <c r="H107" s="149">
        <f>H105+H106</f>
        <v>3160.9806583680001</v>
      </c>
      <c r="I107" s="148"/>
      <c r="J107" s="149">
        <f>J105+J106</f>
        <v>0</v>
      </c>
      <c r="K107" s="148"/>
      <c r="L107" s="149">
        <f>L105+L106</f>
        <v>0</v>
      </c>
      <c r="M107" s="148"/>
      <c r="N107" s="149">
        <f>N105+N106</f>
        <v>0</v>
      </c>
      <c r="O107" s="148"/>
      <c r="P107" s="149">
        <f>P105+P106</f>
        <v>0</v>
      </c>
      <c r="Q107" s="148"/>
      <c r="R107" s="149">
        <f>R105+R106</f>
        <v>0</v>
      </c>
      <c r="S107" s="148"/>
      <c r="T107" s="149">
        <f>T105+T106</f>
        <v>0</v>
      </c>
      <c r="U107" s="148"/>
      <c r="V107" s="149">
        <f>V105+V106</f>
        <v>0</v>
      </c>
      <c r="W107" s="148"/>
      <c r="X107" s="149">
        <f>X105+X106</f>
        <v>0</v>
      </c>
      <c r="Y107" s="148"/>
      <c r="Z107" s="149">
        <f>Z105+Z106</f>
        <v>0</v>
      </c>
      <c r="AA107" s="148"/>
      <c r="AB107" s="149">
        <f>AB105+AB106</f>
        <v>0</v>
      </c>
      <c r="AC107" s="148"/>
      <c r="AD107" s="149">
        <f>AD105+AD106</f>
        <v>1494.6404833679999</v>
      </c>
      <c r="AE107" s="167"/>
      <c r="AF107" s="168">
        <f>D107+F107+H107+J107+AD107+AB107</f>
        <v>165729.357059064</v>
      </c>
      <c r="AG107" s="2"/>
      <c r="AH107" s="223"/>
    </row>
    <row r="108" spans="1:35" ht="15.75" hidden="1" customHeight="1" thickBot="1" x14ac:dyDescent="0.25">
      <c r="A108" s="190"/>
      <c r="B108" s="177"/>
      <c r="C108" s="178"/>
      <c r="D108" s="179"/>
      <c r="E108" s="178"/>
      <c r="F108" s="179"/>
      <c r="G108" s="178"/>
      <c r="H108" s="179"/>
      <c r="I108" s="178"/>
      <c r="J108" s="179"/>
      <c r="K108" s="178"/>
      <c r="L108" s="179"/>
      <c r="M108" s="178"/>
      <c r="N108" s="179"/>
      <c r="O108" s="178"/>
      <c r="P108" s="179"/>
      <c r="Q108" s="178"/>
      <c r="R108" s="179"/>
      <c r="S108" s="178"/>
      <c r="T108" s="179"/>
      <c r="U108" s="178"/>
      <c r="V108" s="179"/>
      <c r="W108" s="178"/>
      <c r="X108" s="179"/>
      <c r="Y108" s="178"/>
      <c r="Z108" s="179"/>
      <c r="AA108" s="178"/>
      <c r="AB108" s="179"/>
      <c r="AC108" s="178"/>
      <c r="AD108" s="179"/>
      <c r="AE108" s="163"/>
      <c r="AF108" s="170">
        <f t="shared" ref="AF108:AF116" si="66">D108+F108+H108+J108+AD108</f>
        <v>0</v>
      </c>
      <c r="AH108" s="223"/>
    </row>
    <row r="109" spans="1:35" ht="15" hidden="1" customHeight="1" x14ac:dyDescent="0.2">
      <c r="A109" s="169" t="s">
        <v>37</v>
      </c>
      <c r="B109" s="164">
        <v>0</v>
      </c>
      <c r="C109" s="141"/>
      <c r="D109" s="142">
        <f>D107*$B$109</f>
        <v>0</v>
      </c>
      <c r="E109" s="141"/>
      <c r="F109" s="142">
        <f>F107*$B$109</f>
        <v>0</v>
      </c>
      <c r="G109" s="141"/>
      <c r="H109" s="142">
        <f>H107*$B$109</f>
        <v>0</v>
      </c>
      <c r="I109" s="141"/>
      <c r="J109" s="142">
        <f>J107*$B$109</f>
        <v>0</v>
      </c>
      <c r="K109" s="141"/>
      <c r="L109" s="142">
        <f>L107*$B$109</f>
        <v>0</v>
      </c>
      <c r="M109" s="141"/>
      <c r="N109" s="142">
        <f>N107*$B$109</f>
        <v>0</v>
      </c>
      <c r="O109" s="141"/>
      <c r="P109" s="142">
        <f>P107*$B$109</f>
        <v>0</v>
      </c>
      <c r="Q109" s="141"/>
      <c r="R109" s="142">
        <f>R107*$B$109</f>
        <v>0</v>
      </c>
      <c r="S109" s="141"/>
      <c r="T109" s="142">
        <f>T107*$B$109</f>
        <v>0</v>
      </c>
      <c r="U109" s="141"/>
      <c r="V109" s="142">
        <f>V107*$B$109</f>
        <v>0</v>
      </c>
      <c r="W109" s="141"/>
      <c r="X109" s="142">
        <f>X107*$B$109</f>
        <v>0</v>
      </c>
      <c r="Y109" s="141"/>
      <c r="Z109" s="142">
        <f>Z107*$B$109</f>
        <v>0</v>
      </c>
      <c r="AA109" s="141"/>
      <c r="AB109" s="142">
        <f>AB107*$B$109</f>
        <v>0</v>
      </c>
      <c r="AC109" s="141"/>
      <c r="AD109" s="142">
        <f>AD107*$B$109</f>
        <v>0</v>
      </c>
      <c r="AE109" s="163"/>
      <c r="AF109" s="170">
        <f t="shared" si="66"/>
        <v>0</v>
      </c>
      <c r="AH109" s="223"/>
    </row>
    <row r="110" spans="1:35" ht="15" hidden="1" customHeight="1" x14ac:dyDescent="0.2">
      <c r="A110" s="169"/>
      <c r="B110" s="162"/>
      <c r="C110" s="141"/>
      <c r="D110" s="142"/>
      <c r="E110" s="141"/>
      <c r="F110" s="142"/>
      <c r="G110" s="141"/>
      <c r="H110" s="142"/>
      <c r="I110" s="141"/>
      <c r="J110" s="142"/>
      <c r="K110" s="141"/>
      <c r="L110" s="142"/>
      <c r="M110" s="141"/>
      <c r="N110" s="142"/>
      <c r="O110" s="141"/>
      <c r="P110" s="142"/>
      <c r="Q110" s="141"/>
      <c r="R110" s="142"/>
      <c r="S110" s="141"/>
      <c r="T110" s="142"/>
      <c r="U110" s="141"/>
      <c r="V110" s="142"/>
      <c r="W110" s="141"/>
      <c r="X110" s="142"/>
      <c r="Y110" s="141"/>
      <c r="Z110" s="142"/>
      <c r="AA110" s="141"/>
      <c r="AB110" s="142"/>
      <c r="AC110" s="141"/>
      <c r="AD110" s="142"/>
      <c r="AE110" s="163"/>
      <c r="AF110" s="170">
        <f t="shared" si="66"/>
        <v>0</v>
      </c>
      <c r="AH110" s="223"/>
    </row>
    <row r="111" spans="1:35" ht="15.75" hidden="1" customHeight="1" thickBot="1" x14ac:dyDescent="0.25">
      <c r="A111" s="169" t="s">
        <v>19</v>
      </c>
      <c r="B111" s="162" t="s">
        <v>0</v>
      </c>
      <c r="C111" s="141"/>
      <c r="D111" s="180">
        <f>SUM(D107:D109)</f>
        <v>159512.44182695998</v>
      </c>
      <c r="E111" s="181"/>
      <c r="F111" s="180">
        <f>SUM(F107:F109)</f>
        <v>1561.2940903680001</v>
      </c>
      <c r="G111" s="181"/>
      <c r="H111" s="180">
        <f>SUM(H107:H109)</f>
        <v>3160.9806583680001</v>
      </c>
      <c r="I111" s="181"/>
      <c r="J111" s="180">
        <f>SUM(J107:J109)</f>
        <v>0</v>
      </c>
      <c r="K111" s="181"/>
      <c r="L111" s="180">
        <f>SUM(L107:L109)</f>
        <v>0</v>
      </c>
      <c r="M111" s="181"/>
      <c r="N111" s="180">
        <f>SUM(N107:N109)</f>
        <v>0</v>
      </c>
      <c r="O111" s="181"/>
      <c r="P111" s="180">
        <f>SUM(P107:P109)</f>
        <v>0</v>
      </c>
      <c r="Q111" s="181"/>
      <c r="R111" s="180">
        <f>SUM(R107:R109)</f>
        <v>0</v>
      </c>
      <c r="S111" s="181"/>
      <c r="T111" s="180">
        <f>SUM(T107:T109)</f>
        <v>0</v>
      </c>
      <c r="U111" s="181"/>
      <c r="V111" s="180">
        <f>SUM(V107:V109)</f>
        <v>0</v>
      </c>
      <c r="W111" s="181"/>
      <c r="X111" s="180">
        <f>SUM(X107:X109)</f>
        <v>0</v>
      </c>
      <c r="Y111" s="181"/>
      <c r="Z111" s="180">
        <f>SUM(Z107:Z109)</f>
        <v>0</v>
      </c>
      <c r="AA111" s="181"/>
      <c r="AB111" s="180">
        <f>SUM(AB107:AB109)</f>
        <v>0</v>
      </c>
      <c r="AC111" s="181"/>
      <c r="AD111" s="180">
        <f>SUM(AD107:AD109)</f>
        <v>1494.6404833679999</v>
      </c>
      <c r="AE111" s="163"/>
      <c r="AF111" s="170">
        <f t="shared" si="66"/>
        <v>165729.357059064</v>
      </c>
      <c r="AH111" s="223"/>
    </row>
    <row r="112" spans="1:35" ht="15.75" hidden="1" customHeight="1" thickBot="1" x14ac:dyDescent="0.25">
      <c r="A112" s="191"/>
      <c r="B112" s="182"/>
      <c r="C112" s="182"/>
      <c r="D112" s="183"/>
      <c r="E112" s="182"/>
      <c r="F112" s="183"/>
      <c r="G112" s="182"/>
      <c r="H112" s="183"/>
      <c r="I112" s="182"/>
      <c r="J112" s="184"/>
      <c r="K112" s="184"/>
      <c r="L112" s="184"/>
      <c r="M112" s="184"/>
      <c r="N112" s="184"/>
      <c r="O112" s="184"/>
      <c r="P112" s="184"/>
      <c r="Q112" s="184"/>
      <c r="R112" s="184"/>
      <c r="S112" s="184"/>
      <c r="T112" s="184"/>
      <c r="U112" s="184"/>
      <c r="V112" s="184"/>
      <c r="W112" s="184"/>
      <c r="X112" s="184"/>
      <c r="Y112" s="184"/>
      <c r="Z112" s="184"/>
      <c r="AA112" s="182"/>
      <c r="AB112" s="183"/>
      <c r="AC112" s="182"/>
      <c r="AD112" s="183"/>
      <c r="AE112" s="163"/>
      <c r="AF112" s="170">
        <f t="shared" si="66"/>
        <v>0</v>
      </c>
      <c r="AH112" s="223"/>
    </row>
    <row r="113" spans="1:35" ht="15" hidden="1" customHeight="1" x14ac:dyDescent="0.25">
      <c r="A113" s="191" t="s">
        <v>38</v>
      </c>
      <c r="B113" s="185">
        <v>0</v>
      </c>
      <c r="C113" s="182"/>
      <c r="D113" s="183">
        <f>D111*$B$113</f>
        <v>0</v>
      </c>
      <c r="E113" s="182"/>
      <c r="F113" s="183">
        <f>F111*$B$113</f>
        <v>0</v>
      </c>
      <c r="G113" s="182"/>
      <c r="H113" s="183">
        <f>H111*$B$113</f>
        <v>0</v>
      </c>
      <c r="I113" s="182"/>
      <c r="J113" s="183">
        <f>J111*$B$113</f>
        <v>0</v>
      </c>
      <c r="K113" s="184"/>
      <c r="L113" s="183">
        <f>L111*$B$113</f>
        <v>0</v>
      </c>
      <c r="M113" s="184"/>
      <c r="N113" s="183">
        <f>N111*$B$113</f>
        <v>0</v>
      </c>
      <c r="O113" s="184"/>
      <c r="P113" s="183">
        <f>P111*$B$113</f>
        <v>0</v>
      </c>
      <c r="Q113" s="184"/>
      <c r="R113" s="183">
        <f>R111*$B$113</f>
        <v>0</v>
      </c>
      <c r="S113" s="184"/>
      <c r="T113" s="183">
        <f>T111*$B$113</f>
        <v>0</v>
      </c>
      <c r="U113" s="184"/>
      <c r="V113" s="183">
        <f>V111*$B$113</f>
        <v>0</v>
      </c>
      <c r="W113" s="184"/>
      <c r="X113" s="183">
        <f>X111*$B$113</f>
        <v>0</v>
      </c>
      <c r="Y113" s="184"/>
      <c r="Z113" s="183">
        <f>Z111*$B$113</f>
        <v>0</v>
      </c>
      <c r="AA113" s="182"/>
      <c r="AB113" s="183">
        <f>AB111*$B$113</f>
        <v>0</v>
      </c>
      <c r="AC113" s="182"/>
      <c r="AD113" s="183">
        <f>AD111*$B$113</f>
        <v>0</v>
      </c>
      <c r="AE113" s="163"/>
      <c r="AF113" s="170">
        <f t="shared" si="66"/>
        <v>0</v>
      </c>
      <c r="AH113" s="223"/>
    </row>
    <row r="114" spans="1:35" ht="15" hidden="1" customHeight="1" x14ac:dyDescent="0.2">
      <c r="A114" s="191"/>
      <c r="B114" s="182"/>
      <c r="C114" s="182"/>
      <c r="D114" s="183"/>
      <c r="E114" s="182"/>
      <c r="F114" s="183"/>
      <c r="G114" s="182"/>
      <c r="H114" s="183"/>
      <c r="I114" s="182"/>
      <c r="J114" s="184"/>
      <c r="K114" s="184"/>
      <c r="L114" s="184"/>
      <c r="M114" s="184"/>
      <c r="N114" s="184"/>
      <c r="O114" s="184"/>
      <c r="P114" s="184"/>
      <c r="Q114" s="184"/>
      <c r="R114" s="184"/>
      <c r="S114" s="184"/>
      <c r="T114" s="184"/>
      <c r="U114" s="184"/>
      <c r="V114" s="184"/>
      <c r="W114" s="184"/>
      <c r="X114" s="184"/>
      <c r="Y114" s="184"/>
      <c r="Z114" s="184"/>
      <c r="AA114" s="182"/>
      <c r="AB114" s="183"/>
      <c r="AC114" s="182"/>
      <c r="AD114" s="183"/>
      <c r="AE114" s="163"/>
      <c r="AF114" s="170">
        <f t="shared" si="66"/>
        <v>0</v>
      </c>
      <c r="AH114" s="223"/>
    </row>
    <row r="115" spans="1:35" ht="15" hidden="1" customHeight="1" x14ac:dyDescent="0.2">
      <c r="A115" s="192" t="s">
        <v>22</v>
      </c>
      <c r="B115" s="185">
        <v>0</v>
      </c>
      <c r="C115" s="182"/>
      <c r="D115" s="183">
        <f>D111*$B$115</f>
        <v>0</v>
      </c>
      <c r="E115" s="187"/>
      <c r="F115" s="183">
        <f>F111*$B$115</f>
        <v>0</v>
      </c>
      <c r="G115" s="187"/>
      <c r="H115" s="183">
        <f>H111*$B$115</f>
        <v>0</v>
      </c>
      <c r="I115" s="187"/>
      <c r="J115" s="183">
        <f>J111*$B$115</f>
        <v>0</v>
      </c>
      <c r="K115" s="187"/>
      <c r="L115" s="183">
        <f>L111*$B$115</f>
        <v>0</v>
      </c>
      <c r="M115" s="187"/>
      <c r="N115" s="183">
        <f>N111*$B$115</f>
        <v>0</v>
      </c>
      <c r="O115" s="187"/>
      <c r="P115" s="183">
        <f>P111*$B$115</f>
        <v>0</v>
      </c>
      <c r="Q115" s="187"/>
      <c r="R115" s="183">
        <f>R111*$B$115</f>
        <v>0</v>
      </c>
      <c r="S115" s="187"/>
      <c r="T115" s="183">
        <f>T111*$B$115</f>
        <v>0</v>
      </c>
      <c r="U115" s="187"/>
      <c r="V115" s="183">
        <f>V111*$B$115</f>
        <v>0</v>
      </c>
      <c r="W115" s="187"/>
      <c r="X115" s="183">
        <f>X111*$B$115</f>
        <v>0</v>
      </c>
      <c r="Y115" s="183"/>
      <c r="Z115" s="183">
        <f t="shared" ref="Z115" si="67">Z111*$B$115</f>
        <v>0</v>
      </c>
      <c r="AA115" s="187"/>
      <c r="AB115" s="183">
        <f>AB111*$B$115</f>
        <v>0</v>
      </c>
      <c r="AC115" s="187"/>
      <c r="AD115" s="183">
        <f>AD111*$B$115</f>
        <v>0</v>
      </c>
      <c r="AE115" s="163"/>
      <c r="AF115" s="170">
        <f t="shared" si="66"/>
        <v>0</v>
      </c>
      <c r="AH115" s="223"/>
    </row>
    <row r="116" spans="1:35" ht="15" hidden="1" customHeight="1" x14ac:dyDescent="0.2">
      <c r="A116" s="192"/>
      <c r="B116" s="186"/>
      <c r="C116" s="182"/>
      <c r="D116" s="182"/>
      <c r="E116" s="182"/>
      <c r="F116" s="182"/>
      <c r="G116" s="182"/>
      <c r="H116" s="182"/>
      <c r="I116" s="182"/>
      <c r="J116" s="182"/>
      <c r="K116" s="182"/>
      <c r="L116" s="182"/>
      <c r="M116" s="182"/>
      <c r="N116" s="182"/>
      <c r="O116" s="182"/>
      <c r="P116" s="182"/>
      <c r="Q116" s="182"/>
      <c r="R116" s="182"/>
      <c r="S116" s="182"/>
      <c r="T116" s="182"/>
      <c r="U116" s="182"/>
      <c r="V116" s="182"/>
      <c r="W116" s="182"/>
      <c r="X116" s="182"/>
      <c r="Y116" s="182"/>
      <c r="Z116" s="182"/>
      <c r="AA116" s="182"/>
      <c r="AB116" s="182"/>
      <c r="AC116" s="182"/>
      <c r="AD116" s="182"/>
      <c r="AE116" s="163"/>
      <c r="AF116" s="170">
        <f t="shared" si="66"/>
        <v>0</v>
      </c>
      <c r="AH116" s="223"/>
    </row>
    <row r="117" spans="1:35" ht="15" x14ac:dyDescent="0.25">
      <c r="A117" s="193" t="s">
        <v>34</v>
      </c>
      <c r="B117" s="188">
        <v>0.1</v>
      </c>
      <c r="C117" s="182"/>
      <c r="D117" s="208">
        <f>D107*B117</f>
        <v>15951.244182695998</v>
      </c>
      <c r="E117" s="209"/>
      <c r="F117" s="208">
        <f>F107*B117</f>
        <v>156.12940903680001</v>
      </c>
      <c r="G117" s="209"/>
      <c r="H117" s="208">
        <f>H107*B117</f>
        <v>316.09806583680006</v>
      </c>
      <c r="I117" s="209"/>
      <c r="J117" s="208">
        <f>SUM(J115,J113,J111,)</f>
        <v>0</v>
      </c>
      <c r="K117" s="209"/>
      <c r="L117" s="208">
        <f>SUM(L115,L113,L111,)</f>
        <v>0</v>
      </c>
      <c r="M117" s="209"/>
      <c r="N117" s="208">
        <f>SUM(N115,N113,N111,)</f>
        <v>0</v>
      </c>
      <c r="O117" s="209"/>
      <c r="P117" s="208">
        <f>SUM(P115,P113,P111,)</f>
        <v>0</v>
      </c>
      <c r="Q117" s="209"/>
      <c r="R117" s="208">
        <f>SUM(R115,R113,R111,)</f>
        <v>0</v>
      </c>
      <c r="S117" s="209"/>
      <c r="T117" s="208">
        <f>SUM(T115,T113,T111,)</f>
        <v>0</v>
      </c>
      <c r="U117" s="209"/>
      <c r="V117" s="208">
        <f>SUM(V115,V113,V111,)</f>
        <v>0</v>
      </c>
      <c r="W117" s="209"/>
      <c r="X117" s="208">
        <f>SUM(X115,X113,X111,)</f>
        <v>0</v>
      </c>
      <c r="Y117" s="208"/>
      <c r="Z117" s="208">
        <f>SUM(Z115,Z113,Z111,)</f>
        <v>0</v>
      </c>
      <c r="AA117" s="209"/>
      <c r="AB117" s="208">
        <f>AB107*B117</f>
        <v>0</v>
      </c>
      <c r="AC117" s="209"/>
      <c r="AD117" s="208">
        <f>AD107*B117</f>
        <v>149.4640483368</v>
      </c>
      <c r="AE117" s="163"/>
      <c r="AF117" s="170">
        <f>D117+F117+H117+J117+AD117+AB117</f>
        <v>16572.935705906395</v>
      </c>
      <c r="AH117" s="223"/>
    </row>
    <row r="118" spans="1:35" ht="15.75" thickBot="1" x14ac:dyDescent="0.25">
      <c r="A118" s="194" t="s">
        <v>35</v>
      </c>
      <c r="B118" s="195"/>
      <c r="C118" s="195"/>
      <c r="D118" s="196">
        <f>D117+D107</f>
        <v>175463.686009656</v>
      </c>
      <c r="E118" s="195"/>
      <c r="F118" s="196">
        <f>F117+F107</f>
        <v>1717.4234994048002</v>
      </c>
      <c r="G118" s="197"/>
      <c r="H118" s="196">
        <f>H117+H107</f>
        <v>3477.0787242048</v>
      </c>
      <c r="I118" s="195"/>
      <c r="J118" s="195"/>
      <c r="K118" s="195"/>
      <c r="L118" s="195"/>
      <c r="M118" s="195"/>
      <c r="N118" s="195"/>
      <c r="O118" s="195"/>
      <c r="P118" s="195"/>
      <c r="Q118" s="196"/>
      <c r="R118" s="195"/>
      <c r="S118" s="195"/>
      <c r="T118" s="195"/>
      <c r="U118" s="195"/>
      <c r="V118" s="195"/>
      <c r="W118" s="195"/>
      <c r="X118" s="195"/>
      <c r="Y118" s="195"/>
      <c r="Z118" s="195"/>
      <c r="AA118" s="197"/>
      <c r="AB118" s="196">
        <f>AB117+AB107</f>
        <v>0</v>
      </c>
      <c r="AC118" s="197"/>
      <c r="AD118" s="196">
        <f>AD117+AD107</f>
        <v>1644.1045317047999</v>
      </c>
      <c r="AE118" s="175"/>
      <c r="AF118" s="176">
        <f>D118+F118+H118+J118+AD118+AB118</f>
        <v>182302.29276497039</v>
      </c>
      <c r="AH118" s="223"/>
    </row>
    <row r="119" spans="1:35" ht="15" x14ac:dyDescent="0.2">
      <c r="A119" s="198" t="s">
        <v>33</v>
      </c>
      <c r="B119" s="199"/>
      <c r="C119" s="200"/>
      <c r="D119" s="201">
        <f>AF119*D122</f>
        <v>2997.0551638846637</v>
      </c>
      <c r="E119" s="200"/>
      <c r="F119" s="201">
        <f>F118*F122</f>
        <v>51.522704982144006</v>
      </c>
      <c r="G119" s="200"/>
      <c r="H119" s="201">
        <f>H118*H122</f>
        <v>104.31236172614399</v>
      </c>
      <c r="I119" s="200"/>
      <c r="J119" s="200"/>
      <c r="K119" s="200"/>
      <c r="L119" s="200"/>
      <c r="M119" s="200"/>
      <c r="N119" s="200"/>
      <c r="O119" s="200"/>
      <c r="P119" s="200"/>
      <c r="Q119" s="200"/>
      <c r="R119" s="200"/>
      <c r="S119" s="200"/>
      <c r="T119" s="200"/>
      <c r="U119" s="200"/>
      <c r="V119" s="201"/>
      <c r="W119" s="201"/>
      <c r="X119" s="201"/>
      <c r="Y119" s="201"/>
      <c r="Z119" s="201"/>
      <c r="AA119" s="200"/>
      <c r="AB119" s="201">
        <f>AB118*AB122</f>
        <v>0</v>
      </c>
      <c r="AC119" s="200"/>
      <c r="AD119" s="201">
        <f>AD118*AD122</f>
        <v>16.441045317048001</v>
      </c>
      <c r="AE119" s="167"/>
      <c r="AF119" s="168">
        <f>5850+(AF118-500000)*0.00827</f>
        <v>3222.6399611663051</v>
      </c>
      <c r="AH119" s="223"/>
    </row>
    <row r="120" spans="1:35" ht="15.75" thickBot="1" x14ac:dyDescent="0.3">
      <c r="A120" s="202" t="s">
        <v>36</v>
      </c>
      <c r="B120" s="203"/>
      <c r="C120" s="204"/>
      <c r="D120" s="205">
        <f>D119+D118</f>
        <v>178460.74117354065</v>
      </c>
      <c r="E120" s="204"/>
      <c r="F120" s="205">
        <f>F119+F118</f>
        <v>1768.9462043869441</v>
      </c>
      <c r="G120" s="204"/>
      <c r="H120" s="205">
        <f>H119+H118</f>
        <v>3581.391085930944</v>
      </c>
      <c r="I120" s="204"/>
      <c r="J120" s="204"/>
      <c r="K120" s="204"/>
      <c r="L120" s="204"/>
      <c r="M120" s="204"/>
      <c r="N120" s="204"/>
      <c r="O120" s="204"/>
      <c r="P120" s="204"/>
      <c r="Q120" s="204"/>
      <c r="R120" s="204"/>
      <c r="S120" s="204"/>
      <c r="T120" s="204"/>
      <c r="U120" s="204"/>
      <c r="V120" s="205"/>
      <c r="W120" s="205"/>
      <c r="X120" s="205"/>
      <c r="Y120" s="205"/>
      <c r="Z120" s="205"/>
      <c r="AA120" s="204"/>
      <c r="AB120" s="205">
        <f>AB119+AB118</f>
        <v>0</v>
      </c>
      <c r="AC120" s="205"/>
      <c r="AD120" s="205">
        <f t="shared" ref="AD120" si="68">AD119+AD118</f>
        <v>1660.545577021848</v>
      </c>
      <c r="AE120" s="171"/>
      <c r="AF120" s="172">
        <f>AF118+AF119</f>
        <v>185524.9327261367</v>
      </c>
      <c r="AH120" s="223"/>
    </row>
    <row r="121" spans="1:35" ht="14.25" x14ac:dyDescent="0.2">
      <c r="A121" s="3"/>
      <c r="B121" s="4"/>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122"/>
      <c r="AH121" s="124"/>
    </row>
    <row r="122" spans="1:35" ht="14.25" x14ac:dyDescent="0.2">
      <c r="A122" s="121"/>
      <c r="B122" s="3" t="s">
        <v>41</v>
      </c>
      <c r="C122" s="121"/>
      <c r="D122" s="125">
        <v>0.93</v>
      </c>
      <c r="E122" s="121"/>
      <c r="F122" s="125">
        <v>0.03</v>
      </c>
      <c r="G122" s="121"/>
      <c r="H122" s="125">
        <v>0.03</v>
      </c>
      <c r="I122" s="121"/>
      <c r="J122" s="121"/>
      <c r="K122" s="121"/>
      <c r="L122" s="121"/>
      <c r="M122" s="121"/>
      <c r="N122" s="121"/>
      <c r="O122" s="3"/>
      <c r="P122" s="3"/>
      <c r="Q122" s="3"/>
      <c r="R122" s="3"/>
      <c r="S122" s="3"/>
      <c r="T122" s="3"/>
      <c r="U122" s="3"/>
      <c r="V122" s="3"/>
      <c r="W122" s="3"/>
      <c r="X122" s="3"/>
      <c r="Y122" s="3"/>
      <c r="Z122" s="3"/>
      <c r="AA122" s="121"/>
      <c r="AB122" s="125"/>
      <c r="AC122" s="121"/>
      <c r="AD122" s="125">
        <v>0.01</v>
      </c>
      <c r="AE122" s="123"/>
      <c r="AF122" s="3"/>
      <c r="AH122" s="223"/>
    </row>
    <row r="123" spans="1:35" ht="14.25"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133"/>
      <c r="AH123" s="124"/>
      <c r="AI123" s="153"/>
    </row>
    <row r="124" spans="1:35" ht="14.25" x14ac:dyDescent="0.2">
      <c r="A124" s="3"/>
      <c r="B124" s="3"/>
      <c r="C124" s="3"/>
      <c r="D124" s="3"/>
      <c r="E124" s="3"/>
      <c r="F124" s="3"/>
      <c r="G124" s="3"/>
      <c r="H124" s="4"/>
      <c r="I124" s="3"/>
      <c r="J124" s="3"/>
      <c r="K124" s="3"/>
      <c r="L124" s="3"/>
      <c r="M124" s="3"/>
      <c r="N124" s="3"/>
      <c r="O124" s="3"/>
      <c r="P124" s="3"/>
      <c r="Q124" s="3"/>
      <c r="R124" s="3"/>
      <c r="S124" s="3"/>
      <c r="T124" s="3"/>
      <c r="U124" s="3"/>
      <c r="V124" s="3"/>
      <c r="W124" s="3"/>
      <c r="X124" s="3"/>
      <c r="Y124" s="3"/>
      <c r="Z124" s="3"/>
      <c r="AA124" s="3"/>
      <c r="AB124" s="3"/>
      <c r="AC124" s="3"/>
      <c r="AD124" s="3"/>
      <c r="AE124" s="3"/>
      <c r="AF124" s="122"/>
      <c r="AH124" s="128"/>
    </row>
    <row r="125" spans="1:35" ht="14.25" x14ac:dyDescent="0.2">
      <c r="A125" s="3"/>
      <c r="B125" s="224"/>
      <c r="C125" s="3"/>
      <c r="D125" s="150"/>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4"/>
      <c r="AH125" s="124"/>
    </row>
    <row r="126" spans="1:35" ht="14.25" x14ac:dyDescent="0.2">
      <c r="A126" s="3"/>
      <c r="B126" s="224"/>
      <c r="C126" s="3"/>
      <c r="D126" s="150"/>
      <c r="E126" s="3"/>
      <c r="F126" s="3"/>
      <c r="G126" s="3"/>
      <c r="H126" s="4"/>
      <c r="I126" s="3"/>
      <c r="J126" s="3"/>
      <c r="K126" s="3"/>
      <c r="L126" s="3"/>
      <c r="M126" s="3"/>
      <c r="N126" s="3"/>
      <c r="O126" s="3"/>
      <c r="P126" s="3"/>
      <c r="Q126" s="3"/>
      <c r="R126" s="3"/>
      <c r="S126" s="3"/>
      <c r="T126" s="3"/>
      <c r="U126" s="3"/>
      <c r="V126" s="3"/>
      <c r="W126" s="3"/>
      <c r="X126" s="3"/>
      <c r="Y126" s="3"/>
      <c r="Z126" s="3"/>
      <c r="AA126" s="3"/>
      <c r="AB126" s="3"/>
      <c r="AC126" s="3"/>
      <c r="AD126" s="4"/>
      <c r="AE126" s="3"/>
      <c r="AF126" s="4"/>
      <c r="AI126" s="152"/>
    </row>
    <row r="127" spans="1:35" ht="14.25" x14ac:dyDescent="0.2">
      <c r="A127" s="3"/>
      <c r="B127" s="224"/>
      <c r="C127" s="3"/>
      <c r="D127" s="150"/>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122"/>
      <c r="AI127" s="152"/>
    </row>
    <row r="128" spans="1:35" ht="14.25" x14ac:dyDescent="0.2">
      <c r="A128" s="3"/>
      <c r="B128" s="224"/>
      <c r="C128" s="3"/>
      <c r="D128" s="150"/>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133"/>
    </row>
    <row r="129" spans="1:32" ht="14.25" x14ac:dyDescent="0.2">
      <c r="A129" s="3"/>
      <c r="B129" s="224"/>
      <c r="C129" s="3"/>
      <c r="D129" s="150"/>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spans="1:32" ht="14.25" x14ac:dyDescent="0.2">
      <c r="A130" s="3"/>
      <c r="B130" s="224"/>
      <c r="C130" s="3"/>
      <c r="D130" s="150"/>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4"/>
    </row>
    <row r="131" spans="1:32" ht="14.25" x14ac:dyDescent="0.2">
      <c r="A131" s="3"/>
      <c r="B131" s="224"/>
      <c r="C131" s="3"/>
      <c r="D131" s="150"/>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spans="1:32" ht="14.25" x14ac:dyDescent="0.2">
      <c r="A132" s="3"/>
      <c r="B132" s="224"/>
      <c r="C132" s="3"/>
      <c r="D132" s="150"/>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133"/>
    </row>
    <row r="133" spans="1:32" x14ac:dyDescent="0.2">
      <c r="B133" s="150"/>
      <c r="D133" s="150"/>
    </row>
    <row r="134" spans="1:32" x14ac:dyDescent="0.2">
      <c r="B134" s="150"/>
      <c r="D134" s="150"/>
      <c r="AF134" s="156"/>
    </row>
    <row r="135" spans="1:32" x14ac:dyDescent="0.2">
      <c r="D135" s="150"/>
    </row>
    <row r="136" spans="1:32" x14ac:dyDescent="0.2">
      <c r="D136" s="150"/>
      <c r="AF136" s="124"/>
    </row>
    <row r="137" spans="1:32" x14ac:dyDescent="0.2">
      <c r="D137" s="150"/>
    </row>
    <row r="138" spans="1:32" x14ac:dyDescent="0.2">
      <c r="D138" s="150"/>
      <c r="AD138" s="124"/>
      <c r="AF138" s="124"/>
    </row>
    <row r="139" spans="1:32" x14ac:dyDescent="0.2">
      <c r="D139" s="150"/>
    </row>
    <row r="140" spans="1:32" x14ac:dyDescent="0.2">
      <c r="D140" s="150"/>
      <c r="AF140" s="124"/>
    </row>
    <row r="141" spans="1:32" x14ac:dyDescent="0.2">
      <c r="D141" s="150"/>
    </row>
    <row r="142" spans="1:32" x14ac:dyDescent="0.2">
      <c r="D142" s="150"/>
    </row>
    <row r="143" spans="1:32" x14ac:dyDescent="0.2">
      <c r="D143" s="150"/>
    </row>
    <row r="144" spans="1:32" x14ac:dyDescent="0.2">
      <c r="D144" s="150"/>
    </row>
    <row r="145" spans="4:4" x14ac:dyDescent="0.2">
      <c r="D145" s="150"/>
    </row>
    <row r="146" spans="4:4" x14ac:dyDescent="0.2">
      <c r="D146" s="150"/>
    </row>
    <row r="147" spans="4:4" x14ac:dyDescent="0.2">
      <c r="D147" s="150"/>
    </row>
    <row r="148" spans="4:4" x14ac:dyDescent="0.2">
      <c r="D148" s="150"/>
    </row>
    <row r="149" spans="4:4" x14ac:dyDescent="0.2">
      <c r="D149" s="150"/>
    </row>
    <row r="150" spans="4:4" x14ac:dyDescent="0.2">
      <c r="D150" s="150"/>
    </row>
    <row r="151" spans="4:4" x14ac:dyDescent="0.2">
      <c r="D151" s="150"/>
    </row>
    <row r="152" spans="4:4" x14ac:dyDescent="0.2">
      <c r="D152" s="150"/>
    </row>
    <row r="153" spans="4:4" x14ac:dyDescent="0.2">
      <c r="D153" s="150"/>
    </row>
    <row r="154" spans="4:4" x14ac:dyDescent="0.2">
      <c r="D154" s="150"/>
    </row>
    <row r="155" spans="4:4" x14ac:dyDescent="0.2">
      <c r="D155" s="150"/>
    </row>
    <row r="156" spans="4:4" x14ac:dyDescent="0.2">
      <c r="D156" s="150"/>
    </row>
  </sheetData>
  <mergeCells count="29">
    <mergeCell ref="K2:L5"/>
    <mergeCell ref="A2:A3"/>
    <mergeCell ref="C2:D5"/>
    <mergeCell ref="E2:F5"/>
    <mergeCell ref="G2:H5"/>
    <mergeCell ref="I2:J5"/>
    <mergeCell ref="Y2:Z5"/>
    <mergeCell ref="AA2:AB5"/>
    <mergeCell ref="AC2:AD5"/>
    <mergeCell ref="C6:D6"/>
    <mergeCell ref="E6:F6"/>
    <mergeCell ref="G6:H6"/>
    <mergeCell ref="I6:J6"/>
    <mergeCell ref="K6:L6"/>
    <mergeCell ref="M6:N6"/>
    <mergeCell ref="O6:P6"/>
    <mergeCell ref="M2:N5"/>
    <mergeCell ref="O2:P5"/>
    <mergeCell ref="Q2:R5"/>
    <mergeCell ref="S2:T5"/>
    <mergeCell ref="U2:V5"/>
    <mergeCell ref="W2:X5"/>
    <mergeCell ref="AC6:AD6"/>
    <mergeCell ref="Q6:R6"/>
    <mergeCell ref="S6:T6"/>
    <mergeCell ref="U6:V6"/>
    <mergeCell ref="W6:X6"/>
    <mergeCell ref="Y6:Z6"/>
    <mergeCell ref="AA6:AB6"/>
  </mergeCells>
  <printOptions horizontalCentered="1" verticalCentered="1"/>
  <pageMargins left="0.25" right="0.25" top="0.25" bottom="0.25" header="0.5" footer="0.5"/>
  <pageSetup paperSize="17" scale="6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selection activeCell="A24" sqref="A24"/>
    </sheetView>
  </sheetViews>
  <sheetFormatPr defaultRowHeight="12.75" x14ac:dyDescent="0.2"/>
  <cols>
    <col min="1" max="1" width="81.5703125" customWidth="1"/>
    <col min="2" max="2" width="16.5703125" style="150" customWidth="1"/>
    <col min="3" max="3" width="16.5703125" customWidth="1"/>
    <col min="4" max="4" width="9.140625" style="225" customWidth="1"/>
    <col min="5" max="5" width="14.28515625" style="150" customWidth="1"/>
    <col min="6" max="6" width="17.5703125" style="226" customWidth="1"/>
    <col min="7" max="7" width="12.42578125" style="150" customWidth="1"/>
    <col min="9" max="9" width="16.42578125" customWidth="1"/>
  </cols>
  <sheetData>
    <row r="1" spans="1:9" ht="23.25" x14ac:dyDescent="0.35">
      <c r="A1" s="253" t="s">
        <v>104</v>
      </c>
      <c r="B1" s="253"/>
    </row>
    <row r="2" spans="1:9" s="229" customFormat="1" ht="16.5" customHeight="1" x14ac:dyDescent="0.2">
      <c r="A2" s="229" t="s">
        <v>63</v>
      </c>
      <c r="B2" s="230">
        <v>21097.09</v>
      </c>
      <c r="D2" s="232"/>
      <c r="E2" s="230"/>
      <c r="F2" s="233"/>
      <c r="G2" s="230"/>
      <c r="I2" s="234"/>
    </row>
    <row r="3" spans="1:9" s="229" customFormat="1" ht="16.5" customHeight="1" x14ac:dyDescent="0.2">
      <c r="A3" s="229" t="s">
        <v>64</v>
      </c>
      <c r="B3" s="230">
        <v>9191.2999999999993</v>
      </c>
      <c r="D3" s="232"/>
      <c r="E3" s="230"/>
      <c r="F3" s="233"/>
      <c r="G3" s="230"/>
      <c r="I3" s="234"/>
    </row>
    <row r="4" spans="1:9" s="229" customFormat="1" ht="16.5" customHeight="1" x14ac:dyDescent="0.2">
      <c r="A4" s="229" t="s">
        <v>65</v>
      </c>
      <c r="B4" s="230">
        <v>28839.68</v>
      </c>
      <c r="D4" s="232"/>
      <c r="E4" s="230"/>
      <c r="F4" s="233"/>
      <c r="G4" s="230"/>
      <c r="I4" s="234"/>
    </row>
    <row r="5" spans="1:9" s="229" customFormat="1" ht="16.5" customHeight="1" x14ac:dyDescent="0.2">
      <c r="A5" s="229" t="s">
        <v>66</v>
      </c>
      <c r="B5" s="230">
        <v>125421.15</v>
      </c>
      <c r="D5" s="232"/>
      <c r="E5" s="230"/>
      <c r="F5" s="233"/>
      <c r="G5" s="230"/>
      <c r="I5" s="234"/>
    </row>
    <row r="6" spans="1:9" s="229" customFormat="1" ht="16.5" customHeight="1" x14ac:dyDescent="0.2">
      <c r="A6" s="229" t="s">
        <v>67</v>
      </c>
      <c r="B6" s="230">
        <v>28308.22</v>
      </c>
      <c r="D6" s="232"/>
      <c r="E6" s="230"/>
      <c r="F6" s="233"/>
      <c r="G6" s="230"/>
      <c r="I6" s="234"/>
    </row>
    <row r="7" spans="1:9" s="229" customFormat="1" ht="16.5" customHeight="1" x14ac:dyDescent="0.2">
      <c r="A7" s="229" t="s">
        <v>68</v>
      </c>
      <c r="B7" s="230">
        <v>5658.77</v>
      </c>
      <c r="D7" s="232"/>
      <c r="E7" s="230"/>
      <c r="F7" s="233"/>
      <c r="G7" s="230"/>
      <c r="I7" s="234"/>
    </row>
    <row r="8" spans="1:9" s="229" customFormat="1" ht="16.5" customHeight="1" x14ac:dyDescent="0.2">
      <c r="A8" s="229" t="s">
        <v>69</v>
      </c>
      <c r="B8" s="230">
        <v>17037.86</v>
      </c>
      <c r="D8" s="232"/>
      <c r="E8" s="230"/>
      <c r="F8" s="233"/>
      <c r="G8" s="230"/>
      <c r="I8" s="234"/>
    </row>
    <row r="9" spans="1:9" s="229" customFormat="1" ht="16.5" customHeight="1" x14ac:dyDescent="0.2">
      <c r="A9" s="229" t="s">
        <v>70</v>
      </c>
      <c r="B9" s="230">
        <v>1246.05</v>
      </c>
      <c r="D9" s="232"/>
      <c r="E9" s="230"/>
      <c r="F9" s="233"/>
      <c r="G9" s="230"/>
      <c r="I9" s="234"/>
    </row>
    <row r="10" spans="1:9" s="229" customFormat="1" ht="16.5" customHeight="1" x14ac:dyDescent="0.2">
      <c r="A10" s="229" t="s">
        <v>71</v>
      </c>
      <c r="B10" s="230">
        <v>9761.01</v>
      </c>
      <c r="D10" s="232"/>
      <c r="E10" s="230"/>
      <c r="F10" s="233"/>
      <c r="G10" s="230"/>
      <c r="I10" s="234"/>
    </row>
    <row r="11" spans="1:9" s="229" customFormat="1" ht="16.5" customHeight="1" x14ac:dyDescent="0.2">
      <c r="A11" s="229" t="s">
        <v>72</v>
      </c>
      <c r="B11" s="230">
        <v>7008.57</v>
      </c>
      <c r="D11" s="232"/>
      <c r="E11" s="230"/>
      <c r="F11" s="233"/>
      <c r="G11" s="230"/>
      <c r="I11" s="234"/>
    </row>
    <row r="12" spans="1:9" s="229" customFormat="1" ht="16.5" customHeight="1" x14ac:dyDescent="0.2">
      <c r="A12" s="229" t="s">
        <v>73</v>
      </c>
      <c r="B12" s="230">
        <v>11652.95</v>
      </c>
      <c r="D12" s="232"/>
      <c r="E12" s="230"/>
      <c r="F12" s="233"/>
      <c r="G12" s="230"/>
      <c r="I12" s="234"/>
    </row>
    <row r="13" spans="1:9" s="229" customFormat="1" ht="16.5" customHeight="1" x14ac:dyDescent="0.2">
      <c r="A13" s="229" t="s">
        <v>74</v>
      </c>
      <c r="B13" s="230">
        <v>9425.49</v>
      </c>
      <c r="D13" s="232"/>
      <c r="E13" s="230"/>
      <c r="F13" s="233"/>
      <c r="G13" s="230"/>
      <c r="I13" s="234"/>
    </row>
    <row r="14" spans="1:9" s="229" customFormat="1" ht="16.5" customHeight="1" x14ac:dyDescent="0.2">
      <c r="A14" s="229" t="s">
        <v>75</v>
      </c>
      <c r="B14" s="230">
        <v>38580.54</v>
      </c>
      <c r="D14" s="232"/>
      <c r="E14" s="230"/>
      <c r="F14" s="233"/>
      <c r="G14" s="230"/>
      <c r="I14" s="234"/>
    </row>
    <row r="15" spans="1:9" s="229" customFormat="1" ht="16.5" customHeight="1" x14ac:dyDescent="0.2">
      <c r="A15" s="229" t="s">
        <v>76</v>
      </c>
      <c r="B15" s="230">
        <v>15182.4</v>
      </c>
      <c r="D15" s="232"/>
      <c r="E15" s="230"/>
      <c r="F15" s="233"/>
      <c r="G15" s="230"/>
      <c r="I15" s="234"/>
    </row>
    <row r="16" spans="1:9" s="229" customFormat="1" ht="16.5" customHeight="1" x14ac:dyDescent="0.2">
      <c r="A16" s="229" t="s">
        <v>79</v>
      </c>
      <c r="B16" s="230">
        <v>25075.16</v>
      </c>
      <c r="D16" s="232"/>
      <c r="E16" s="230"/>
      <c r="F16" s="233"/>
      <c r="G16" s="230"/>
      <c r="I16" s="234"/>
    </row>
    <row r="17" spans="1:9" s="229" customFormat="1" ht="16.5" customHeight="1" x14ac:dyDescent="0.2">
      <c r="A17" s="235" t="s">
        <v>77</v>
      </c>
      <c r="B17" s="230">
        <v>39297.18</v>
      </c>
      <c r="D17" s="232"/>
      <c r="E17" s="230"/>
      <c r="F17" s="233"/>
      <c r="G17" s="230"/>
      <c r="I17" s="234"/>
    </row>
    <row r="18" spans="1:9" s="229" customFormat="1" ht="16.5" customHeight="1" thickBot="1" x14ac:dyDescent="0.25">
      <c r="A18" s="236" t="s">
        <v>78</v>
      </c>
      <c r="B18" s="231">
        <v>13987.77</v>
      </c>
      <c r="D18" s="232"/>
      <c r="E18" s="237"/>
      <c r="F18" s="233"/>
      <c r="G18" s="230"/>
      <c r="I18" s="234"/>
    </row>
    <row r="19" spans="1:9" s="229" customFormat="1" ht="16.5" customHeight="1" thickTop="1" x14ac:dyDescent="0.2">
      <c r="B19" s="230">
        <f>SUM(B2:B18)</f>
        <v>406771.19</v>
      </c>
      <c r="D19" s="232"/>
      <c r="E19" s="230"/>
      <c r="F19" s="233"/>
      <c r="G19" s="230"/>
      <c r="I19" s="234"/>
    </row>
    <row r="20" spans="1:9" s="229" customFormat="1" ht="16.5" customHeight="1" x14ac:dyDescent="0.2">
      <c r="A20" s="238"/>
      <c r="B20" s="230"/>
      <c r="D20" s="232"/>
      <c r="E20" s="230"/>
      <c r="F20" s="233"/>
      <c r="G20" s="230"/>
    </row>
    <row r="22" spans="1:9" x14ac:dyDescent="0.2">
      <c r="A22" s="222"/>
    </row>
    <row r="23" spans="1:9" x14ac:dyDescent="0.2">
      <c r="A23" s="221"/>
    </row>
    <row r="27" spans="1:9" x14ac:dyDescent="0.2">
      <c r="C27" s="227"/>
    </row>
  </sheetData>
  <mergeCells count="1">
    <mergeCell ref="A1:B1"/>
  </mergeCells>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Building 508</vt:lpstr>
      <vt:lpstr>Breakdown by Catagory 508</vt:lpstr>
      <vt:lpstr>Sheet2</vt:lpstr>
      <vt:lpstr>'Building 508'!check</vt:lpstr>
    </vt:vector>
  </TitlesOfParts>
  <Company>STEP,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Andy Wood</cp:lastModifiedBy>
  <cp:lastPrinted>2015-01-27T14:50:46Z</cp:lastPrinted>
  <dcterms:created xsi:type="dcterms:W3CDTF">2007-04-19T17:12:01Z</dcterms:created>
  <dcterms:modified xsi:type="dcterms:W3CDTF">2015-09-15T01:19:52Z</dcterms:modified>
</cp:coreProperties>
</file>