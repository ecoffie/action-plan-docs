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GOVCON GIANTS/COURSES/Govcon Giants/"/>
    </mc:Choice>
  </mc:AlternateContent>
  <xr:revisionPtr revIDLastSave="0" documentId="13_ncr:1_{3909C87A-DC4E-2E47-B663-31B51CE59CEB}" xr6:coauthVersionLast="47" xr6:coauthVersionMax="47" xr10:uidLastSave="{00000000-0000-0000-0000-000000000000}"/>
  <bookViews>
    <workbookView xWindow="0" yWindow="500" windowWidth="22980" windowHeight="17500" xr2:uid="{1B557759-4588-42A8-BA19-8A4CFF9B2A41}"/>
  </bookViews>
  <sheets>
    <sheet name="Sheet1" sheetId="1" r:id="rId1"/>
  </sheets>
  <definedNames>
    <definedName name="_xlnm._FilterDatabase" localSheetId="0" hidden="1">Sheet1!$B$3:$I$3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92" i="1" l="1"/>
  <c r="J91" i="1"/>
  <c r="J88" i="1"/>
  <c r="J86" i="1"/>
  <c r="J84" i="1"/>
  <c r="J82" i="1"/>
  <c r="J81" i="1"/>
  <c r="J78" i="1"/>
  <c r="J76" i="1"/>
  <c r="J72" i="1"/>
  <c r="J74" i="1"/>
  <c r="J73" i="1"/>
  <c r="J70" i="1"/>
  <c r="J69" i="1"/>
  <c r="J68" i="1"/>
  <c r="J66" i="1"/>
  <c r="J59" i="1"/>
  <c r="J63" i="1"/>
  <c r="J62" i="1"/>
  <c r="J61" i="1"/>
  <c r="J60" i="1"/>
  <c r="J57" i="1"/>
  <c r="J56" i="1"/>
  <c r="J55" i="1"/>
  <c r="J54" i="1"/>
  <c r="J52" i="1"/>
  <c r="J51" i="1"/>
  <c r="J50" i="1"/>
  <c r="J48" i="1"/>
  <c r="J47" i="1"/>
  <c r="J46" i="1"/>
  <c r="J45" i="1"/>
  <c r="J44" i="1"/>
  <c r="J43" i="1"/>
  <c r="J41" i="1"/>
  <c r="J40" i="1"/>
  <c r="J39" i="1"/>
  <c r="J36" i="1"/>
  <c r="J35" i="1"/>
  <c r="J34" i="1"/>
  <c r="J53" i="1"/>
  <c r="J38" i="1"/>
  <c r="J32" i="1"/>
  <c r="J30" i="1"/>
  <c r="J29" i="1"/>
  <c r="J28" i="1"/>
  <c r="J27" i="1"/>
  <c r="J25" i="1"/>
  <c r="J24" i="1"/>
  <c r="J23" i="1"/>
  <c r="J22" i="1"/>
  <c r="J21" i="1"/>
  <c r="J19" i="1"/>
  <c r="J18" i="1"/>
  <c r="J16" i="1"/>
  <c r="J15" i="1"/>
  <c r="J14" i="1"/>
  <c r="J13" i="1"/>
  <c r="J12" i="1"/>
  <c r="J11" i="1"/>
  <c r="J10" i="1"/>
  <c r="J8" i="1"/>
  <c r="J7" i="1"/>
  <c r="J6" i="1"/>
  <c r="J4" i="1"/>
</calcChain>
</file>

<file path=xl/sharedStrings.xml><?xml version="1.0" encoding="utf-8"?>
<sst xmlns="http://schemas.openxmlformats.org/spreadsheetml/2006/main" count="117" uniqueCount="113">
  <si>
    <t>Course Introduction: Getting Started (3.0)</t>
  </si>
  <si>
    <t>Federal Government Contracting Beginners Course (3.0)</t>
  </si>
  <si>
    <t>Federal Contracting: System for Award Management (SAM.gov) Registration (3.0)</t>
  </si>
  <si>
    <t>Crafting a Million Dollar Capability Statement (Templates included) (3.0)</t>
  </si>
  <si>
    <t>Attending Events (Conferences, Industry Day, Matchmaking) (3.0)</t>
  </si>
  <si>
    <t>Small Business Certification Training (3.0)</t>
  </si>
  <si>
    <t>Creating your Bullet Proof Target Market List (3.0)</t>
  </si>
  <si>
    <t>DIY Guide to Business Development: Marketing to Government Buyers - Contract Officers, Program Managers, Stakeholders (3.0)</t>
  </si>
  <si>
    <t>Teaming / Subcontracting with Primes Small Businesses and Companies with Certifications (3.0)</t>
  </si>
  <si>
    <t>Contract Opportunities through SAM and other Bid Sites (3.0)</t>
  </si>
  <si>
    <t>8a BD PROGRAM (3.0)</t>
  </si>
  <si>
    <t>Proposal Writing: From $10,000 to Million Dollar Proposals (3.0)</t>
  </si>
  <si>
    <t>Government Bidding (Federal): How to Estimate and Respond to RFP/RFQ (3.0)</t>
  </si>
  <si>
    <t>Business Law - FAR (3.0)</t>
  </si>
  <si>
    <t>Indefinite Delivery Vehicles IDV - IDIQ (3.0)</t>
  </si>
  <si>
    <t>2021 Q&amp;A Sessions (3.0)</t>
  </si>
  <si>
    <t>Resources 2021 (3.0)</t>
  </si>
  <si>
    <t>Welcome to the Government Contracting</t>
  </si>
  <si>
    <t xml:space="preserve"> </t>
  </si>
  <si>
    <t>Welcome to The Course!</t>
  </si>
  <si>
    <t>What is a prime contractor?</t>
  </si>
  <si>
    <t>Determining what the governemnt buys</t>
  </si>
  <si>
    <t>Government Contracting 101</t>
  </si>
  <si>
    <t>Government Contracting 102</t>
  </si>
  <si>
    <t>Advanced Lessons (sample)</t>
  </si>
  <si>
    <t>nothing</t>
  </si>
  <si>
    <t>Types of Purchases</t>
  </si>
  <si>
    <t>Launching your Government Brand</t>
  </si>
  <si>
    <t>SAM Registration</t>
  </si>
  <si>
    <t>Build a winning SBA (DSBS)Profile</t>
  </si>
  <si>
    <t>Before you finish</t>
  </si>
  <si>
    <t>Preview of Govcon Griants Course</t>
  </si>
  <si>
    <t>Crafting a Million Dollar Capability Statement</t>
  </si>
  <si>
    <t>Members only Capability Statement Review</t>
  </si>
  <si>
    <t>Capability Statement Examples</t>
  </si>
  <si>
    <t>Free Templates</t>
  </si>
  <si>
    <t>Doc</t>
  </si>
  <si>
    <t>Total</t>
  </si>
  <si>
    <t>Quiz/HW</t>
  </si>
  <si>
    <r>
      <t xml:space="preserve">Government Contracting </t>
    </r>
    <r>
      <rPr>
        <b/>
        <sz val="11"/>
        <color rgb="FFFF0000"/>
        <rFont val="Calibri"/>
        <family val="2"/>
        <scheme val="minor"/>
      </rPr>
      <t>107</t>
    </r>
    <r>
      <rPr>
        <sz val="11"/>
        <color theme="1"/>
        <rFont val="Calibri"/>
        <family val="2"/>
        <scheme val="minor"/>
      </rPr>
      <t>: This I wish someone would have hold me</t>
    </r>
  </si>
  <si>
    <t>I registered now what</t>
  </si>
  <si>
    <t>Events</t>
  </si>
  <si>
    <t>Small Buisness Mastery Course</t>
  </si>
  <si>
    <t>Certifications</t>
  </si>
  <si>
    <t>Podcast Interviews</t>
  </si>
  <si>
    <t>Foundation</t>
  </si>
  <si>
    <t>Marketing</t>
  </si>
  <si>
    <t>Capture Management (Using USA Spending.gov)</t>
  </si>
  <si>
    <t>Building a customer Database MAsterClass (using FPDS.gov)</t>
  </si>
  <si>
    <t>Using USA spending for Research</t>
  </si>
  <si>
    <t>Forestcast List</t>
  </si>
  <si>
    <t>Federal Human OSDBU / KO/Program Manager</t>
  </si>
  <si>
    <t>Prepare for the Call</t>
  </si>
  <si>
    <t>Simple Calls</t>
  </si>
  <si>
    <t>Email / Phone Scripts / Documents</t>
  </si>
  <si>
    <t>Activities</t>
  </si>
  <si>
    <t>Teaming Partners</t>
  </si>
  <si>
    <t>Finding Prime Contractors</t>
  </si>
  <si>
    <t>How to Find Subcontractors</t>
  </si>
  <si>
    <t>Bid Websites</t>
  </si>
  <si>
    <t>Sources Sought</t>
  </si>
  <si>
    <t>Simplified Acquisition Procedures (SAP)</t>
  </si>
  <si>
    <t>Contract Opportunities</t>
  </si>
  <si>
    <t>8a DB Program</t>
  </si>
  <si>
    <t>The complete Guide to Becoming Governemtn Consultant (3.0)</t>
  </si>
  <si>
    <t>Consultant Masterclass + Resources</t>
  </si>
  <si>
    <t>Earn your first $5K</t>
  </si>
  <si>
    <t>Resources / Templates / Scripts</t>
  </si>
  <si>
    <t>Video/Audio</t>
  </si>
  <si>
    <t>Bidding</t>
  </si>
  <si>
    <r>
      <rPr>
        <sz val="11"/>
        <color rgb="FFFF0000"/>
        <rFont val="Calibri"/>
        <family val="2"/>
        <scheme val="minor"/>
      </rPr>
      <t>Government Contracting 103</t>
    </r>
    <r>
      <rPr>
        <sz val="11"/>
        <color theme="1"/>
        <rFont val="Calibri"/>
        <family val="2"/>
        <scheme val="minor"/>
      </rPr>
      <t>: What are the requirements to Start this buisness?</t>
    </r>
  </si>
  <si>
    <r>
      <rPr>
        <sz val="11"/>
        <color rgb="FFFF0000"/>
        <rFont val="Calibri"/>
        <family val="2"/>
        <scheme val="minor"/>
      </rPr>
      <t>Government Contracting 104</t>
    </r>
    <r>
      <rPr>
        <sz val="11"/>
        <color theme="1"/>
        <rFont val="Calibri"/>
        <family val="2"/>
        <scheme val="minor"/>
      </rPr>
      <t>: How to get started?</t>
    </r>
  </si>
  <si>
    <r>
      <rPr>
        <sz val="11"/>
        <color rgb="FFFF0000"/>
        <rFont val="Calibri"/>
        <family val="2"/>
        <scheme val="minor"/>
      </rPr>
      <t>Government Contracting 105</t>
    </r>
    <r>
      <rPr>
        <sz val="11"/>
        <color theme="1"/>
        <rFont val="Calibri"/>
        <family val="2"/>
        <scheme val="minor"/>
      </rPr>
      <t>: Before SAM registration</t>
    </r>
  </si>
  <si>
    <r>
      <rPr>
        <b/>
        <sz val="11"/>
        <color rgb="FFFF0000"/>
        <rFont val="Calibri"/>
        <family val="2"/>
        <scheme val="minor"/>
      </rPr>
      <t>Govcon 101</t>
    </r>
    <r>
      <rPr>
        <b/>
        <sz val="11"/>
        <color theme="1"/>
        <rFont val="Calibri"/>
        <family val="2"/>
        <scheme val="minor"/>
      </rPr>
      <t>: Learn the Basics (3.0)</t>
    </r>
  </si>
  <si>
    <r>
      <rPr>
        <b/>
        <sz val="11"/>
        <color rgb="FFFF0000"/>
        <rFont val="Calibri"/>
        <family val="2"/>
        <scheme val="minor"/>
      </rPr>
      <t>Govcon 102</t>
    </r>
    <r>
      <rPr>
        <b/>
        <sz val="11"/>
        <color theme="1"/>
        <rFont val="Calibri"/>
        <family val="2"/>
        <scheme val="minor"/>
      </rPr>
      <t>: Understanding What it Takes to Work with the Government (3.0)</t>
    </r>
  </si>
  <si>
    <t>Panel Title</t>
  </si>
  <si>
    <t>Supplier Credit</t>
  </si>
  <si>
    <t>How to build massive Supplier Credit</t>
  </si>
  <si>
    <t>Proposal Writing</t>
  </si>
  <si>
    <t>Sorces Sought</t>
  </si>
  <si>
    <t>Sample RFP / RFQ / Proposals Responses</t>
  </si>
  <si>
    <t>Estimate</t>
  </si>
  <si>
    <t>Bid Forms</t>
  </si>
  <si>
    <t>Estimating Sample</t>
  </si>
  <si>
    <t>Far</t>
  </si>
  <si>
    <t>Indefinite Delivery Vehicles IDB - IDIA (3.0)</t>
  </si>
  <si>
    <t>Live Q&amp;A</t>
  </si>
  <si>
    <t>2022 Q&amp;A Sessions (3.0)</t>
  </si>
  <si>
    <t>2020 Members Only Q&amp;A calls (3.0)</t>
  </si>
  <si>
    <t>2018 /2019 Members Only Q&amp;A calls (3.0)</t>
  </si>
  <si>
    <t>2022 emmbers only Calls</t>
  </si>
  <si>
    <t>Speaker Tuesdays</t>
  </si>
  <si>
    <t>Members only Live Q&amp;A Webinars 2021</t>
  </si>
  <si>
    <t>Member only Live Q&amp;A Webinars</t>
  </si>
  <si>
    <t>Membe only live Q&amp;A Webinars (2019 &amp; 2018)</t>
  </si>
  <si>
    <t>Resources 2021</t>
  </si>
  <si>
    <t>Rsources</t>
  </si>
  <si>
    <t>Course Introduction Getting Started</t>
  </si>
  <si>
    <t>Govcon 101</t>
  </si>
  <si>
    <t>Beginners Course</t>
  </si>
  <si>
    <t>Govcon 102</t>
  </si>
  <si>
    <t>SAM Registration (SBA Profile)</t>
  </si>
  <si>
    <t>Capability Statement</t>
  </si>
  <si>
    <t>Industry Days</t>
  </si>
  <si>
    <t>DIY Certifications</t>
  </si>
  <si>
    <t>Target Market List</t>
  </si>
  <si>
    <t>Business Development</t>
  </si>
  <si>
    <t>Primes Subcontracting</t>
  </si>
  <si>
    <t>8(a) BD Program</t>
  </si>
  <si>
    <t>How to Be a consultant</t>
  </si>
  <si>
    <t>Bidding Estimating</t>
  </si>
  <si>
    <t>Business Law (FAR)</t>
  </si>
  <si>
    <t>Indefinite Delivery Vehicles IDV - IDIQ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</si>
</sst>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 vertical="center" indent="5"/>
    </xf>
    <xf numFmtId="0" fontId="3" fillId="0" borderId="5" xfId="0" applyFont="1" applyBorder="1"/>
    <xf numFmtId="164" fontId="1" fillId="0" borderId="5" xfId="0" applyNumberFormat="1" applyFont="1" applyBorder="1"/>
    <xf numFmtId="0" fontId="1" fillId="0" borderId="6" xfId="0" applyFont="1" applyBorder="1"/>
    <xf numFmtId="0" fontId="0" fillId="0" borderId="6" xfId="0" applyBorder="1"/>
    <xf numFmtId="0" fontId="1" fillId="0" borderId="7" xfId="0" applyFont="1" applyBorder="1"/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/>
    <xf numFmtId="0" fontId="1" fillId="0" borderId="16" xfId="0" applyFont="1" applyBorder="1"/>
    <xf numFmtId="0" fontId="4" fillId="0" borderId="12" xfId="0" applyFont="1" applyBorder="1"/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FAD5-0295-4134-B4D3-E4595FC63FFE}">
  <dimension ref="A1:L94"/>
  <sheetViews>
    <sheetView tabSelected="1" workbookViewId="0">
      <pane ySplit="1" topLeftCell="A55" activePane="bottomLeft" state="frozen"/>
      <selection pane="bottomLeft" activeCell="E52" sqref="E52"/>
    </sheetView>
  </sheetViews>
  <sheetFormatPr baseColWidth="10" defaultColWidth="8.83203125" defaultRowHeight="15" x14ac:dyDescent="0.2"/>
  <cols>
    <col min="2" max="3" width="4.83203125" style="1" customWidth="1"/>
    <col min="4" max="4" width="4.33203125" customWidth="1"/>
    <col min="5" max="5" width="101.83203125" customWidth="1"/>
    <col min="6" max="8" width="8.83203125" style="2" customWidth="1"/>
    <col min="9" max="9" width="8.83203125" style="3" customWidth="1"/>
    <col min="10" max="10" width="8.83203125" style="2" customWidth="1"/>
    <col min="11" max="11" width="5.5" customWidth="1"/>
    <col min="12" max="12" width="34.5" style="1" bestFit="1" customWidth="1"/>
  </cols>
  <sheetData>
    <row r="1" spans="1:12" ht="16" thickBot="1" x14ac:dyDescent="0.25">
      <c r="F1" s="15" t="s">
        <v>68</v>
      </c>
      <c r="G1" s="16" t="s">
        <v>38</v>
      </c>
      <c r="H1" s="16" t="s">
        <v>36</v>
      </c>
      <c r="I1" s="17" t="s">
        <v>25</v>
      </c>
      <c r="J1" s="20" t="s">
        <v>37</v>
      </c>
      <c r="L1" s="27" t="s">
        <v>75</v>
      </c>
    </row>
    <row r="2" spans="1:12" ht="16" thickBot="1" x14ac:dyDescent="0.25">
      <c r="A2" s="28" t="s">
        <v>45</v>
      </c>
      <c r="B2" s="29"/>
      <c r="C2" s="29"/>
      <c r="D2" s="30"/>
      <c r="I2" s="2"/>
      <c r="J2" s="21"/>
      <c r="L2" s="24"/>
    </row>
    <row r="3" spans="1:12" x14ac:dyDescent="0.2">
      <c r="B3" s="13">
        <v>1</v>
      </c>
      <c r="C3" s="13" t="s">
        <v>0</v>
      </c>
      <c r="D3" s="14"/>
      <c r="E3" s="6"/>
      <c r="F3" s="7"/>
      <c r="G3" s="7"/>
      <c r="H3" s="7"/>
      <c r="I3" s="18"/>
      <c r="J3" s="22"/>
      <c r="L3" s="24" t="s">
        <v>97</v>
      </c>
    </row>
    <row r="4" spans="1:12" x14ac:dyDescent="0.2">
      <c r="B4" s="5"/>
      <c r="C4" s="5">
        <v>1.1000000000000001</v>
      </c>
      <c r="D4" s="6" t="s">
        <v>17</v>
      </c>
      <c r="E4" s="8"/>
      <c r="F4" s="7">
        <v>2</v>
      </c>
      <c r="G4" s="7">
        <v>1</v>
      </c>
      <c r="H4" s="7"/>
      <c r="I4" s="18"/>
      <c r="J4" s="22">
        <f>SUM(F4:I4)</f>
        <v>3</v>
      </c>
      <c r="L4" s="24"/>
    </row>
    <row r="5" spans="1:12" x14ac:dyDescent="0.2">
      <c r="B5" s="5">
        <v>2</v>
      </c>
      <c r="C5" s="5" t="s">
        <v>73</v>
      </c>
      <c r="D5" s="6"/>
      <c r="E5" s="6"/>
      <c r="F5" s="7"/>
      <c r="G5" s="7"/>
      <c r="H5" s="7"/>
      <c r="I5" s="18"/>
      <c r="J5" s="22"/>
      <c r="L5" s="24" t="s">
        <v>98</v>
      </c>
    </row>
    <row r="6" spans="1:12" x14ac:dyDescent="0.2">
      <c r="B6" s="5"/>
      <c r="C6" s="5">
        <v>2.1</v>
      </c>
      <c r="D6" s="6" t="s">
        <v>19</v>
      </c>
      <c r="E6" s="6"/>
      <c r="F6" s="7">
        <v>4</v>
      </c>
      <c r="G6" s="7">
        <v>1</v>
      </c>
      <c r="H6" s="7">
        <v>2</v>
      </c>
      <c r="I6" s="18"/>
      <c r="J6" s="22">
        <f t="shared" ref="J6:J86" si="0">SUM(F6:I6)</f>
        <v>7</v>
      </c>
      <c r="L6" s="24"/>
    </row>
    <row r="7" spans="1:12" x14ac:dyDescent="0.2">
      <c r="B7" s="5"/>
      <c r="C7" s="5">
        <v>2.2000000000000002</v>
      </c>
      <c r="D7" s="6" t="s">
        <v>20</v>
      </c>
      <c r="E7" s="6"/>
      <c r="F7" s="7">
        <v>3</v>
      </c>
      <c r="G7" s="7">
        <v>1</v>
      </c>
      <c r="H7" s="7">
        <v>1</v>
      </c>
      <c r="I7" s="18"/>
      <c r="J7" s="22">
        <f t="shared" si="0"/>
        <v>5</v>
      </c>
      <c r="L7" s="24"/>
    </row>
    <row r="8" spans="1:12" x14ac:dyDescent="0.2">
      <c r="B8" s="5"/>
      <c r="C8" s="5">
        <v>2.2999999999999998</v>
      </c>
      <c r="D8" s="6" t="s">
        <v>21</v>
      </c>
      <c r="E8" s="6"/>
      <c r="F8" s="7">
        <v>3</v>
      </c>
      <c r="G8" s="7">
        <v>1</v>
      </c>
      <c r="H8" s="7"/>
      <c r="I8" s="18"/>
      <c r="J8" s="22">
        <f t="shared" si="0"/>
        <v>4</v>
      </c>
      <c r="L8" s="24"/>
    </row>
    <row r="9" spans="1:12" x14ac:dyDescent="0.2">
      <c r="B9" s="5">
        <v>3</v>
      </c>
      <c r="C9" s="5" t="s">
        <v>1</v>
      </c>
      <c r="D9" s="6"/>
      <c r="E9" s="6"/>
      <c r="F9" s="7"/>
      <c r="G9" s="7"/>
      <c r="H9" s="7"/>
      <c r="I9" s="18"/>
      <c r="J9" s="22"/>
      <c r="L9" s="26" t="s">
        <v>99</v>
      </c>
    </row>
    <row r="10" spans="1:12" x14ac:dyDescent="0.2">
      <c r="B10" s="5"/>
      <c r="C10" s="5">
        <v>3.1</v>
      </c>
      <c r="D10" s="9" t="s">
        <v>22</v>
      </c>
      <c r="E10" s="6"/>
      <c r="F10" s="7">
        <v>7</v>
      </c>
      <c r="G10" s="7"/>
      <c r="H10" s="7"/>
      <c r="I10" s="18"/>
      <c r="J10" s="22">
        <f t="shared" si="0"/>
        <v>7</v>
      </c>
      <c r="L10" s="24"/>
    </row>
    <row r="11" spans="1:12" x14ac:dyDescent="0.2">
      <c r="B11" s="5"/>
      <c r="C11" s="5">
        <v>3.2</v>
      </c>
      <c r="D11" s="9" t="s">
        <v>23</v>
      </c>
      <c r="E11" s="6"/>
      <c r="F11" s="7">
        <v>10</v>
      </c>
      <c r="G11" s="7">
        <v>2</v>
      </c>
      <c r="H11" s="7"/>
      <c r="I11" s="18"/>
      <c r="J11" s="22">
        <f t="shared" si="0"/>
        <v>12</v>
      </c>
      <c r="L11" s="24"/>
    </row>
    <row r="12" spans="1:12" x14ac:dyDescent="0.2">
      <c r="B12" s="5"/>
      <c r="C12" s="5">
        <v>3.3</v>
      </c>
      <c r="D12" s="6" t="s">
        <v>70</v>
      </c>
      <c r="E12" s="6"/>
      <c r="F12" s="7">
        <v>8</v>
      </c>
      <c r="G12" s="7">
        <v>1</v>
      </c>
      <c r="H12" s="7"/>
      <c r="I12" s="18"/>
      <c r="J12" s="22">
        <f t="shared" si="0"/>
        <v>9</v>
      </c>
      <c r="L12" s="24"/>
    </row>
    <row r="13" spans="1:12" x14ac:dyDescent="0.2">
      <c r="B13" s="5"/>
      <c r="C13" s="5">
        <v>3.4</v>
      </c>
      <c r="D13" s="6" t="s">
        <v>71</v>
      </c>
      <c r="E13" s="6"/>
      <c r="F13" s="7">
        <v>9</v>
      </c>
      <c r="G13" s="7">
        <v>1</v>
      </c>
      <c r="H13" s="7"/>
      <c r="I13" s="18"/>
      <c r="J13" s="22">
        <f t="shared" si="0"/>
        <v>10</v>
      </c>
      <c r="L13" s="24"/>
    </row>
    <row r="14" spans="1:12" x14ac:dyDescent="0.2">
      <c r="B14" s="5"/>
      <c r="C14" s="5">
        <v>3.5</v>
      </c>
      <c r="D14" s="6" t="s">
        <v>72</v>
      </c>
      <c r="E14" s="6"/>
      <c r="F14" s="7">
        <v>7</v>
      </c>
      <c r="G14" s="7"/>
      <c r="H14" s="7"/>
      <c r="I14" s="18"/>
      <c r="J14" s="22">
        <f t="shared" si="0"/>
        <v>7</v>
      </c>
      <c r="L14" s="24"/>
    </row>
    <row r="15" spans="1:12" x14ac:dyDescent="0.2">
      <c r="B15" s="5"/>
      <c r="C15" s="5">
        <v>3.6</v>
      </c>
      <c r="D15" s="6" t="s">
        <v>39</v>
      </c>
      <c r="E15" s="6"/>
      <c r="F15" s="7">
        <v>8</v>
      </c>
      <c r="G15" s="7"/>
      <c r="H15" s="7"/>
      <c r="I15" s="18"/>
      <c r="J15" s="22">
        <f t="shared" si="0"/>
        <v>8</v>
      </c>
      <c r="L15" s="24"/>
    </row>
    <row r="16" spans="1:12" x14ac:dyDescent="0.2">
      <c r="B16" s="5"/>
      <c r="C16" s="5">
        <v>3.7</v>
      </c>
      <c r="D16" s="6" t="s">
        <v>24</v>
      </c>
      <c r="E16" s="6"/>
      <c r="F16" s="7">
        <v>2</v>
      </c>
      <c r="G16" s="7"/>
      <c r="H16" s="7"/>
      <c r="I16" s="19">
        <v>1</v>
      </c>
      <c r="J16" s="22">
        <f t="shared" si="0"/>
        <v>3</v>
      </c>
      <c r="L16" s="24"/>
    </row>
    <row r="17" spans="2:12" x14ac:dyDescent="0.2">
      <c r="B17" s="5">
        <v>4</v>
      </c>
      <c r="C17" s="5" t="s">
        <v>74</v>
      </c>
      <c r="D17" s="6"/>
      <c r="E17" s="6"/>
      <c r="F17" s="7"/>
      <c r="G17" s="7"/>
      <c r="H17" s="7"/>
      <c r="I17" s="18"/>
      <c r="J17" s="22"/>
      <c r="L17" s="24" t="s">
        <v>100</v>
      </c>
    </row>
    <row r="18" spans="2:12" x14ac:dyDescent="0.2">
      <c r="B18" s="5"/>
      <c r="C18" s="5">
        <v>4.0999999999999996</v>
      </c>
      <c r="D18" s="6" t="s">
        <v>26</v>
      </c>
      <c r="E18" s="6"/>
      <c r="F18" s="7">
        <v>3</v>
      </c>
      <c r="G18" s="7">
        <v>1</v>
      </c>
      <c r="H18" s="7"/>
      <c r="I18" s="18"/>
      <c r="J18" s="22">
        <f t="shared" si="0"/>
        <v>4</v>
      </c>
      <c r="L18" s="24"/>
    </row>
    <row r="19" spans="2:12" x14ac:dyDescent="0.2">
      <c r="B19" s="5"/>
      <c r="C19" s="5">
        <v>4.2</v>
      </c>
      <c r="D19" s="6" t="s">
        <v>27</v>
      </c>
      <c r="E19" s="6"/>
      <c r="F19" s="7">
        <v>3</v>
      </c>
      <c r="G19" s="7">
        <v>1</v>
      </c>
      <c r="H19" s="7"/>
      <c r="I19" s="18"/>
      <c r="J19" s="22">
        <f t="shared" si="0"/>
        <v>4</v>
      </c>
      <c r="L19" s="24"/>
    </row>
    <row r="20" spans="2:12" x14ac:dyDescent="0.2">
      <c r="B20" s="5">
        <v>5</v>
      </c>
      <c r="C20" s="5" t="s">
        <v>2</v>
      </c>
      <c r="D20" s="6"/>
      <c r="E20" s="6"/>
      <c r="F20" s="7"/>
      <c r="G20" s="7"/>
      <c r="H20" s="7"/>
      <c r="I20" s="18"/>
      <c r="J20" s="22"/>
      <c r="L20" s="24" t="s">
        <v>101</v>
      </c>
    </row>
    <row r="21" spans="2:12" x14ac:dyDescent="0.2">
      <c r="B21" s="5"/>
      <c r="C21" s="5">
        <v>5.0999999999999996</v>
      </c>
      <c r="D21" s="6" t="s">
        <v>28</v>
      </c>
      <c r="E21" s="6"/>
      <c r="F21" s="7">
        <v>16</v>
      </c>
      <c r="G21" s="7">
        <v>1</v>
      </c>
      <c r="H21" s="7"/>
      <c r="I21" s="18"/>
      <c r="J21" s="22">
        <f t="shared" si="0"/>
        <v>17</v>
      </c>
      <c r="L21" s="24"/>
    </row>
    <row r="22" spans="2:12" x14ac:dyDescent="0.2">
      <c r="B22" s="5"/>
      <c r="C22" s="5">
        <v>5.2</v>
      </c>
      <c r="D22" s="6" t="s">
        <v>29</v>
      </c>
      <c r="E22" s="6"/>
      <c r="F22" s="7">
        <v>3</v>
      </c>
      <c r="G22" s="7"/>
      <c r="H22" s="7">
        <v>1</v>
      </c>
      <c r="I22" s="18"/>
      <c r="J22" s="22">
        <f t="shared" si="0"/>
        <v>4</v>
      </c>
      <c r="L22" s="24"/>
    </row>
    <row r="23" spans="2:12" x14ac:dyDescent="0.2">
      <c r="B23" s="5"/>
      <c r="C23" s="5">
        <v>5.3</v>
      </c>
      <c r="D23" s="6" t="s">
        <v>40</v>
      </c>
      <c r="E23" s="6"/>
      <c r="F23" s="7">
        <v>6</v>
      </c>
      <c r="G23" s="7"/>
      <c r="H23" s="7"/>
      <c r="I23" s="18"/>
      <c r="J23" s="22">
        <f t="shared" si="0"/>
        <v>6</v>
      </c>
      <c r="L23" s="24"/>
    </row>
    <row r="24" spans="2:12" x14ac:dyDescent="0.2">
      <c r="B24" s="5"/>
      <c r="C24" s="5">
        <v>5.4</v>
      </c>
      <c r="D24" s="6" t="s">
        <v>30</v>
      </c>
      <c r="E24" s="6"/>
      <c r="F24" s="7">
        <v>4</v>
      </c>
      <c r="G24" s="7"/>
      <c r="H24" s="7"/>
      <c r="I24" s="18"/>
      <c r="J24" s="22">
        <f t="shared" si="0"/>
        <v>4</v>
      </c>
      <c r="L24" s="24"/>
    </row>
    <row r="25" spans="2:12" x14ac:dyDescent="0.2">
      <c r="B25" s="5"/>
      <c r="C25" s="5">
        <v>5.5</v>
      </c>
      <c r="D25" s="6" t="s">
        <v>31</v>
      </c>
      <c r="E25" s="6"/>
      <c r="F25" s="7">
        <v>4</v>
      </c>
      <c r="G25" s="7"/>
      <c r="H25" s="7"/>
      <c r="I25" s="18"/>
      <c r="J25" s="22">
        <f t="shared" si="0"/>
        <v>4</v>
      </c>
      <c r="L25" s="24"/>
    </row>
    <row r="26" spans="2:12" x14ac:dyDescent="0.2">
      <c r="B26" s="5">
        <v>6</v>
      </c>
      <c r="C26" s="5" t="s">
        <v>3</v>
      </c>
      <c r="D26" s="6"/>
      <c r="E26" s="6"/>
      <c r="F26" s="7"/>
      <c r="G26" s="7"/>
      <c r="H26" s="7"/>
      <c r="I26" s="18"/>
      <c r="J26" s="22"/>
      <c r="L26" s="24" t="s">
        <v>102</v>
      </c>
    </row>
    <row r="27" spans="2:12" x14ac:dyDescent="0.2">
      <c r="B27" s="5"/>
      <c r="C27" s="5">
        <v>6.1</v>
      </c>
      <c r="D27" s="6" t="s">
        <v>32</v>
      </c>
      <c r="E27" s="6"/>
      <c r="F27" s="7">
        <v>8</v>
      </c>
      <c r="G27" s="7"/>
      <c r="H27" s="7"/>
      <c r="I27" s="18"/>
      <c r="J27" s="22">
        <f t="shared" si="0"/>
        <v>8</v>
      </c>
      <c r="L27" s="24"/>
    </row>
    <row r="28" spans="2:12" x14ac:dyDescent="0.2">
      <c r="B28" s="5"/>
      <c r="C28" s="5">
        <v>6.2</v>
      </c>
      <c r="D28" s="6" t="s">
        <v>33</v>
      </c>
      <c r="E28" s="6"/>
      <c r="F28" s="7">
        <v>2</v>
      </c>
      <c r="G28" s="7"/>
      <c r="H28" s="7"/>
      <c r="I28" s="18"/>
      <c r="J28" s="22">
        <f t="shared" si="0"/>
        <v>2</v>
      </c>
      <c r="L28" s="24"/>
    </row>
    <row r="29" spans="2:12" x14ac:dyDescent="0.2">
      <c r="B29" s="5"/>
      <c r="C29" s="5">
        <v>6.3</v>
      </c>
      <c r="D29" s="6" t="s">
        <v>34</v>
      </c>
      <c r="E29" s="6"/>
      <c r="F29" s="7">
        <v>2</v>
      </c>
      <c r="G29" s="7"/>
      <c r="H29" s="7"/>
      <c r="I29" s="18"/>
      <c r="J29" s="22">
        <f t="shared" si="0"/>
        <v>2</v>
      </c>
      <c r="L29" s="24"/>
    </row>
    <row r="30" spans="2:12" x14ac:dyDescent="0.2">
      <c r="B30" s="5"/>
      <c r="C30" s="5">
        <v>6.4</v>
      </c>
      <c r="D30" s="6" t="s">
        <v>35</v>
      </c>
      <c r="E30" s="6"/>
      <c r="F30" s="7">
        <v>3</v>
      </c>
      <c r="G30" s="7"/>
      <c r="H30" s="7"/>
      <c r="I30" s="19">
        <v>1</v>
      </c>
      <c r="J30" s="22">
        <f t="shared" si="0"/>
        <v>4</v>
      </c>
      <c r="L30" s="24"/>
    </row>
    <row r="31" spans="2:12" x14ac:dyDescent="0.2">
      <c r="B31" s="5">
        <v>7</v>
      </c>
      <c r="C31" s="5" t="s">
        <v>4</v>
      </c>
      <c r="D31" s="6"/>
      <c r="E31" s="6"/>
      <c r="F31" s="7"/>
      <c r="G31" s="7"/>
      <c r="H31" s="7"/>
      <c r="I31" s="18"/>
      <c r="J31" s="22"/>
      <c r="L31" s="26" t="s">
        <v>103</v>
      </c>
    </row>
    <row r="32" spans="2:12" x14ac:dyDescent="0.2">
      <c r="B32" s="5"/>
      <c r="C32" s="5">
        <v>7.1</v>
      </c>
      <c r="D32" s="6" t="s">
        <v>41</v>
      </c>
      <c r="E32" s="6"/>
      <c r="F32" s="7">
        <v>7</v>
      </c>
      <c r="G32" s="7"/>
      <c r="H32" s="7"/>
      <c r="I32" s="18"/>
      <c r="J32" s="22">
        <f t="shared" si="0"/>
        <v>7</v>
      </c>
      <c r="L32" s="24"/>
    </row>
    <row r="33" spans="1:12" x14ac:dyDescent="0.2">
      <c r="B33" s="5">
        <v>8</v>
      </c>
      <c r="C33" s="5" t="s">
        <v>5</v>
      </c>
      <c r="D33" s="6"/>
      <c r="E33" s="6"/>
      <c r="F33" s="7"/>
      <c r="G33" s="7"/>
      <c r="H33" s="7"/>
      <c r="I33" s="18"/>
      <c r="J33" s="22"/>
      <c r="L33" s="26" t="s">
        <v>104</v>
      </c>
    </row>
    <row r="34" spans="1:12" x14ac:dyDescent="0.2">
      <c r="B34" s="5"/>
      <c r="C34" s="5">
        <v>8.1</v>
      </c>
      <c r="D34" s="6" t="s">
        <v>42</v>
      </c>
      <c r="E34" s="6"/>
      <c r="F34" s="7">
        <v>1</v>
      </c>
      <c r="G34" s="7"/>
      <c r="H34" s="7">
        <v>4</v>
      </c>
      <c r="I34" s="18"/>
      <c r="J34" s="22">
        <f t="shared" si="0"/>
        <v>5</v>
      </c>
      <c r="L34" s="24"/>
    </row>
    <row r="35" spans="1:12" x14ac:dyDescent="0.2">
      <c r="B35" s="5"/>
      <c r="C35" s="5">
        <v>8.1999999999999993</v>
      </c>
      <c r="D35" s="6" t="s">
        <v>43</v>
      </c>
      <c r="E35" s="6"/>
      <c r="F35" s="7">
        <v>7</v>
      </c>
      <c r="G35" s="7"/>
      <c r="H35" s="7">
        <v>1</v>
      </c>
      <c r="I35" s="18"/>
      <c r="J35" s="22">
        <f t="shared" si="0"/>
        <v>8</v>
      </c>
      <c r="L35" s="24"/>
    </row>
    <row r="36" spans="1:12" ht="16" thickBot="1" x14ac:dyDescent="0.25">
      <c r="B36" s="11"/>
      <c r="C36" s="11">
        <v>8.3000000000000007</v>
      </c>
      <c r="D36" s="12" t="s">
        <v>44</v>
      </c>
      <c r="E36" s="6"/>
      <c r="F36" s="7">
        <v>3</v>
      </c>
      <c r="G36" s="7"/>
      <c r="H36" s="7"/>
      <c r="I36" s="18"/>
      <c r="J36" s="22">
        <f t="shared" si="0"/>
        <v>3</v>
      </c>
      <c r="L36" s="24"/>
    </row>
    <row r="37" spans="1:12" ht="16" thickBot="1" x14ac:dyDescent="0.25">
      <c r="A37" s="28" t="s">
        <v>46</v>
      </c>
      <c r="B37" s="29"/>
      <c r="C37" s="29"/>
      <c r="D37" s="30"/>
      <c r="J37" s="21"/>
      <c r="L37" s="24"/>
    </row>
    <row r="38" spans="1:12" x14ac:dyDescent="0.2">
      <c r="B38" s="13">
        <v>9</v>
      </c>
      <c r="C38" s="13" t="s">
        <v>6</v>
      </c>
      <c r="D38" s="14"/>
      <c r="E38" s="6"/>
      <c r="F38" s="7"/>
      <c r="G38" s="7"/>
      <c r="H38" s="7"/>
      <c r="I38" s="18"/>
      <c r="J38" s="22">
        <f t="shared" si="0"/>
        <v>0</v>
      </c>
      <c r="L38" s="24" t="s">
        <v>105</v>
      </c>
    </row>
    <row r="39" spans="1:12" x14ac:dyDescent="0.2">
      <c r="B39" s="5"/>
      <c r="C39" s="5">
        <v>9.1</v>
      </c>
      <c r="D39" s="6" t="s">
        <v>47</v>
      </c>
      <c r="E39" s="6"/>
      <c r="F39" s="7">
        <v>6</v>
      </c>
      <c r="G39" s="7">
        <v>5</v>
      </c>
      <c r="H39" s="7"/>
      <c r="I39" s="18"/>
      <c r="J39" s="22">
        <f t="shared" si="0"/>
        <v>11</v>
      </c>
      <c r="L39" s="24"/>
    </row>
    <row r="40" spans="1:12" x14ac:dyDescent="0.2">
      <c r="B40" s="5"/>
      <c r="C40" s="5">
        <v>9.1999999999999993</v>
      </c>
      <c r="D40" s="6" t="s">
        <v>48</v>
      </c>
      <c r="E40" s="6"/>
      <c r="F40" s="7">
        <v>7</v>
      </c>
      <c r="G40" s="7">
        <v>1</v>
      </c>
      <c r="H40" s="7"/>
      <c r="I40" s="18"/>
      <c r="J40" s="22">
        <f t="shared" si="0"/>
        <v>8</v>
      </c>
      <c r="L40" s="24"/>
    </row>
    <row r="41" spans="1:12" x14ac:dyDescent="0.2">
      <c r="B41" s="5"/>
      <c r="C41" s="5">
        <v>9.3000000000000007</v>
      </c>
      <c r="D41" s="6" t="s">
        <v>49</v>
      </c>
      <c r="E41" s="6"/>
      <c r="F41" s="7">
        <v>3</v>
      </c>
      <c r="G41" s="7"/>
      <c r="H41" s="7"/>
      <c r="I41" s="18"/>
      <c r="J41" s="22">
        <f t="shared" si="0"/>
        <v>3</v>
      </c>
      <c r="L41" s="24"/>
    </row>
    <row r="42" spans="1:12" x14ac:dyDescent="0.2">
      <c r="B42" s="5">
        <v>10</v>
      </c>
      <c r="C42" s="5" t="s">
        <v>7</v>
      </c>
      <c r="D42" s="6"/>
      <c r="E42" s="6"/>
      <c r="F42" s="7"/>
      <c r="G42" s="7"/>
      <c r="H42" s="7"/>
      <c r="I42" s="18"/>
      <c r="J42" s="22"/>
      <c r="L42" s="26" t="s">
        <v>106</v>
      </c>
    </row>
    <row r="43" spans="1:12" x14ac:dyDescent="0.2">
      <c r="B43" s="5"/>
      <c r="C43" s="10">
        <v>10.1</v>
      </c>
      <c r="D43" s="6" t="s">
        <v>50</v>
      </c>
      <c r="E43" s="6"/>
      <c r="F43" s="7">
        <v>4</v>
      </c>
      <c r="G43" s="7"/>
      <c r="H43" s="7"/>
      <c r="I43" s="18"/>
      <c r="J43" s="22">
        <f t="shared" si="0"/>
        <v>4</v>
      </c>
      <c r="L43" s="24"/>
    </row>
    <row r="44" spans="1:12" x14ac:dyDescent="0.2">
      <c r="B44" s="5"/>
      <c r="C44" s="10">
        <v>10.199999999999999</v>
      </c>
      <c r="D44" s="6" t="s">
        <v>51</v>
      </c>
      <c r="E44" s="6"/>
      <c r="F44" s="7">
        <v>6</v>
      </c>
      <c r="G44" s="7"/>
      <c r="H44" s="7">
        <v>1</v>
      </c>
      <c r="I44" s="18"/>
      <c r="J44" s="22">
        <f t="shared" si="0"/>
        <v>7</v>
      </c>
      <c r="L44" s="24"/>
    </row>
    <row r="45" spans="1:12" x14ac:dyDescent="0.2">
      <c r="B45" s="5"/>
      <c r="C45" s="10">
        <v>10.3</v>
      </c>
      <c r="D45" s="6" t="s">
        <v>52</v>
      </c>
      <c r="E45" s="6"/>
      <c r="F45" s="7">
        <v>6</v>
      </c>
      <c r="G45" s="7"/>
      <c r="H45" s="7">
        <v>1</v>
      </c>
      <c r="I45" s="18"/>
      <c r="J45" s="22">
        <f t="shared" si="0"/>
        <v>7</v>
      </c>
      <c r="L45" s="24"/>
    </row>
    <row r="46" spans="1:12" x14ac:dyDescent="0.2">
      <c r="B46" s="5"/>
      <c r="C46" s="10">
        <v>10.4</v>
      </c>
      <c r="D46" s="6" t="s">
        <v>53</v>
      </c>
      <c r="E46" s="6"/>
      <c r="F46" s="7">
        <v>11</v>
      </c>
      <c r="G46" s="7"/>
      <c r="H46" s="7"/>
      <c r="I46" s="18"/>
      <c r="J46" s="22">
        <f t="shared" si="0"/>
        <v>11</v>
      </c>
      <c r="L46" s="24"/>
    </row>
    <row r="47" spans="1:12" x14ac:dyDescent="0.2">
      <c r="B47" s="5"/>
      <c r="C47" s="10">
        <v>10.5</v>
      </c>
      <c r="D47" s="6" t="s">
        <v>54</v>
      </c>
      <c r="E47" s="6"/>
      <c r="F47" s="7">
        <v>2</v>
      </c>
      <c r="G47" s="7"/>
      <c r="H47" s="7">
        <v>4</v>
      </c>
      <c r="I47" s="18"/>
      <c r="J47" s="22">
        <f t="shared" si="0"/>
        <v>6</v>
      </c>
      <c r="L47" s="24"/>
    </row>
    <row r="48" spans="1:12" x14ac:dyDescent="0.2">
      <c r="B48" s="5"/>
      <c r="C48" s="10">
        <v>10.6</v>
      </c>
      <c r="D48" s="6" t="s">
        <v>55</v>
      </c>
      <c r="E48" s="6"/>
      <c r="F48" s="7">
        <v>1</v>
      </c>
      <c r="G48" s="7"/>
      <c r="H48" s="7"/>
      <c r="I48" s="18"/>
      <c r="J48" s="22">
        <f t="shared" si="0"/>
        <v>1</v>
      </c>
      <c r="L48" s="24"/>
    </row>
    <row r="49" spans="1:12" x14ac:dyDescent="0.2">
      <c r="B49" s="5">
        <v>11</v>
      </c>
      <c r="C49" s="5" t="s">
        <v>8</v>
      </c>
      <c r="D49" s="6"/>
      <c r="E49" s="6"/>
      <c r="F49" s="7"/>
      <c r="G49" s="7"/>
      <c r="H49" s="7"/>
      <c r="I49" s="18"/>
      <c r="J49" s="22"/>
      <c r="L49" s="26" t="s">
        <v>107</v>
      </c>
    </row>
    <row r="50" spans="1:12" x14ac:dyDescent="0.2">
      <c r="B50" s="5"/>
      <c r="C50" s="10">
        <v>11.1</v>
      </c>
      <c r="D50" s="6" t="s">
        <v>56</v>
      </c>
      <c r="E50" s="6"/>
      <c r="F50" s="7">
        <v>10</v>
      </c>
      <c r="G50" s="7"/>
      <c r="H50" s="7"/>
      <c r="I50" s="18"/>
      <c r="J50" s="22">
        <f t="shared" si="0"/>
        <v>10</v>
      </c>
      <c r="L50" s="24"/>
    </row>
    <row r="51" spans="1:12" x14ac:dyDescent="0.2">
      <c r="B51" s="5"/>
      <c r="C51" s="10">
        <v>11.2</v>
      </c>
      <c r="D51" s="6" t="s">
        <v>57</v>
      </c>
      <c r="E51" s="6"/>
      <c r="F51" s="7">
        <v>5</v>
      </c>
      <c r="G51" s="7"/>
      <c r="H51" s="7">
        <v>1</v>
      </c>
      <c r="I51" s="18"/>
      <c r="J51" s="22">
        <f t="shared" si="0"/>
        <v>6</v>
      </c>
      <c r="L51" s="24"/>
    </row>
    <row r="52" spans="1:12" x14ac:dyDescent="0.2">
      <c r="B52" s="5"/>
      <c r="C52" s="10">
        <v>11.3</v>
      </c>
      <c r="D52" s="6" t="s">
        <v>58</v>
      </c>
      <c r="E52" s="6"/>
      <c r="F52" s="7">
        <v>5</v>
      </c>
      <c r="G52" s="7"/>
      <c r="H52" s="7">
        <v>2</v>
      </c>
      <c r="I52" s="18"/>
      <c r="J52" s="22">
        <f t="shared" si="0"/>
        <v>7</v>
      </c>
      <c r="L52" s="24"/>
    </row>
    <row r="53" spans="1:12" x14ac:dyDescent="0.2">
      <c r="B53" s="5">
        <v>12</v>
      </c>
      <c r="C53" s="5" t="s">
        <v>9</v>
      </c>
      <c r="D53" s="6"/>
      <c r="E53" s="6"/>
      <c r="F53" s="7"/>
      <c r="G53" s="7"/>
      <c r="H53" s="7"/>
      <c r="I53" s="18"/>
      <c r="J53" s="22">
        <f t="shared" si="0"/>
        <v>0</v>
      </c>
      <c r="L53" s="24" t="s">
        <v>62</v>
      </c>
    </row>
    <row r="54" spans="1:12" x14ac:dyDescent="0.2">
      <c r="B54" s="5"/>
      <c r="C54" s="5">
        <v>12.1</v>
      </c>
      <c r="D54" s="6" t="s">
        <v>59</v>
      </c>
      <c r="E54" s="6"/>
      <c r="F54" s="7">
        <v>4</v>
      </c>
      <c r="G54" s="7"/>
      <c r="H54" s="7">
        <v>4</v>
      </c>
      <c r="I54" s="18"/>
      <c r="J54" s="22">
        <f t="shared" si="0"/>
        <v>8</v>
      </c>
      <c r="L54" s="24"/>
    </row>
    <row r="55" spans="1:12" x14ac:dyDescent="0.2">
      <c r="B55" s="5"/>
      <c r="C55" s="5">
        <v>12.2</v>
      </c>
      <c r="D55" s="6" t="s">
        <v>60</v>
      </c>
      <c r="E55" s="6"/>
      <c r="F55" s="7">
        <v>3</v>
      </c>
      <c r="G55" s="7"/>
      <c r="H55" s="7"/>
      <c r="I55" s="18"/>
      <c r="J55" s="22">
        <f t="shared" si="0"/>
        <v>3</v>
      </c>
      <c r="L55" s="24"/>
    </row>
    <row r="56" spans="1:12" x14ac:dyDescent="0.2">
      <c r="B56" s="5"/>
      <c r="C56" s="5">
        <v>12.3</v>
      </c>
      <c r="D56" s="6" t="s">
        <v>61</v>
      </c>
      <c r="E56" s="6"/>
      <c r="F56" s="7">
        <v>3</v>
      </c>
      <c r="G56" s="7"/>
      <c r="H56" s="7"/>
      <c r="I56" s="18"/>
      <c r="J56" s="22">
        <f t="shared" si="0"/>
        <v>3</v>
      </c>
      <c r="L56" s="24"/>
    </row>
    <row r="57" spans="1:12" x14ac:dyDescent="0.2">
      <c r="B57" s="5"/>
      <c r="C57" s="5">
        <v>12.4</v>
      </c>
      <c r="D57" s="6" t="s">
        <v>62</v>
      </c>
      <c r="E57" s="6"/>
      <c r="F57" s="7">
        <v>8</v>
      </c>
      <c r="G57" s="7"/>
      <c r="H57" s="7"/>
      <c r="I57" s="18"/>
      <c r="J57" s="22">
        <f t="shared" si="0"/>
        <v>8</v>
      </c>
      <c r="L57" s="24"/>
    </row>
    <row r="58" spans="1:12" x14ac:dyDescent="0.2">
      <c r="B58" s="5">
        <v>13</v>
      </c>
      <c r="C58" s="5" t="s">
        <v>10</v>
      </c>
      <c r="D58" s="6"/>
      <c r="E58" s="6"/>
      <c r="F58" s="7"/>
      <c r="G58" s="7"/>
      <c r="H58" s="7"/>
      <c r="I58" s="18"/>
      <c r="J58" s="22"/>
      <c r="L58" s="24" t="s">
        <v>108</v>
      </c>
    </row>
    <row r="59" spans="1:12" x14ac:dyDescent="0.2">
      <c r="B59" s="5"/>
      <c r="C59" s="5">
        <v>13.1</v>
      </c>
      <c r="D59" s="6" t="s">
        <v>63</v>
      </c>
      <c r="E59" s="6"/>
      <c r="F59" s="7">
        <v>4</v>
      </c>
      <c r="G59" s="7"/>
      <c r="H59" s="7">
        <v>1</v>
      </c>
      <c r="I59" s="18"/>
      <c r="J59" s="22">
        <f t="shared" si="0"/>
        <v>5</v>
      </c>
      <c r="L59" s="24"/>
    </row>
    <row r="60" spans="1:12" x14ac:dyDescent="0.2">
      <c r="B60" s="5">
        <v>14</v>
      </c>
      <c r="C60" s="5" t="s">
        <v>64</v>
      </c>
      <c r="D60" s="6"/>
      <c r="E60" s="6"/>
      <c r="F60" s="7"/>
      <c r="G60" s="7"/>
      <c r="H60" s="7"/>
      <c r="I60" s="18"/>
      <c r="J60" s="22">
        <f t="shared" si="0"/>
        <v>0</v>
      </c>
      <c r="L60" s="24" t="s">
        <v>109</v>
      </c>
    </row>
    <row r="61" spans="1:12" x14ac:dyDescent="0.2">
      <c r="B61" s="5"/>
      <c r="C61" s="5">
        <v>14.1</v>
      </c>
      <c r="D61" s="6" t="s">
        <v>65</v>
      </c>
      <c r="E61" s="6"/>
      <c r="F61" s="7">
        <v>8</v>
      </c>
      <c r="G61" s="7"/>
      <c r="H61" s="7"/>
      <c r="I61" s="18"/>
      <c r="J61" s="22">
        <f t="shared" si="0"/>
        <v>8</v>
      </c>
      <c r="L61" s="24"/>
    </row>
    <row r="62" spans="1:12" x14ac:dyDescent="0.2">
      <c r="B62" s="5"/>
      <c r="C62" s="5">
        <v>14.2</v>
      </c>
      <c r="D62" s="6" t="s">
        <v>66</v>
      </c>
      <c r="E62" s="6"/>
      <c r="F62" s="7">
        <v>5</v>
      </c>
      <c r="G62" s="7"/>
      <c r="H62" s="7"/>
      <c r="I62" s="18"/>
      <c r="J62" s="22">
        <f t="shared" si="0"/>
        <v>5</v>
      </c>
      <c r="L62" s="24"/>
    </row>
    <row r="63" spans="1:12" ht="16" thickBot="1" x14ac:dyDescent="0.25">
      <c r="B63" s="11"/>
      <c r="C63" s="11">
        <v>14.3</v>
      </c>
      <c r="D63" s="12" t="s">
        <v>67</v>
      </c>
      <c r="E63" s="6"/>
      <c r="F63" s="7">
        <v>2</v>
      </c>
      <c r="G63" s="7"/>
      <c r="H63" s="7">
        <v>9</v>
      </c>
      <c r="I63" s="18"/>
      <c r="J63" s="22">
        <f t="shared" si="0"/>
        <v>11</v>
      </c>
      <c r="L63" s="24"/>
    </row>
    <row r="64" spans="1:12" ht="16" thickBot="1" x14ac:dyDescent="0.25">
      <c r="A64" s="28" t="s">
        <v>69</v>
      </c>
      <c r="B64" s="29"/>
      <c r="C64" s="29"/>
      <c r="D64" s="30"/>
      <c r="J64" s="21"/>
      <c r="L64" s="24"/>
    </row>
    <row r="65" spans="1:12" x14ac:dyDescent="0.2">
      <c r="A65" s="4"/>
      <c r="B65" s="13">
        <v>15</v>
      </c>
      <c r="C65" s="13" t="s">
        <v>76</v>
      </c>
      <c r="D65" s="14"/>
      <c r="E65" s="6"/>
      <c r="F65" s="7"/>
      <c r="G65" s="7"/>
      <c r="H65" s="7"/>
      <c r="I65" s="18"/>
      <c r="J65" s="22"/>
      <c r="L65" s="24" t="s">
        <v>76</v>
      </c>
    </row>
    <row r="66" spans="1:12" x14ac:dyDescent="0.2">
      <c r="A66" s="4"/>
      <c r="B66" s="5"/>
      <c r="C66" s="5">
        <v>15.1</v>
      </c>
      <c r="D66" s="6" t="s">
        <v>77</v>
      </c>
      <c r="E66" s="6"/>
      <c r="F66" s="7">
        <v>4</v>
      </c>
      <c r="G66" s="7"/>
      <c r="H66" s="7">
        <v>1</v>
      </c>
      <c r="I66" s="18"/>
      <c r="J66" s="22">
        <f t="shared" si="0"/>
        <v>5</v>
      </c>
      <c r="L66" s="24"/>
    </row>
    <row r="67" spans="1:12" x14ac:dyDescent="0.2">
      <c r="B67" s="5">
        <v>16</v>
      </c>
      <c r="C67" s="5" t="s">
        <v>11</v>
      </c>
      <c r="D67" s="6"/>
      <c r="E67" s="6"/>
      <c r="F67" s="7"/>
      <c r="G67" s="7"/>
      <c r="H67" s="7"/>
      <c r="I67" s="18"/>
      <c r="J67" s="22"/>
      <c r="L67" s="24" t="s">
        <v>78</v>
      </c>
    </row>
    <row r="68" spans="1:12" x14ac:dyDescent="0.2">
      <c r="B68" s="5"/>
      <c r="C68" s="5">
        <v>16.100000000000001</v>
      </c>
      <c r="D68" s="6" t="s">
        <v>78</v>
      </c>
      <c r="E68" s="6"/>
      <c r="F68" s="7">
        <v>11</v>
      </c>
      <c r="G68" s="7"/>
      <c r="H68" s="7"/>
      <c r="I68" s="18"/>
      <c r="J68" s="22">
        <f t="shared" si="0"/>
        <v>11</v>
      </c>
      <c r="L68" s="24"/>
    </row>
    <row r="69" spans="1:12" x14ac:dyDescent="0.2">
      <c r="B69" s="5"/>
      <c r="C69" s="5">
        <v>16.2</v>
      </c>
      <c r="D69" s="6" t="s">
        <v>79</v>
      </c>
      <c r="E69" s="6"/>
      <c r="F69" s="7">
        <v>4</v>
      </c>
      <c r="G69" s="7"/>
      <c r="H69" s="7">
        <v>2</v>
      </c>
      <c r="I69" s="18"/>
      <c r="J69" s="22">
        <f t="shared" si="0"/>
        <v>6</v>
      </c>
      <c r="L69" s="24"/>
    </row>
    <row r="70" spans="1:12" x14ac:dyDescent="0.2">
      <c r="B70" s="5"/>
      <c r="C70" s="5">
        <v>16.3</v>
      </c>
      <c r="D70" s="6" t="s">
        <v>80</v>
      </c>
      <c r="E70" s="6"/>
      <c r="F70" s="7"/>
      <c r="G70" s="7"/>
      <c r="H70" s="7">
        <v>8</v>
      </c>
      <c r="I70" s="18"/>
      <c r="J70" s="22">
        <f t="shared" si="0"/>
        <v>8</v>
      </c>
      <c r="L70" s="24"/>
    </row>
    <row r="71" spans="1:12" x14ac:dyDescent="0.2">
      <c r="B71" s="5">
        <v>17</v>
      </c>
      <c r="C71" s="5" t="s">
        <v>12</v>
      </c>
      <c r="D71" s="6"/>
      <c r="E71" s="6"/>
      <c r="F71" s="7"/>
      <c r="G71" s="7"/>
      <c r="H71" s="7"/>
      <c r="I71" s="18"/>
      <c r="J71" s="22"/>
      <c r="L71" s="24" t="s">
        <v>110</v>
      </c>
    </row>
    <row r="72" spans="1:12" x14ac:dyDescent="0.2">
      <c r="B72" s="5"/>
      <c r="C72" s="5">
        <v>17.100000000000001</v>
      </c>
      <c r="D72" s="6" t="s">
        <v>81</v>
      </c>
      <c r="E72" s="6"/>
      <c r="F72" s="7">
        <v>7</v>
      </c>
      <c r="G72" s="7"/>
      <c r="H72" s="7"/>
      <c r="I72" s="18"/>
      <c r="J72" s="22">
        <f t="shared" si="0"/>
        <v>7</v>
      </c>
      <c r="L72" s="24"/>
    </row>
    <row r="73" spans="1:12" x14ac:dyDescent="0.2">
      <c r="B73" s="5"/>
      <c r="C73" s="5">
        <v>17.2</v>
      </c>
      <c r="D73" s="6" t="s">
        <v>83</v>
      </c>
      <c r="E73" s="6"/>
      <c r="F73" s="7"/>
      <c r="G73" s="7"/>
      <c r="H73" s="7">
        <v>5</v>
      </c>
      <c r="I73" s="18"/>
      <c r="J73" s="22">
        <f t="shared" si="0"/>
        <v>5</v>
      </c>
      <c r="L73" s="24"/>
    </row>
    <row r="74" spans="1:12" x14ac:dyDescent="0.2">
      <c r="B74" s="5"/>
      <c r="C74" s="5">
        <v>17.3</v>
      </c>
      <c r="D74" s="6" t="s">
        <v>82</v>
      </c>
      <c r="E74" s="6"/>
      <c r="F74" s="7"/>
      <c r="G74" s="7"/>
      <c r="H74" s="7">
        <v>5</v>
      </c>
      <c r="I74" s="18"/>
      <c r="J74" s="22">
        <f t="shared" si="0"/>
        <v>5</v>
      </c>
      <c r="L74" s="24"/>
    </row>
    <row r="75" spans="1:12" x14ac:dyDescent="0.2">
      <c r="B75" s="5">
        <v>18</v>
      </c>
      <c r="C75" s="5" t="s">
        <v>13</v>
      </c>
      <c r="D75" s="6"/>
      <c r="E75" s="6"/>
      <c r="F75" s="7"/>
      <c r="G75" s="7"/>
      <c r="H75" s="7"/>
      <c r="I75" s="18"/>
      <c r="J75" s="22"/>
      <c r="L75" s="24" t="s">
        <v>111</v>
      </c>
    </row>
    <row r="76" spans="1:12" x14ac:dyDescent="0.2">
      <c r="B76" s="5"/>
      <c r="C76" s="5">
        <v>18.100000000000001</v>
      </c>
      <c r="D76" s="6" t="s">
        <v>84</v>
      </c>
      <c r="E76" s="6"/>
      <c r="F76" s="7">
        <v>6</v>
      </c>
      <c r="G76" s="7"/>
      <c r="H76" s="7">
        <v>5</v>
      </c>
      <c r="I76" s="18"/>
      <c r="J76" s="22">
        <f t="shared" si="0"/>
        <v>11</v>
      </c>
      <c r="L76" s="24"/>
    </row>
    <row r="77" spans="1:12" x14ac:dyDescent="0.2">
      <c r="B77" s="5">
        <v>19</v>
      </c>
      <c r="C77" s="5" t="s">
        <v>14</v>
      </c>
      <c r="D77" s="6"/>
      <c r="E77" s="6"/>
      <c r="F77" s="7"/>
      <c r="G77" s="7"/>
      <c r="H77" s="7"/>
      <c r="I77" s="18"/>
      <c r="J77" s="22"/>
      <c r="L77" s="24" t="s">
        <v>112</v>
      </c>
    </row>
    <row r="78" spans="1:12" ht="16" thickBot="1" x14ac:dyDescent="0.25">
      <c r="B78" s="11"/>
      <c r="C78" s="11">
        <v>19.100000000000001</v>
      </c>
      <c r="D78" s="12" t="s">
        <v>85</v>
      </c>
      <c r="E78" s="6"/>
      <c r="F78" s="7"/>
      <c r="G78" s="7"/>
      <c r="H78" s="7">
        <v>4</v>
      </c>
      <c r="I78" s="18"/>
      <c r="J78" s="22">
        <f t="shared" si="0"/>
        <v>4</v>
      </c>
      <c r="L78" s="25"/>
    </row>
    <row r="79" spans="1:12" ht="16" thickBot="1" x14ac:dyDescent="0.25">
      <c r="A79" s="28" t="s">
        <v>86</v>
      </c>
      <c r="B79" s="29"/>
      <c r="C79" s="29"/>
      <c r="D79" s="30"/>
      <c r="J79" s="21"/>
    </row>
    <row r="80" spans="1:12" x14ac:dyDescent="0.2">
      <c r="B80" s="13">
        <v>20</v>
      </c>
      <c r="C80" s="13" t="s">
        <v>87</v>
      </c>
      <c r="D80" s="14"/>
      <c r="E80" s="6"/>
      <c r="F80" s="7"/>
      <c r="G80" s="7"/>
      <c r="H80" s="7"/>
      <c r="I80" s="18"/>
      <c r="J80" s="22"/>
    </row>
    <row r="81" spans="1:10" x14ac:dyDescent="0.2">
      <c r="B81" s="5"/>
      <c r="C81" s="5">
        <v>20.100000000000001</v>
      </c>
      <c r="D81" s="6" t="s">
        <v>90</v>
      </c>
      <c r="E81" s="6"/>
      <c r="F81" s="7">
        <v>4</v>
      </c>
      <c r="G81" s="7"/>
      <c r="H81" s="7"/>
      <c r="I81" s="18"/>
      <c r="J81" s="22">
        <f t="shared" si="0"/>
        <v>4</v>
      </c>
    </row>
    <row r="82" spans="1:10" x14ac:dyDescent="0.2">
      <c r="B82" s="5"/>
      <c r="C82" s="5">
        <v>20.2</v>
      </c>
      <c r="D82" s="6" t="s">
        <v>91</v>
      </c>
      <c r="E82" s="6"/>
      <c r="F82" s="7">
        <v>4</v>
      </c>
      <c r="G82" s="7"/>
      <c r="H82" s="7"/>
      <c r="I82" s="18"/>
      <c r="J82" s="22">
        <f t="shared" si="0"/>
        <v>4</v>
      </c>
    </row>
    <row r="83" spans="1:10" x14ac:dyDescent="0.2">
      <c r="B83" s="5">
        <v>21</v>
      </c>
      <c r="C83" s="5" t="s">
        <v>15</v>
      </c>
      <c r="D83" s="6"/>
      <c r="E83" s="6"/>
      <c r="F83" s="7"/>
      <c r="G83" s="7"/>
      <c r="H83" s="7"/>
      <c r="I83" s="18"/>
      <c r="J83" s="22"/>
    </row>
    <row r="84" spans="1:10" x14ac:dyDescent="0.2">
      <c r="B84" s="5"/>
      <c r="C84" s="5">
        <v>21.1</v>
      </c>
      <c r="D84" s="6" t="s">
        <v>92</v>
      </c>
      <c r="E84" s="6"/>
      <c r="F84" s="7">
        <v>31</v>
      </c>
      <c r="G84" s="7"/>
      <c r="H84" s="7"/>
      <c r="I84" s="18"/>
      <c r="J84" s="22">
        <f t="shared" si="0"/>
        <v>31</v>
      </c>
    </row>
    <row r="85" spans="1:10" x14ac:dyDescent="0.2">
      <c r="B85" s="5">
        <v>22</v>
      </c>
      <c r="C85" s="5" t="s">
        <v>88</v>
      </c>
      <c r="D85" s="6"/>
      <c r="E85" s="6"/>
      <c r="F85" s="7"/>
      <c r="G85" s="7"/>
      <c r="H85" s="7"/>
      <c r="I85" s="18"/>
      <c r="J85" s="22"/>
    </row>
    <row r="86" spans="1:10" x14ac:dyDescent="0.2">
      <c r="B86" s="5"/>
      <c r="C86" s="5">
        <v>22.1</v>
      </c>
      <c r="D86" s="6" t="s">
        <v>93</v>
      </c>
      <c r="E86" s="6"/>
      <c r="F86" s="7">
        <v>18</v>
      </c>
      <c r="G86" s="7"/>
      <c r="H86" s="7"/>
      <c r="I86" s="18"/>
      <c r="J86" s="22">
        <f t="shared" si="0"/>
        <v>18</v>
      </c>
    </row>
    <row r="87" spans="1:10" x14ac:dyDescent="0.2">
      <c r="B87" s="5">
        <v>23</v>
      </c>
      <c r="C87" s="5" t="s">
        <v>89</v>
      </c>
      <c r="D87" s="6"/>
      <c r="E87" s="6"/>
      <c r="F87" s="7"/>
      <c r="G87" s="7"/>
      <c r="H87" s="7"/>
      <c r="I87" s="18"/>
      <c r="J87" s="22"/>
    </row>
    <row r="88" spans="1:10" ht="16" thickBot="1" x14ac:dyDescent="0.25">
      <c r="B88" s="11"/>
      <c r="C88" s="11">
        <v>23.1</v>
      </c>
      <c r="D88" s="12" t="s">
        <v>94</v>
      </c>
      <c r="E88" s="6"/>
      <c r="F88" s="7">
        <v>20</v>
      </c>
      <c r="G88" s="7"/>
      <c r="H88" s="7"/>
      <c r="I88" s="18"/>
      <c r="J88" s="22">
        <f t="shared" ref="J88" si="1">SUM(F88:I88)</f>
        <v>20</v>
      </c>
    </row>
    <row r="89" spans="1:10" ht="16" thickBot="1" x14ac:dyDescent="0.25">
      <c r="A89" s="28" t="s">
        <v>95</v>
      </c>
      <c r="B89" s="29"/>
      <c r="C89" s="29"/>
      <c r="D89" s="30"/>
      <c r="J89" s="21"/>
    </row>
    <row r="90" spans="1:10" x14ac:dyDescent="0.2">
      <c r="B90" s="13">
        <v>24</v>
      </c>
      <c r="C90" s="13" t="s">
        <v>16</v>
      </c>
      <c r="D90" s="14"/>
      <c r="E90" s="6"/>
      <c r="F90" s="7"/>
      <c r="G90" s="7"/>
      <c r="H90" s="7"/>
      <c r="I90" s="18"/>
      <c r="J90" s="22"/>
    </row>
    <row r="91" spans="1:10" x14ac:dyDescent="0.2">
      <c r="B91" s="5"/>
      <c r="C91" s="5">
        <v>24.1</v>
      </c>
      <c r="D91" s="6" t="s">
        <v>96</v>
      </c>
      <c r="E91" s="6"/>
      <c r="F91" s="7"/>
      <c r="G91" s="7"/>
      <c r="H91" s="7">
        <v>20</v>
      </c>
      <c r="I91" s="18"/>
      <c r="J91" s="22">
        <f t="shared" ref="J91:J92" si="2">SUM(F91:I91)</f>
        <v>20</v>
      </c>
    </row>
    <row r="92" spans="1:10" ht="16" thickBot="1" x14ac:dyDescent="0.25">
      <c r="B92" s="5"/>
      <c r="C92" s="5">
        <v>24.2</v>
      </c>
      <c r="D92" s="6" t="s">
        <v>82</v>
      </c>
      <c r="E92" s="6"/>
      <c r="F92" s="7"/>
      <c r="G92" s="7"/>
      <c r="H92" s="7">
        <v>6</v>
      </c>
      <c r="I92" s="18"/>
      <c r="J92" s="23">
        <f t="shared" si="2"/>
        <v>6</v>
      </c>
    </row>
    <row r="94" spans="1:10" x14ac:dyDescent="0.2">
      <c r="F94" s="2" t="s">
        <v>18</v>
      </c>
    </row>
  </sheetData>
  <mergeCells count="5">
    <mergeCell ref="A79:D79"/>
    <mergeCell ref="A89:D89"/>
    <mergeCell ref="A37:D37"/>
    <mergeCell ref="A2:D2"/>
    <mergeCell ref="A64:D6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</dc:creator>
  <cp:lastModifiedBy>Microsoft Office User</cp:lastModifiedBy>
  <dcterms:created xsi:type="dcterms:W3CDTF">2022-04-13T09:22:49Z</dcterms:created>
  <dcterms:modified xsi:type="dcterms:W3CDTF">2022-08-11T14:11:27Z</dcterms:modified>
</cp:coreProperties>
</file>